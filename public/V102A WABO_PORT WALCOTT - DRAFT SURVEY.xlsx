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landisk-8f2c35\disk1\PREVIOUS FILES AND FOLDERS\001. HND\00. Cargo Matters\Draft Survey Reports\102A\"/>
    </mc:Choice>
  </mc:AlternateContent>
  <xr:revisionPtr revIDLastSave="0" documentId="13_ncr:1_{C8371C98-C4F3-4980-A226-4366513ED63A}" xr6:coauthVersionLast="40" xr6:coauthVersionMax="47" xr10:uidLastSave="{00000000-0000-0000-0000-000000000000}"/>
  <bookViews>
    <workbookView xWindow="-120" yWindow="-120" windowWidth="29040" windowHeight="15840" tabRatio="740" activeTab="3" xr2:uid="{00000000-000D-0000-FFFF-FFFF00000000}"/>
  </bookViews>
  <sheets>
    <sheet name="initial" sheetId="2" r:id="rId1"/>
    <sheet name="interim" sheetId="5" r:id="rId2"/>
    <sheet name="trimming" sheetId="4" r:id="rId3"/>
    <sheet name="final" sheetId="7" r:id="rId4"/>
    <sheet name="report" sheetId="10" r:id="rId5"/>
    <sheet name="Hatch" sheetId="21" r:id="rId6"/>
    <sheet name="STOW PLAN" sheetId="26" r:id="rId7"/>
    <sheet name="LIST" sheetId="28" r:id="rId8"/>
    <sheet name="density" sheetId="20" r:id="rId9"/>
    <sheet name="LOAD RATE" sheetId="29" r:id="rId10"/>
    <sheet name="calc" sheetId="6" state="hidden" r:id="rId11"/>
    <sheet name="data" sheetId="1" r:id="rId12"/>
    <sheet name="hydro" sheetId="3" state="hidden" r:id="rId13"/>
  </sheets>
  <externalReferences>
    <externalReference r:id="rId14"/>
    <externalReference r:id="rId15"/>
    <externalReference r:id="rId16"/>
  </externalReferences>
  <definedNames>
    <definedName name="\a" localSheetId="5">#REF!</definedName>
    <definedName name="\a">#REF!</definedName>
    <definedName name="\D" localSheetId="5">#REF!</definedName>
    <definedName name="\D">#REF!</definedName>
    <definedName name="\E" localSheetId="5">#REF!</definedName>
    <definedName name="\E">#REF!</definedName>
    <definedName name="\G" localSheetId="5">#REF!</definedName>
    <definedName name="\G">#REF!</definedName>
    <definedName name="\I" localSheetId="5">#REF!</definedName>
    <definedName name="\I">#REF!</definedName>
    <definedName name="\P" localSheetId="5">#REF!</definedName>
    <definedName name="\P">#REF!</definedName>
    <definedName name="\R" localSheetId="5">#REF!</definedName>
    <definedName name="\R">#REF!</definedName>
    <definedName name="\S" localSheetId="5">#REF!</definedName>
    <definedName name="\S">#REF!</definedName>
    <definedName name="_BLANK_B1..B16_" localSheetId="5">#REF!</definedName>
    <definedName name="_BLANK_B1..B16_">#REF!</definedName>
    <definedName name="_CALC__" localSheetId="5">#REF!</definedName>
    <definedName name="_CALC__">#REF!</definedName>
    <definedName name="_Fill" localSheetId="5" hidden="1">#REF!</definedName>
    <definedName name="_Fill" hidden="1">#REF!</definedName>
    <definedName name="_GOTO_D1_" localSheetId="5">#REF!</definedName>
    <definedName name="_GOTO_D1_">#REF!</definedName>
    <definedName name="_MENU_" localSheetId="5">#REF!</definedName>
    <definedName name="_MENU_">#REF!</definedName>
    <definedName name="_MENUBRANCH_MEN" localSheetId="5">#REF!</definedName>
    <definedName name="_MENUBRANCH_MEN">#REF!</definedName>
    <definedName name="_Table1_In1" localSheetId="5" hidden="1">#REF!</definedName>
    <definedName name="_Table1_In1" hidden="1">#REF!</definedName>
    <definedName name="_Table1_Out" localSheetId="5" hidden="1">#REF!</definedName>
    <definedName name="_Table1_Out" hidden="1">#REF!</definedName>
    <definedName name="A_CLEAR" localSheetId="5">#REF!</definedName>
    <definedName name="A_CLEAR">#REF!</definedName>
    <definedName name="AccTrim">[1]INITIAL!$F$16</definedName>
    <definedName name="Acd">[1]INITIAL!$F$12</definedName>
    <definedName name="APPTRIM">[1]INITIAL!$D$16</definedName>
    <definedName name="B_次画面" localSheetId="5">#REF!</definedName>
    <definedName name="B_次画面">#REF!</definedName>
    <definedName name="C_計算" localSheetId="5">#REF!</definedName>
    <definedName name="C_計算">#REF!</definedName>
    <definedName name="CORR1">[1]INITIAL!$D$35</definedName>
    <definedName name="DAP">[1]INITIAL!$S$15</definedName>
    <definedName name="DBM">[1]INITIAL!$S$17</definedName>
    <definedName name="DENSITY">[1]INITIAL!$I$6</definedName>
    <definedName name="DFP">[1]INITIAL!$S$11</definedName>
    <definedName name="disp">#REF!</definedName>
    <definedName name="DISPL">[1]INITIAL!$D$29</definedName>
    <definedName name="dMdZ">[1]INITIAL!$D$32</definedName>
    <definedName name="DMP">[1]INITIAL!$S$13</definedName>
    <definedName name="Fcd">[1]INITIAL!$F$8</definedName>
    <definedName name="Hydro">[2]Hydrostatics!$A$2:$E$77</definedName>
    <definedName name="K">[3]Inputs!$G$17</definedName>
    <definedName name="LBP">[2]Inputs!$C$12</definedName>
    <definedName name="LCF">[1]INITIAL!$D$30</definedName>
    <definedName name="LCG_Table" localSheetId="5">#REF!</definedName>
    <definedName name="LCG_Table">#REF!</definedName>
    <definedName name="MEANDRAFT">[1]INITIAL!$I$8</definedName>
    <definedName name="MEANOFMEAN">[1]INITIAL!$I$15</definedName>
    <definedName name="MENU" localSheetId="5">#REF!</definedName>
    <definedName name="MENU">#REF!</definedName>
    <definedName name="MIDSHIPDRAFT">[1]INITIAL!$I$10</definedName>
    <definedName name="P_印刷" localSheetId="5">#REF!</definedName>
    <definedName name="P_印刷">#REF!</definedName>
    <definedName name="_xlnm.Print_Area" localSheetId="10">calc!$B$2:$W$57</definedName>
    <definedName name="_xlnm.Print_Area" localSheetId="11">data!$A$1:$R$37</definedName>
    <definedName name="_xlnm.Print_Area" localSheetId="8">density!$B$1:$J$20</definedName>
    <definedName name="_xlnm.Print_Area" localSheetId="3">final!$B$2:$J$35</definedName>
    <definedName name="_xlnm.Print_Area" localSheetId="5">Hatch!$C$1:$Z$28</definedName>
    <definedName name="_xlnm.Print_Area" localSheetId="12">hydro!$A$1:$G$78</definedName>
    <definedName name="_xlnm.Print_Area" localSheetId="0">initial!$B$2:$J$54</definedName>
    <definedName name="_xlnm.Print_Area" localSheetId="1">interim!$B$2:$J$35</definedName>
    <definedName name="_xlnm.Print_Area" localSheetId="9">'LOAD RATE'!$A$1:$U$31</definedName>
    <definedName name="_xlnm.Print_Area" localSheetId="4">report!$B$2:$L$59</definedName>
    <definedName name="_xlnm.Print_Area" localSheetId="6">'STOW PLAN'!$B$2:$AJ$42</definedName>
    <definedName name="_xlnm.Print_Area" localSheetId="2">trimming!$A$1:$R$68</definedName>
    <definedName name="_xlnm.Print_Area">#REF!</definedName>
    <definedName name="PRINT_AREA_MI" localSheetId="5">#REF!</definedName>
    <definedName name="PRINT_AREA_MI">#REF!</definedName>
    <definedName name="_xlnm.Print_Titles" localSheetId="10">calc!$B:$B</definedName>
    <definedName name="QMEAN">[1]INITIAL!$D$25</definedName>
    <definedName name="SWDISPL">[1]INITIAL!$D$37</definedName>
    <definedName name="TABLE1">[1]TRIMMING!$I$5:$J$13</definedName>
    <definedName name="TEMP" localSheetId="5">#REF!</definedName>
    <definedName name="TEMP">#REF!</definedName>
    <definedName name="TPC">[1]INITIAL!$D$31</definedName>
    <definedName name="ﾃﾞｰﾀ_を_ｸﾘｱｰ_す" localSheetId="5">#REF!</definedName>
    <definedName name="ﾃﾞｰﾀ_を_ｸﾘｱｰ_す">#REF!</definedName>
    <definedName name="再計算する" localSheetId="5">#REF!</definedName>
    <definedName name="再計算する">#REF!</definedName>
    <definedName name="印刷する" localSheetId="5">#REF!</definedName>
    <definedName name="印刷する">#REF!</definedName>
  </definedNames>
  <calcPr calcId="181029"/>
</workbook>
</file>

<file path=xl/calcChain.xml><?xml version="1.0" encoding="utf-8"?>
<calcChain xmlns="http://schemas.openxmlformats.org/spreadsheetml/2006/main">
  <c r="M9" i="21" l="1"/>
  <c r="L9" i="21"/>
  <c r="M7" i="21" l="1"/>
  <c r="F8" i="21"/>
  <c r="H24" i="21" l="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N16" i="21" l="1"/>
  <c r="G28" i="21" l="1"/>
  <c r="F13" i="10"/>
  <c r="F24" i="21" l="1"/>
  <c r="E28" i="21"/>
  <c r="I26" i="21"/>
  <c r="I25" i="21"/>
  <c r="I24" i="21"/>
  <c r="L7" i="21" l="1"/>
  <c r="I23" i="21" l="1"/>
  <c r="F16" i="21"/>
  <c r="F23" i="21"/>
  <c r="F16" i="10"/>
  <c r="H32" i="5"/>
  <c r="G32" i="2" l="1"/>
  <c r="H32" i="7"/>
  <c r="F14" i="10" s="1"/>
  <c r="F15" i="10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M8" i="21"/>
  <c r="M10" i="21"/>
  <c r="M11" i="21"/>
  <c r="M12" i="21"/>
  <c r="M13" i="21"/>
  <c r="M14" i="21"/>
  <c r="M15" i="21"/>
  <c r="M25" i="21"/>
  <c r="L8" i="21"/>
  <c r="L10" i="21"/>
  <c r="L11" i="21"/>
  <c r="L12" i="21"/>
  <c r="L13" i="21"/>
  <c r="L14" i="21"/>
  <c r="L15" i="21"/>
  <c r="H8" i="21"/>
  <c r="H7" i="21"/>
  <c r="F22" i="21"/>
  <c r="F21" i="21"/>
  <c r="F20" i="21"/>
  <c r="F19" i="21"/>
  <c r="F18" i="21"/>
  <c r="F17" i="21"/>
  <c r="F15" i="21"/>
  <c r="F14" i="21"/>
  <c r="F13" i="21"/>
  <c r="F12" i="21"/>
  <c r="F11" i="21"/>
  <c r="F10" i="21"/>
  <c r="F9" i="21"/>
  <c r="F7" i="21"/>
  <c r="Q21" i="21" l="1"/>
  <c r="R21" i="21" s="1"/>
  <c r="Q22" i="21"/>
  <c r="R22" i="21" s="1"/>
  <c r="S22" i="21"/>
  <c r="T22" i="21" s="1"/>
  <c r="S21" i="21"/>
  <c r="T21" i="21" s="1"/>
  <c r="I28" i="21"/>
  <c r="G29" i="21"/>
  <c r="Q26" i="29"/>
  <c r="N16" i="29"/>
  <c r="Q18" i="29" s="1"/>
  <c r="Q20" i="29" s="1"/>
  <c r="Q22" i="29" s="1"/>
  <c r="G16" i="29"/>
  <c r="F16" i="29"/>
  <c r="E16" i="29"/>
  <c r="D16" i="29"/>
  <c r="C16" i="29"/>
  <c r="T15" i="29"/>
  <c r="P15" i="29"/>
  <c r="O15" i="29"/>
  <c r="I15" i="29"/>
  <c r="K15" i="29" s="1"/>
  <c r="T14" i="29"/>
  <c r="R14" i="29"/>
  <c r="S14" i="29" s="1"/>
  <c r="P14" i="29"/>
  <c r="O14" i="29"/>
  <c r="I14" i="29"/>
  <c r="M14" i="29" s="1"/>
  <c r="T13" i="29"/>
  <c r="P13" i="29"/>
  <c r="O13" i="29"/>
  <c r="I13" i="29"/>
  <c r="K13" i="29" s="1"/>
  <c r="T12" i="29"/>
  <c r="R12" i="29"/>
  <c r="S12" i="29" s="1"/>
  <c r="P12" i="29"/>
  <c r="O12" i="29"/>
  <c r="I12" i="29"/>
  <c r="M12" i="29" s="1"/>
  <c r="T11" i="29"/>
  <c r="P11" i="29"/>
  <c r="O11" i="29"/>
  <c r="I11" i="29"/>
  <c r="K11" i="29" s="1"/>
  <c r="T10" i="29"/>
  <c r="R10" i="29"/>
  <c r="S10" i="29" s="1"/>
  <c r="P10" i="29"/>
  <c r="O10" i="29"/>
  <c r="I10" i="29"/>
  <c r="M10" i="29" s="1"/>
  <c r="T9" i="29"/>
  <c r="P9" i="29"/>
  <c r="O9" i="29"/>
  <c r="I9" i="29"/>
  <c r="K9" i="29" s="1"/>
  <c r="T8" i="29"/>
  <c r="R8" i="29"/>
  <c r="S8" i="29" s="1"/>
  <c r="P8" i="29"/>
  <c r="O8" i="29"/>
  <c r="I8" i="29"/>
  <c r="T7" i="29"/>
  <c r="S7" i="29"/>
  <c r="R7" i="29"/>
  <c r="P7" i="29"/>
  <c r="O7" i="29"/>
  <c r="I7" i="29"/>
  <c r="L43" i="4"/>
  <c r="L45" i="4"/>
  <c r="L7" i="29" l="1"/>
  <c r="O16" i="29"/>
  <c r="P16" i="29"/>
  <c r="M9" i="29"/>
  <c r="M13" i="29"/>
  <c r="M15" i="29"/>
  <c r="M11" i="29"/>
  <c r="K7" i="29"/>
  <c r="M7" i="29"/>
  <c r="I16" i="29"/>
  <c r="Q24" i="29" s="1"/>
  <c r="Q25" i="29" s="1"/>
  <c r="Q25" i="21"/>
  <c r="R25" i="21" s="1"/>
  <c r="S25" i="21"/>
  <c r="T25" i="21" s="1"/>
  <c r="M16" i="21"/>
  <c r="N9" i="21" s="1"/>
  <c r="O9" i="21" s="1"/>
  <c r="K8" i="29"/>
  <c r="K10" i="29"/>
  <c r="K12" i="29"/>
  <c r="K14" i="29"/>
  <c r="L8" i="29"/>
  <c r="L10" i="29"/>
  <c r="L12" i="29"/>
  <c r="L14" i="29"/>
  <c r="M8" i="29"/>
  <c r="K45" i="4"/>
  <c r="K43" i="4"/>
  <c r="L39" i="4"/>
  <c r="K39" i="4"/>
  <c r="L4" i="4"/>
  <c r="D17" i="28"/>
  <c r="O16" i="28"/>
  <c r="J16" i="28"/>
  <c r="J17" i="28" s="1"/>
  <c r="D5" i="28"/>
  <c r="O4" i="28"/>
  <c r="J4" i="28"/>
  <c r="L4" i="28" s="1"/>
  <c r="N4" i="28" s="1"/>
  <c r="F18" i="26"/>
  <c r="I18" i="26"/>
  <c r="L18" i="26"/>
  <c r="O18" i="26"/>
  <c r="R18" i="26"/>
  <c r="U18" i="26"/>
  <c r="Y18" i="26"/>
  <c r="AB18" i="26"/>
  <c r="AE18" i="26"/>
  <c r="M17" i="21" l="1"/>
  <c r="N10" i="21"/>
  <c r="N8" i="21"/>
  <c r="J5" i="28"/>
  <c r="L16" i="28"/>
  <c r="N16" i="28" s="1"/>
  <c r="L23" i="28" s="1"/>
  <c r="O23" i="28" s="1"/>
  <c r="G23" i="28" s="1"/>
  <c r="N23" i="28" s="1"/>
  <c r="E5" i="28"/>
  <c r="Q27" i="29"/>
  <c r="Q29" i="29" s="1"/>
  <c r="K16" i="29"/>
  <c r="J12" i="28"/>
  <c r="L12" i="28" s="1"/>
  <c r="L11" i="28"/>
  <c r="L13" i="28"/>
  <c r="E17" i="28"/>
  <c r="Q10" i="21"/>
  <c r="R14" i="21"/>
  <c r="R15" i="21"/>
  <c r="T15" i="21"/>
  <c r="AB14" i="21"/>
  <c r="AC14" i="21" s="1"/>
  <c r="AB15" i="21"/>
  <c r="AC15" i="21" s="1"/>
  <c r="AB7" i="21"/>
  <c r="AC7" i="21" s="1"/>
  <c r="L44" i="4"/>
  <c r="K44" i="4"/>
  <c r="L41" i="4"/>
  <c r="K41" i="4"/>
  <c r="I12" i="7"/>
  <c r="I12" i="5"/>
  <c r="J24" i="28" l="1"/>
  <c r="L24" i="28" s="1"/>
  <c r="O24" i="28" s="1"/>
  <c r="G24" i="28" s="1"/>
  <c r="N24" i="28" s="1"/>
  <c r="L25" i="28"/>
  <c r="O25" i="28" s="1"/>
  <c r="G25" i="28" s="1"/>
  <c r="N25" i="28" s="1"/>
  <c r="M44" i="4"/>
  <c r="U14" i="21"/>
  <c r="O11" i="28"/>
  <c r="E11" i="28" s="1"/>
  <c r="N11" i="28"/>
  <c r="O13" i="28"/>
  <c r="E13" i="28" s="1"/>
  <c r="N13" i="28"/>
  <c r="O12" i="28"/>
  <c r="E12" i="28" s="1"/>
  <c r="N12" i="28"/>
  <c r="S14" i="21"/>
  <c r="T14" i="21"/>
  <c r="E5" i="26"/>
  <c r="AI10" i="21" l="1"/>
  <c r="AE10" i="21" s="1"/>
  <c r="AG10" i="21" s="1"/>
  <c r="AK9" i="21"/>
  <c r="AE9" i="21"/>
  <c r="AG9" i="21" s="1"/>
  <c r="AE8" i="21"/>
  <c r="AI8" i="21" s="1"/>
  <c r="AK8" i="21" s="1"/>
  <c r="AI7" i="21"/>
  <c r="AK7" i="21" s="1"/>
  <c r="AG7" i="21"/>
  <c r="AB8" i="21" l="1"/>
  <c r="AC8" i="21" s="1"/>
  <c r="AB9" i="21"/>
  <c r="AC9" i="21" s="1"/>
  <c r="AB10" i="21"/>
  <c r="AC10" i="21" s="1"/>
  <c r="AB11" i="21"/>
  <c r="AC11" i="21" s="1"/>
  <c r="AB12" i="21"/>
  <c r="AC12" i="21" s="1"/>
  <c r="AB13" i="21"/>
  <c r="AC13" i="21" s="1"/>
  <c r="F8" i="10" l="1"/>
  <c r="D50" i="2" l="1"/>
  <c r="D51" i="2" s="1"/>
  <c r="D50" i="5"/>
  <c r="D51" i="5" s="1"/>
  <c r="D50" i="7"/>
  <c r="D51" i="7" s="1"/>
  <c r="B15" i="10" l="1"/>
  <c r="G33" i="7"/>
  <c r="G32" i="7"/>
  <c r="H50" i="7" l="1"/>
  <c r="H46" i="7"/>
  <c r="H40" i="7"/>
  <c r="H50" i="5"/>
  <c r="H46" i="5"/>
  <c r="H40" i="5"/>
  <c r="H50" i="2"/>
  <c r="H46" i="2"/>
  <c r="H40" i="2"/>
  <c r="G32" i="5"/>
  <c r="F4" i="7" l="1"/>
  <c r="F3" i="7"/>
  <c r="B14" i="10" l="1"/>
  <c r="B52" i="10" l="1"/>
  <c r="D40" i="4" l="1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B50" i="4" l="1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M43" i="4" l="1"/>
  <c r="M39" i="4" l="1"/>
  <c r="M41" i="4"/>
  <c r="M45" i="4"/>
  <c r="D13" i="20"/>
  <c r="AA23" i="21" l="1"/>
  <c r="AA24" i="21"/>
  <c r="AA22" i="21" l="1"/>
  <c r="P22" i="21" s="1"/>
  <c r="AA21" i="21"/>
  <c r="O22" i="21" l="1"/>
  <c r="O21" i="21"/>
  <c r="P21" i="21"/>
  <c r="R9" i="21"/>
  <c r="T9" i="21"/>
  <c r="R11" i="21"/>
  <c r="T11" i="21"/>
  <c r="R13" i="21"/>
  <c r="T13" i="21"/>
  <c r="P25" i="21" l="1"/>
  <c r="O25" i="21"/>
  <c r="R10" i="21"/>
  <c r="S10" i="21"/>
  <c r="T12" i="21"/>
  <c r="U12" i="21"/>
  <c r="S8" i="21"/>
  <c r="R8" i="21"/>
  <c r="T10" i="21"/>
  <c r="U10" i="21"/>
  <c r="U8" i="21"/>
  <c r="T8" i="21"/>
  <c r="R12" i="21"/>
  <c r="S12" i="21"/>
  <c r="U7" i="21"/>
  <c r="T7" i="21"/>
  <c r="S7" i="21"/>
  <c r="R7" i="21"/>
  <c r="L16" i="21"/>
  <c r="L22" i="4"/>
  <c r="N14" i="21" l="1"/>
  <c r="O14" i="21" s="1"/>
  <c r="N15" i="21"/>
  <c r="O15" i="21" s="1"/>
  <c r="G16" i="5"/>
  <c r="V15" i="21" l="1"/>
  <c r="W14" i="21"/>
  <c r="V14" i="21"/>
  <c r="G23" i="2"/>
  <c r="G19" i="2"/>
  <c r="I16" i="26" l="1"/>
  <c r="X14" i="21"/>
  <c r="F16" i="26"/>
  <c r="X15" i="21"/>
  <c r="G15" i="7"/>
  <c r="G15" i="5"/>
  <c r="G12" i="2"/>
  <c r="B39" i="10"/>
  <c r="B46" i="10"/>
  <c r="B47" i="10"/>
  <c r="B34" i="6"/>
  <c r="D36" i="6"/>
  <c r="F34" i="6"/>
  <c r="G39" i="10" s="1"/>
  <c r="G13" i="2"/>
  <c r="G16" i="2"/>
  <c r="G15" i="2"/>
  <c r="F4" i="5"/>
  <c r="F7" i="10"/>
  <c r="F6" i="10"/>
  <c r="F5" i="10"/>
  <c r="F4" i="10"/>
  <c r="F3" i="5"/>
  <c r="V15" i="6"/>
  <c r="O15" i="6"/>
  <c r="R5" i="6"/>
  <c r="R4" i="6"/>
  <c r="V5" i="6"/>
  <c r="V4" i="6"/>
  <c r="T5" i="6"/>
  <c r="T4" i="6"/>
  <c r="T25" i="6"/>
  <c r="I27" i="10" s="1"/>
  <c r="K5" i="6"/>
  <c r="M4" i="6"/>
  <c r="M5" i="6"/>
  <c r="K4" i="6"/>
  <c r="O5" i="6"/>
  <c r="O4" i="6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W71" i="4"/>
  <c r="W72" i="4"/>
  <c r="W73" i="4"/>
  <c r="W74" i="4"/>
  <c r="W75" i="4"/>
  <c r="W76" i="4"/>
  <c r="W77" i="4"/>
  <c r="W78" i="4"/>
  <c r="W79" i="4"/>
  <c r="W80" i="4"/>
  <c r="W81" i="4"/>
  <c r="B64" i="4"/>
  <c r="W82" i="4" s="1"/>
  <c r="B65" i="4"/>
  <c r="W83" i="4" s="1"/>
  <c r="B66" i="4"/>
  <c r="W84" i="4" s="1"/>
  <c r="B67" i="4"/>
  <c r="W85" i="4" s="1"/>
  <c r="Q4" i="4"/>
  <c r="E28" i="4" s="1"/>
  <c r="Q5" i="4"/>
  <c r="Q6" i="4"/>
  <c r="Q7" i="4"/>
  <c r="Q8" i="4"/>
  <c r="Q9" i="4"/>
  <c r="Q10" i="4"/>
  <c r="K20" i="4" s="1"/>
  <c r="Q11" i="4"/>
  <c r="Q3" i="4"/>
  <c r="K17" i="4" s="1"/>
  <c r="F30" i="6"/>
  <c r="G35" i="10" s="1"/>
  <c r="AB47" i="4"/>
  <c r="Z58" i="4"/>
  <c r="Y58" i="4"/>
  <c r="Z59" i="4"/>
  <c r="Z60" i="4"/>
  <c r="Y60" i="4"/>
  <c r="Z61" i="4"/>
  <c r="Y61" i="4"/>
  <c r="Z62" i="4"/>
  <c r="Y62" i="4"/>
  <c r="Z63" i="4"/>
  <c r="Y63" i="4"/>
  <c r="Z64" i="4"/>
  <c r="Y64" i="4"/>
  <c r="Z65" i="4"/>
  <c r="Y65" i="4"/>
  <c r="Z66" i="4"/>
  <c r="Y66" i="4"/>
  <c r="Z67" i="4"/>
  <c r="Y67" i="4"/>
  <c r="Z68" i="4"/>
  <c r="Y68" i="4"/>
  <c r="Z69" i="4"/>
  <c r="Y69" i="4"/>
  <c r="Z70" i="4"/>
  <c r="D39" i="4"/>
  <c r="Z57" i="4" s="1"/>
  <c r="Y57" i="4"/>
  <c r="B40" i="4"/>
  <c r="W58" i="4" s="1"/>
  <c r="B41" i="4"/>
  <c r="W59" i="4" s="1"/>
  <c r="B42" i="4"/>
  <c r="W60" i="4" s="1"/>
  <c r="B43" i="4"/>
  <c r="W61" i="4" s="1"/>
  <c r="B44" i="4"/>
  <c r="W62" i="4" s="1"/>
  <c r="B45" i="4"/>
  <c r="W63" i="4" s="1"/>
  <c r="B46" i="4"/>
  <c r="W64" i="4" s="1"/>
  <c r="B47" i="4"/>
  <c r="W65" i="4" s="1"/>
  <c r="B48" i="4"/>
  <c r="W66" i="4" s="1"/>
  <c r="B49" i="4"/>
  <c r="W67" i="4" s="1"/>
  <c r="W68" i="4"/>
  <c r="W69" i="4"/>
  <c r="W70" i="4"/>
  <c r="B39" i="4"/>
  <c r="W57" i="4" s="1"/>
  <c r="V56" i="4"/>
  <c r="Y59" i="4"/>
  <c r="Y70" i="4"/>
  <c r="AB46" i="4"/>
  <c r="AB45" i="4"/>
  <c r="AB44" i="4"/>
  <c r="AB43" i="4"/>
  <c r="AB34" i="4"/>
  <c r="AB32" i="4"/>
  <c r="V34" i="4"/>
  <c r="AB20" i="4"/>
  <c r="AB18" i="4"/>
  <c r="V20" i="4"/>
  <c r="C9" i="2"/>
  <c r="E9" i="2"/>
  <c r="C9" i="5"/>
  <c r="E9" i="5"/>
  <c r="E8" i="7"/>
  <c r="E9" i="7"/>
  <c r="C9" i="7"/>
  <c r="T32" i="6"/>
  <c r="I37" i="10" s="1"/>
  <c r="T33" i="6"/>
  <c r="I38" i="10" s="1"/>
  <c r="T31" i="6"/>
  <c r="I36" i="10" s="1"/>
  <c r="T30" i="6"/>
  <c r="T27" i="6"/>
  <c r="I42" i="10" s="1"/>
  <c r="C8" i="7"/>
  <c r="F33" i="6"/>
  <c r="G38" i="10" s="1"/>
  <c r="F32" i="6"/>
  <c r="G37" i="10" s="1"/>
  <c r="F31" i="6"/>
  <c r="G36" i="10" s="1"/>
  <c r="F27" i="6"/>
  <c r="G42" i="10" s="1"/>
  <c r="F25" i="6"/>
  <c r="G27" i="10" s="1"/>
  <c r="H5" i="6"/>
  <c r="F5" i="6"/>
  <c r="D5" i="6"/>
  <c r="D4" i="6"/>
  <c r="H4" i="6"/>
  <c r="F4" i="6"/>
  <c r="M33" i="6"/>
  <c r="M32" i="6"/>
  <c r="M31" i="6"/>
  <c r="M30" i="6"/>
  <c r="M27" i="6"/>
  <c r="M25" i="6"/>
  <c r="L23" i="4" s="1"/>
  <c r="E8" i="5"/>
  <c r="C8" i="5"/>
  <c r="C8" i="2"/>
  <c r="E8" i="2"/>
  <c r="P13" i="1"/>
  <c r="P8" i="1"/>
  <c r="O31" i="1"/>
  <c r="T34" i="6"/>
  <c r="I39" i="10" s="1"/>
  <c r="M34" i="6"/>
  <c r="C18" i="20"/>
  <c r="D12" i="20"/>
  <c r="E12" i="20" s="1"/>
  <c r="C17" i="20"/>
  <c r="D17" i="20" s="1"/>
  <c r="K18" i="4" l="1"/>
  <c r="AA85" i="4"/>
  <c r="K21" i="4"/>
  <c r="K19" i="4"/>
  <c r="C19" i="20"/>
  <c r="H19" i="20" s="1"/>
  <c r="E17" i="20"/>
  <c r="AA83" i="4"/>
  <c r="AA84" i="4"/>
  <c r="E15" i="4"/>
  <c r="AA57" i="4"/>
  <c r="E29" i="4"/>
  <c r="E16" i="4"/>
  <c r="AA59" i="4"/>
  <c r="AA61" i="4"/>
  <c r="H17" i="20"/>
  <c r="AA60" i="4"/>
  <c r="AA82" i="4"/>
  <c r="AA80" i="4"/>
  <c r="R6" i="6"/>
  <c r="AA73" i="4"/>
  <c r="AA79" i="4"/>
  <c r="AA77" i="4"/>
  <c r="AA75" i="4"/>
  <c r="AA74" i="4"/>
  <c r="AA71" i="4"/>
  <c r="AA69" i="4"/>
  <c r="AA68" i="4"/>
  <c r="AA67" i="4"/>
  <c r="AA66" i="4"/>
  <c r="AA65" i="4"/>
  <c r="AA64" i="4"/>
  <c r="AA63" i="4"/>
  <c r="AA70" i="4"/>
  <c r="AA76" i="4"/>
  <c r="M7" i="6"/>
  <c r="U7" i="6"/>
  <c r="T6" i="6"/>
  <c r="T7" i="6"/>
  <c r="V6" i="6"/>
  <c r="O6" i="6"/>
  <c r="M35" i="6"/>
  <c r="N7" i="6"/>
  <c r="M6" i="6"/>
  <c r="K6" i="6"/>
  <c r="X4" i="4"/>
  <c r="F7" i="6"/>
  <c r="F35" i="6"/>
  <c r="H6" i="6"/>
  <c r="F6" i="6"/>
  <c r="G7" i="6"/>
  <c r="D6" i="6"/>
  <c r="F17" i="20"/>
  <c r="G44" i="10"/>
  <c r="Y87" i="4"/>
  <c r="AA81" i="4"/>
  <c r="G17" i="20"/>
  <c r="AA62" i="4"/>
  <c r="AA58" i="4"/>
  <c r="AA72" i="4"/>
  <c r="AA78" i="4"/>
  <c r="T35" i="6"/>
  <c r="I35" i="10"/>
  <c r="I44" i="10" s="1"/>
  <c r="E19" i="20" l="1"/>
  <c r="E18" i="20" s="1"/>
  <c r="H18" i="20"/>
  <c r="F19" i="20"/>
  <c r="F18" i="20" s="1"/>
  <c r="D19" i="20"/>
  <c r="D18" i="20" s="1"/>
  <c r="G19" i="20"/>
  <c r="G18" i="20" s="1"/>
  <c r="R7" i="6"/>
  <c r="T10" i="6" s="1"/>
  <c r="T11" i="6" s="1"/>
  <c r="T16" i="6" s="1"/>
  <c r="K7" i="6"/>
  <c r="K10" i="6" s="1"/>
  <c r="K11" i="6" s="1"/>
  <c r="D7" i="6"/>
  <c r="D10" i="6" s="1"/>
  <c r="D11" i="6" s="1"/>
  <c r="AA87" i="4"/>
  <c r="E15" i="20" l="1"/>
  <c r="C15" i="20"/>
  <c r="R10" i="6"/>
  <c r="R11" i="6" s="1"/>
  <c r="I20" i="10" s="1"/>
  <c r="M10" i="6"/>
  <c r="M11" i="6" s="1"/>
  <c r="O10" i="6"/>
  <c r="O11" i="6" s="1"/>
  <c r="V10" i="6"/>
  <c r="V11" i="6" s="1"/>
  <c r="I21" i="10" s="1"/>
  <c r="H10" i="6"/>
  <c r="H11" i="6" s="1"/>
  <c r="G21" i="10" s="1"/>
  <c r="F10" i="6"/>
  <c r="F11" i="6" s="1"/>
  <c r="F16" i="6" s="1"/>
  <c r="E3" i="4"/>
  <c r="G20" i="10"/>
  <c r="I23" i="10"/>
  <c r="D23" i="7"/>
  <c r="M12" i="6" l="1"/>
  <c r="M17" i="6" s="1"/>
  <c r="D24" i="5" s="1"/>
  <c r="F3" i="4"/>
  <c r="V15" i="4" s="1"/>
  <c r="H10" i="20"/>
  <c r="H9" i="20"/>
  <c r="H11" i="20"/>
  <c r="M16" i="6"/>
  <c r="D23" i="5" s="1"/>
  <c r="K13" i="6"/>
  <c r="L13" i="6" s="1"/>
  <c r="C19" i="5" s="1"/>
  <c r="G3" i="4"/>
  <c r="Z17" i="4" s="1"/>
  <c r="R13" i="6"/>
  <c r="S13" i="6" s="1"/>
  <c r="C19" i="7" s="1"/>
  <c r="T12" i="6"/>
  <c r="T17" i="6" s="1"/>
  <c r="D13" i="6"/>
  <c r="E13" i="6" s="1"/>
  <c r="C19" i="2" s="1"/>
  <c r="F12" i="6"/>
  <c r="F17" i="6" s="1"/>
  <c r="D24" i="2" s="1"/>
  <c r="Y31" i="4"/>
  <c r="Y42" i="4"/>
  <c r="Y17" i="4"/>
  <c r="G23" i="10"/>
  <c r="D23" i="2"/>
  <c r="H13" i="20" l="1"/>
  <c r="V41" i="4"/>
  <c r="E11" i="4"/>
  <c r="V14" i="4" s="1"/>
  <c r="V28" i="4"/>
  <c r="O13" i="6"/>
  <c r="N13" i="6"/>
  <c r="H12" i="20"/>
  <c r="I12" i="20" s="1"/>
  <c r="M19" i="6"/>
  <c r="I48" i="6" s="1"/>
  <c r="M18" i="6"/>
  <c r="D25" i="5" s="1"/>
  <c r="V19" i="4"/>
  <c r="V21" i="4" s="1"/>
  <c r="Z42" i="4"/>
  <c r="AA42" i="4" s="1"/>
  <c r="V33" i="4"/>
  <c r="V35" i="4" s="1"/>
  <c r="Z31" i="4"/>
  <c r="AA31" i="4" s="1"/>
  <c r="G22" i="10"/>
  <c r="I22" i="10"/>
  <c r="U13" i="6"/>
  <c r="V13" i="6"/>
  <c r="G13" i="6"/>
  <c r="H13" i="6"/>
  <c r="D24" i="7"/>
  <c r="T19" i="6"/>
  <c r="T18" i="6"/>
  <c r="AA17" i="4"/>
  <c r="F19" i="6"/>
  <c r="V7" i="4"/>
  <c r="V8" i="4"/>
  <c r="F18" i="6"/>
  <c r="C18" i="5" l="1"/>
  <c r="C48" i="6"/>
  <c r="E48" i="6" s="1"/>
  <c r="C49" i="6"/>
  <c r="D26" i="5"/>
  <c r="C18" i="7"/>
  <c r="C18" i="2"/>
  <c r="I24" i="10"/>
  <c r="D25" i="7"/>
  <c r="C54" i="6"/>
  <c r="D26" i="7"/>
  <c r="C55" i="6"/>
  <c r="I54" i="6"/>
  <c r="I25" i="10"/>
  <c r="U18" i="4"/>
  <c r="V18" i="4"/>
  <c r="G24" i="10"/>
  <c r="D25" i="2"/>
  <c r="J48" i="6"/>
  <c r="I50" i="6"/>
  <c r="J50" i="6" s="1"/>
  <c r="Y7" i="4"/>
  <c r="W7" i="4"/>
  <c r="V9" i="4"/>
  <c r="Z7" i="4"/>
  <c r="X7" i="4"/>
  <c r="C43" i="6"/>
  <c r="D26" i="2"/>
  <c r="C42" i="6"/>
  <c r="G25" i="10"/>
  <c r="H42" i="6"/>
  <c r="H48" i="6" l="1"/>
  <c r="C50" i="6"/>
  <c r="H50" i="6" s="1"/>
  <c r="D48" i="6"/>
  <c r="G48" i="6"/>
  <c r="F48" i="6"/>
  <c r="J54" i="6"/>
  <c r="I56" i="6"/>
  <c r="J56" i="6" s="1"/>
  <c r="C56" i="6"/>
  <c r="G54" i="6"/>
  <c r="H54" i="6"/>
  <c r="D54" i="6"/>
  <c r="F54" i="6"/>
  <c r="E54" i="6"/>
  <c r="Y9" i="4"/>
  <c r="Y8" i="4" s="1"/>
  <c r="Z9" i="4"/>
  <c r="Z8" i="4" s="1"/>
  <c r="X9" i="4"/>
  <c r="X8" i="4" s="1"/>
  <c r="W9" i="4"/>
  <c r="W8" i="4" s="1"/>
  <c r="J49" i="6"/>
  <c r="P22" i="6" s="1"/>
  <c r="I42" i="6"/>
  <c r="H44" i="6"/>
  <c r="I44" i="6" s="1"/>
  <c r="D42" i="6"/>
  <c r="C44" i="6"/>
  <c r="F42" i="6"/>
  <c r="E42" i="6"/>
  <c r="G42" i="6"/>
  <c r="G50" i="6" l="1"/>
  <c r="E50" i="6"/>
  <c r="D50" i="6"/>
  <c r="F50" i="6"/>
  <c r="F56" i="6"/>
  <c r="F55" i="6" s="1"/>
  <c r="D56" i="6"/>
  <c r="D55" i="6" s="1"/>
  <c r="T21" i="6" s="1"/>
  <c r="I30" i="10" s="1"/>
  <c r="G56" i="6"/>
  <c r="G55" i="6" s="1"/>
  <c r="H56" i="6"/>
  <c r="H55" i="6" s="1"/>
  <c r="E56" i="6"/>
  <c r="E55" i="6" s="1"/>
  <c r="J55" i="6"/>
  <c r="W22" i="6" s="1"/>
  <c r="I43" i="6"/>
  <c r="I22" i="6" s="1"/>
  <c r="Z15" i="4"/>
  <c r="Z16" i="4"/>
  <c r="Y16" i="4"/>
  <c r="Y15" i="4"/>
  <c r="V16" i="4"/>
  <c r="V17" i="4" s="1"/>
  <c r="G44" i="6"/>
  <c r="G43" i="6" s="1"/>
  <c r="F44" i="6"/>
  <c r="F43" i="6" s="1"/>
  <c r="E44" i="6"/>
  <c r="E43" i="6" s="1"/>
  <c r="D44" i="6"/>
  <c r="D43" i="6" s="1"/>
  <c r="F21" i="6" s="1"/>
  <c r="H49" i="6"/>
  <c r="E49" i="6" l="1"/>
  <c r="G49" i="6"/>
  <c r="F49" i="6"/>
  <c r="D49" i="6"/>
  <c r="M21" i="6" s="1"/>
  <c r="W21" i="6"/>
  <c r="W23" i="6" s="1"/>
  <c r="T22" i="6" s="1"/>
  <c r="T23" i="6" s="1"/>
  <c r="T26" i="6" s="1"/>
  <c r="T28" i="6" s="1"/>
  <c r="I43" i="10" s="1"/>
  <c r="I47" i="10" s="1"/>
  <c r="D52" i="10" s="1"/>
  <c r="I52" i="10" s="1"/>
  <c r="I21" i="6"/>
  <c r="I23" i="6" s="1"/>
  <c r="F22" i="6" s="1"/>
  <c r="F23" i="6" s="1"/>
  <c r="V24" i="4"/>
  <c r="G30" i="10"/>
  <c r="D12" i="4"/>
  <c r="L15" i="4" s="1"/>
  <c r="V22" i="4"/>
  <c r="V23" i="4" s="1"/>
  <c r="W22" i="4" s="1"/>
  <c r="P21" i="6" l="1"/>
  <c r="P23" i="6" s="1"/>
  <c r="M22" i="6" s="1"/>
  <c r="M23" i="6" s="1"/>
  <c r="M26" i="6" s="1"/>
  <c r="M28" i="6" s="1"/>
  <c r="V44" i="4"/>
  <c r="V42" i="4" s="1"/>
  <c r="V43" i="4" s="1"/>
  <c r="V47" i="4" s="1"/>
  <c r="V31" i="4"/>
  <c r="W24" i="4"/>
  <c r="Z18" i="4" s="1"/>
  <c r="Z19" i="4" s="1"/>
  <c r="I32" i="10"/>
  <c r="I41" i="10"/>
  <c r="D27" i="7"/>
  <c r="T36" i="6"/>
  <c r="I14" i="7" s="1"/>
  <c r="H24" i="7" s="1"/>
  <c r="H27" i="7" s="1"/>
  <c r="I31" i="10"/>
  <c r="G31" i="10"/>
  <c r="F26" i="6"/>
  <c r="M36" i="6" l="1"/>
  <c r="D27" i="5"/>
  <c r="V46" i="4"/>
  <c r="V48" i="4"/>
  <c r="AA53" i="4" s="1"/>
  <c r="Y18" i="4"/>
  <c r="Y19" i="4" s="1"/>
  <c r="AA19" i="4" s="1"/>
  <c r="W23" i="4"/>
  <c r="Z20" i="4" s="1"/>
  <c r="Z21" i="4" s="1"/>
  <c r="F16" i="4"/>
  <c r="I16" i="7"/>
  <c r="H25" i="7"/>
  <c r="I25" i="7"/>
  <c r="H32" i="6"/>
  <c r="I16" i="2" s="1"/>
  <c r="D27" i="2"/>
  <c r="F28" i="6"/>
  <c r="G43" i="10" s="1"/>
  <c r="G46" i="10" s="1"/>
  <c r="G41" i="10"/>
  <c r="F36" i="6"/>
  <c r="I13" i="2" s="1"/>
  <c r="I23" i="2" s="1"/>
  <c r="G32" i="10"/>
  <c r="D26" i="4" l="1"/>
  <c r="V32" i="4" s="1"/>
  <c r="I14" i="5"/>
  <c r="H24" i="5" s="1"/>
  <c r="H27" i="5" s="1"/>
  <c r="L6" i="4"/>
  <c r="M26" i="4" s="1"/>
  <c r="Y47" i="4"/>
  <c r="Z47" i="4"/>
  <c r="Z43" i="4"/>
  <c r="Y46" i="4"/>
  <c r="Z44" i="4"/>
  <c r="Y45" i="4"/>
  <c r="Y44" i="4"/>
  <c r="Z45" i="4"/>
  <c r="AB53" i="4"/>
  <c r="Y43" i="4"/>
  <c r="Z46" i="4"/>
  <c r="Y20" i="4"/>
  <c r="Y21" i="4" s="1"/>
  <c r="Y22" i="4" s="1"/>
  <c r="D19" i="4" s="1"/>
  <c r="F15" i="4"/>
  <c r="L8" i="4" l="1"/>
  <c r="O21" i="4" s="1"/>
  <c r="E20" i="4"/>
  <c r="M8" i="4"/>
  <c r="V29" i="4"/>
  <c r="V30" i="4" s="1"/>
  <c r="V11" i="4" s="1"/>
  <c r="V10" i="4" s="1"/>
  <c r="I16" i="5"/>
  <c r="Z48" i="4"/>
  <c r="Y48" i="4"/>
  <c r="I25" i="5"/>
  <c r="H25" i="5"/>
  <c r="AA21" i="4"/>
  <c r="AA22" i="4" s="1"/>
  <c r="E19" i="4" s="1"/>
  <c r="V36" i="4"/>
  <c r="Z22" i="4"/>
  <c r="F19" i="4" s="1"/>
  <c r="G19" i="4" s="1"/>
  <c r="H16" i="4" l="1"/>
  <c r="O20" i="4"/>
  <c r="G16" i="4"/>
  <c r="N17" i="4"/>
  <c r="G15" i="4"/>
  <c r="O18" i="4"/>
  <c r="N19" i="4"/>
  <c r="H15" i="4"/>
  <c r="O19" i="4"/>
  <c r="O17" i="4"/>
  <c r="N20" i="4"/>
  <c r="N21" i="4"/>
  <c r="N18" i="4"/>
  <c r="Y11" i="4"/>
  <c r="X11" i="4"/>
  <c r="W11" i="4"/>
  <c r="Z11" i="4"/>
  <c r="AA48" i="4"/>
  <c r="AA49" i="4" s="1"/>
  <c r="O24" i="4" s="1"/>
  <c r="X52" i="4" s="1"/>
  <c r="X53" i="4" s="1"/>
  <c r="V59" i="4" s="1"/>
  <c r="Y49" i="4"/>
  <c r="Z49" i="4" s="1"/>
  <c r="P24" i="4" s="1"/>
  <c r="X10" i="4"/>
  <c r="W10" i="4"/>
  <c r="Z10" i="4"/>
  <c r="Y10" i="4"/>
  <c r="V12" i="4"/>
  <c r="Y30" i="4" l="1"/>
  <c r="Y29" i="4"/>
  <c r="Z29" i="4"/>
  <c r="Z30" i="4"/>
  <c r="V57" i="4"/>
  <c r="V61" i="4"/>
  <c r="V58" i="4"/>
  <c r="V60" i="4"/>
  <c r="N24" i="4"/>
  <c r="W52" i="4" s="1"/>
  <c r="W53" i="4" s="1"/>
  <c r="Y52" i="4"/>
  <c r="Y53" i="4" s="1"/>
  <c r="W12" i="4"/>
  <c r="Y12" i="4"/>
  <c r="X12" i="4"/>
  <c r="Z12" i="4"/>
  <c r="V37" i="4" l="1"/>
  <c r="W36" i="4" s="1"/>
  <c r="V38" i="4"/>
  <c r="AA54" i="4"/>
  <c r="X54" i="4" s="1"/>
  <c r="O29" i="4" s="1"/>
  <c r="AB54" i="4"/>
  <c r="Q24" i="4"/>
  <c r="Z52" i="4" s="1"/>
  <c r="Z53" i="4"/>
  <c r="W38" i="4" l="1"/>
  <c r="Z32" i="4" s="1"/>
  <c r="Z33" i="4" s="1"/>
  <c r="Y54" i="4"/>
  <c r="P29" i="4" s="1"/>
  <c r="W54" i="4"/>
  <c r="N29" i="4" s="1"/>
  <c r="Y32" i="4" l="1"/>
  <c r="Y33" i="4" s="1"/>
  <c r="AA33" i="4" s="1"/>
  <c r="W37" i="4"/>
  <c r="Z34" i="4" s="1"/>
  <c r="Z35" i="4" s="1"/>
  <c r="F29" i="4"/>
  <c r="G29" i="4" s="1"/>
  <c r="Z54" i="4"/>
  <c r="Q29" i="4" s="1"/>
  <c r="H29" i="4" l="1"/>
  <c r="F28" i="4"/>
  <c r="G28" i="4" s="1"/>
  <c r="Y34" i="4"/>
  <c r="Y35" i="4" s="1"/>
  <c r="AA35" i="4" s="1"/>
  <c r="AA36" i="4" s="1"/>
  <c r="E32" i="4" s="1"/>
  <c r="H28" i="4" l="1"/>
  <c r="Y36" i="4"/>
  <c r="D32" i="4" s="1"/>
  <c r="Z36" i="4" l="1"/>
  <c r="F32" i="4" s="1"/>
  <c r="G32" i="4" s="1"/>
  <c r="N12" i="21"/>
  <c r="O12" i="21" s="1"/>
  <c r="O8" i="21"/>
  <c r="N11" i="21"/>
  <c r="O11" i="21" s="1"/>
  <c r="O10" i="21"/>
  <c r="N13" i="21"/>
  <c r="O13" i="21" s="1"/>
  <c r="R17" i="21"/>
  <c r="V17" i="21" s="1"/>
  <c r="N7" i="21"/>
  <c r="T17" i="21"/>
  <c r="O7" i="21" l="1"/>
  <c r="U22" i="21" s="1"/>
  <c r="V22" i="21" s="1"/>
  <c r="X8" i="21"/>
  <c r="V9" i="21"/>
  <c r="V13" i="21"/>
  <c r="L16" i="26"/>
  <c r="O16" i="26"/>
  <c r="W12" i="21"/>
  <c r="V12" i="21"/>
  <c r="W7" i="21"/>
  <c r="V7" i="21"/>
  <c r="U16" i="26"/>
  <c r="V10" i="21"/>
  <c r="W10" i="21"/>
  <c r="R16" i="26"/>
  <c r="V11" i="21"/>
  <c r="W8" i="21"/>
  <c r="V8" i="21"/>
  <c r="Y16" i="26"/>
  <c r="W22" i="21" l="1"/>
  <c r="N28" i="26"/>
  <c r="Y22" i="21"/>
  <c r="U21" i="21"/>
  <c r="N27" i="26" s="1"/>
  <c r="P30" i="26" s="1"/>
  <c r="O16" i="21"/>
  <c r="AE16" i="26"/>
  <c r="AB16" i="26"/>
  <c r="X7" i="21"/>
  <c r="X11" i="21"/>
  <c r="X12" i="21"/>
  <c r="X10" i="21"/>
  <c r="X13" i="21"/>
  <c r="X9" i="21"/>
  <c r="AH20" i="26" l="1"/>
  <c r="W21" i="21"/>
  <c r="U25" i="21"/>
  <c r="V21" i="21"/>
  <c r="Y21" i="21"/>
  <c r="V25" i="21" l="1"/>
</calcChain>
</file>

<file path=xl/sharedStrings.xml><?xml version="1.0" encoding="utf-8"?>
<sst xmlns="http://schemas.openxmlformats.org/spreadsheetml/2006/main" count="858" uniqueCount="439">
  <si>
    <t>SHIP'S NAME</t>
  </si>
  <si>
    <t>SHIP DATA</t>
  </si>
  <si>
    <t>DRAFT MARK DISTANCES TO PERPENDICULARS</t>
  </si>
  <si>
    <t>Port of Registry</t>
  </si>
  <si>
    <t>Gross Tonage</t>
  </si>
  <si>
    <t xml:space="preserve">   Initial Survey</t>
  </si>
  <si>
    <t>Net Tonage</t>
  </si>
  <si>
    <t>For'd</t>
  </si>
  <si>
    <t>Summer Draught (m)</t>
  </si>
  <si>
    <t>Mid</t>
  </si>
  <si>
    <t>Summer Displacement</t>
  </si>
  <si>
    <t>Aft</t>
  </si>
  <si>
    <t>Summer Deadweight</t>
  </si>
  <si>
    <t>Light Ship</t>
  </si>
  <si>
    <t xml:space="preserve">   Final Survey</t>
  </si>
  <si>
    <t>LBP (m)</t>
  </si>
  <si>
    <t>BEAM (m)</t>
  </si>
  <si>
    <t>LOA (m)</t>
  </si>
  <si>
    <t>FWA (mm)</t>
  </si>
  <si>
    <t>HATCH DATA</t>
  </si>
  <si>
    <t>TANK DATA</t>
  </si>
  <si>
    <t>Hatch</t>
  </si>
  <si>
    <t>LCG</t>
  </si>
  <si>
    <t>Tanks</t>
  </si>
  <si>
    <t>TOTAL</t>
  </si>
  <si>
    <t>Draft</t>
  </si>
  <si>
    <t>Disp</t>
  </si>
  <si>
    <t>TPC</t>
  </si>
  <si>
    <t>LCF</t>
  </si>
  <si>
    <t>Actual sea water density</t>
  </si>
  <si>
    <t>Fuel Oil</t>
  </si>
  <si>
    <t>Diesel Oil</t>
  </si>
  <si>
    <t>Fresh Water</t>
  </si>
  <si>
    <t>Measured Draft</t>
  </si>
  <si>
    <t>Fore</t>
  </si>
  <si>
    <t>Midship</t>
  </si>
  <si>
    <t>Ballast</t>
  </si>
  <si>
    <t>Starboard</t>
  </si>
  <si>
    <t>Others</t>
  </si>
  <si>
    <t>Port</t>
  </si>
  <si>
    <t>Mean</t>
  </si>
  <si>
    <t>dØ</t>
  </si>
  <si>
    <t>Constant</t>
  </si>
  <si>
    <t>App. Trim</t>
  </si>
  <si>
    <t>Correction to Draft</t>
  </si>
  <si>
    <t>Draft correction</t>
  </si>
  <si>
    <t>Corrected Draft</t>
  </si>
  <si>
    <t>dFP=</t>
  </si>
  <si>
    <t>dAP=</t>
  </si>
  <si>
    <t>Mean Draft</t>
  </si>
  <si>
    <t>dM=</t>
  </si>
  <si>
    <t>T=</t>
  </si>
  <si>
    <t>DRAFT</t>
  </si>
  <si>
    <t>DISP</t>
  </si>
  <si>
    <t>MCTC</t>
  </si>
  <si>
    <t>MTC+/-</t>
  </si>
  <si>
    <t>MTC ~</t>
  </si>
  <si>
    <t>Correction by deflection</t>
  </si>
  <si>
    <t xml:space="preserve"> </t>
  </si>
  <si>
    <t>dM</t>
  </si>
  <si>
    <t>Diff</t>
  </si>
  <si>
    <t>dAv=</t>
  </si>
  <si>
    <t>Correction by trim</t>
  </si>
  <si>
    <t>Displacement at dAv</t>
  </si>
  <si>
    <t>Corr. displ due to trim</t>
  </si>
  <si>
    <t>1st corr</t>
  </si>
  <si>
    <t>2nd corr</t>
  </si>
  <si>
    <t>Corrected Displacement</t>
  </si>
  <si>
    <t>Correction for density</t>
  </si>
  <si>
    <t>p=</t>
  </si>
  <si>
    <t>Resultant displacement</t>
  </si>
  <si>
    <t>LIGHT SHIP</t>
  </si>
  <si>
    <t>DEAD WEIGHT</t>
  </si>
  <si>
    <t>Known weights</t>
  </si>
  <si>
    <t>Ballast water</t>
  </si>
  <si>
    <t>TOTAL WEIGHT</t>
  </si>
  <si>
    <t>True Trim</t>
  </si>
  <si>
    <t>dAv=(dØx3+dM)/4</t>
  </si>
  <si>
    <t>Mid Mean</t>
  </si>
  <si>
    <t>dF=</t>
  </si>
  <si>
    <t>dØ=</t>
  </si>
  <si>
    <t>dA=</t>
  </si>
  <si>
    <t>Av=(dØ+dM)/2</t>
  </si>
  <si>
    <t>Mean of Mean</t>
  </si>
  <si>
    <t>total</t>
  </si>
  <si>
    <t>Bunker (F.O. &amp; D.O.)</t>
  </si>
  <si>
    <r>
      <t>CAPACITY (m</t>
    </r>
    <r>
      <rPr>
        <vertAlign val="superscript"/>
        <sz val="12"/>
        <rFont val="Arial"/>
        <family val="2"/>
      </rPr>
      <t>3</t>
    </r>
    <r>
      <rPr>
        <sz val="12"/>
        <rFont val="Arial"/>
        <family val="2"/>
      </rPr>
      <t>)</t>
    </r>
  </si>
  <si>
    <t>Cargo</t>
  </si>
  <si>
    <t>CARGO</t>
  </si>
  <si>
    <t>cm</t>
  </si>
  <si>
    <t>Req'd Departure Trim</t>
  </si>
  <si>
    <t>Req'd Departure Draft</t>
  </si>
  <si>
    <t>m</t>
  </si>
  <si>
    <t>aft</t>
  </si>
  <si>
    <t>mid</t>
  </si>
  <si>
    <t>fwd</t>
  </si>
  <si>
    <t>sinkage req'd</t>
  </si>
  <si>
    <t>by draft</t>
  </si>
  <si>
    <t>sinkage</t>
  </si>
  <si>
    <t>half draft</t>
  </si>
  <si>
    <t>df</t>
  </si>
  <si>
    <t>da</t>
  </si>
  <si>
    <t>fwd hatch</t>
  </si>
  <si>
    <t>aft hatch</t>
  </si>
  <si>
    <t>present trim</t>
  </si>
  <si>
    <t>req'd trim</t>
  </si>
  <si>
    <t>COT</t>
  </si>
  <si>
    <t>x + y =</t>
  </si>
  <si>
    <t>by cargo</t>
  </si>
  <si>
    <t>present mid</t>
  </si>
  <si>
    <t>final mid</t>
  </si>
  <si>
    <t>half mid</t>
  </si>
  <si>
    <t>fwd hatch per 100T</t>
  </si>
  <si>
    <t>aft hatch per 100T</t>
  </si>
  <si>
    <t>drafts at perpendicular</t>
  </si>
  <si>
    <t>by ordered cargo</t>
  </si>
  <si>
    <t xml:space="preserve">arrival draft </t>
  </si>
  <si>
    <t xml:space="preserve">tanks </t>
  </si>
  <si>
    <t>wts.</t>
  </si>
  <si>
    <t>moment</t>
  </si>
  <si>
    <t>total weights</t>
  </si>
  <si>
    <t>trim</t>
  </si>
  <si>
    <t>change of trim</t>
  </si>
  <si>
    <t>Arrival draft</t>
  </si>
  <si>
    <t>S.G.</t>
  </si>
  <si>
    <t>LCB</t>
  </si>
  <si>
    <t>initial</t>
  </si>
  <si>
    <t>intermediate</t>
  </si>
  <si>
    <t>final</t>
  </si>
  <si>
    <t>Arrival draft at S.G.</t>
  </si>
  <si>
    <t>Departure draft</t>
  </si>
  <si>
    <t>Shore figure</t>
  </si>
  <si>
    <t>Ship's figure</t>
  </si>
  <si>
    <t>Belt error</t>
  </si>
  <si>
    <t>MT</t>
  </si>
  <si>
    <t>CARGO TO ORDER</t>
  </si>
  <si>
    <t xml:space="preserve">LESS </t>
  </si>
  <si>
    <t>MORE</t>
  </si>
  <si>
    <t>CARGO ORDERED</t>
  </si>
  <si>
    <t>Requested</t>
  </si>
  <si>
    <t>Mean Mid</t>
  </si>
  <si>
    <t>Mean draft (corr)</t>
  </si>
  <si>
    <t>Quarter Mean</t>
  </si>
  <si>
    <t>TRIMMING BY DRAFT</t>
  </si>
  <si>
    <t>TRIMMING BY CARGO</t>
  </si>
  <si>
    <t>TRIMMING BY CARGO REQUESTED</t>
  </si>
  <si>
    <t>ARRIVAL DRAFT CALCULATION</t>
  </si>
  <si>
    <t>With Belt Error Corr.</t>
  </si>
  <si>
    <t>Displacement</t>
  </si>
  <si>
    <t>INITIAL</t>
  </si>
  <si>
    <t>INTERIM</t>
  </si>
  <si>
    <t>FINAL</t>
  </si>
  <si>
    <r>
      <t xml:space="preserve">Formula: (ship fig-shore fig) </t>
    </r>
    <r>
      <rPr>
        <sz val="11"/>
        <color indexed="8"/>
        <rFont val="Calibri"/>
        <family val="2"/>
      </rPr>
      <t>÷</t>
    </r>
    <r>
      <rPr>
        <sz val="11"/>
        <color theme="1"/>
        <rFont val="Arial"/>
        <family val="2"/>
      </rPr>
      <t xml:space="preserve"> ship fig x 100</t>
    </r>
  </si>
  <si>
    <t>INITIAL SURVEY</t>
  </si>
  <si>
    <t>INTERIM SURVEY</t>
  </si>
  <si>
    <t>.</t>
    <phoneticPr fontId="29" type="noConversion"/>
  </si>
  <si>
    <t>CHANGE OF DRAFT/TRIM DUE TO DENSITY</t>
  </si>
  <si>
    <t>FWD</t>
  </si>
  <si>
    <t>OLD DENSITY</t>
  </si>
  <si>
    <t>AFT</t>
  </si>
  <si>
    <t>NEW DENSITY</t>
  </si>
  <si>
    <t>MID</t>
  </si>
  <si>
    <t>TRIM</t>
  </si>
  <si>
    <t>MEAN</t>
  </si>
  <si>
    <t>DISP.</t>
  </si>
  <si>
    <t>MTC</t>
  </si>
  <si>
    <t>DRAFT CHANGE</t>
  </si>
  <si>
    <t>TRIM CHANGE</t>
  </si>
  <si>
    <t>Port:</t>
  </si>
  <si>
    <t>Date:</t>
  </si>
  <si>
    <t>Actual Sea Water Density</t>
  </si>
  <si>
    <t>FINAL SURVEY</t>
  </si>
  <si>
    <t>DRAFT SURVEY REPORT</t>
  </si>
  <si>
    <t>DRAUGHTS (meters)</t>
  </si>
  <si>
    <t>Mean Midships</t>
  </si>
  <si>
    <t>Density (kg/l)</t>
  </si>
  <si>
    <t>Corrected for Trim</t>
  </si>
  <si>
    <t>Corrected for Density</t>
  </si>
  <si>
    <t>Total Known Weights</t>
  </si>
  <si>
    <t>Deadweight</t>
  </si>
  <si>
    <t>EQUIVALENT TO</t>
  </si>
  <si>
    <t>Forward Mean</t>
  </si>
  <si>
    <t>Aft Mean</t>
  </si>
  <si>
    <t>Fore &amp; Aft Mean</t>
  </si>
  <si>
    <t>Mean of Means</t>
  </si>
  <si>
    <t>Double Means of Means</t>
  </si>
  <si>
    <t>From Vessel's Scale</t>
  </si>
  <si>
    <t>Bunkers FO &amp; DO</t>
  </si>
  <si>
    <t>Voy. No:</t>
  </si>
  <si>
    <t>DENSITY</t>
  </si>
  <si>
    <t>DISPLACEMENT</t>
  </si>
  <si>
    <t>LOAD LINE WATER MARK</t>
  </si>
  <si>
    <t>FREEBOARD</t>
  </si>
  <si>
    <t>DEADWEIGHT</t>
  </si>
  <si>
    <t>MAXIMUM LOAD WEIGHT</t>
  </si>
  <si>
    <t>Cargo Onboard</t>
  </si>
  <si>
    <t xml:space="preserve"> Cargo Onboard</t>
  </si>
  <si>
    <t>Difference</t>
  </si>
  <si>
    <t>Trimming Hatch</t>
  </si>
  <si>
    <t>Remaining Cargo</t>
  </si>
  <si>
    <t>Present S.G.</t>
  </si>
  <si>
    <t>Draft at Perpendicular after Loading</t>
  </si>
  <si>
    <t>Est. total cargo after trimming =</t>
  </si>
  <si>
    <t>Arrival S.G.</t>
  </si>
  <si>
    <t>Present R.O.B.</t>
  </si>
  <si>
    <t>Arrival R.O.B.</t>
  </si>
  <si>
    <t>Present</t>
  </si>
  <si>
    <t>Arrival</t>
  </si>
  <si>
    <t>Interim Survey</t>
  </si>
  <si>
    <t>Draft at Perpendicular Arrival Port</t>
  </si>
  <si>
    <t xml:space="preserve"> FINAL DRAFT W/DENSITY CORR</t>
  </si>
  <si>
    <t>LOAD=1 DISCH=2</t>
  </si>
  <si>
    <t>req ballast</t>
  </si>
  <si>
    <t>Ships Name</t>
  </si>
  <si>
    <t>Gross Tonnage</t>
  </si>
  <si>
    <t>Summer Draft</t>
  </si>
  <si>
    <t>Yoyage Number</t>
  </si>
  <si>
    <t>Load Port</t>
  </si>
  <si>
    <t>Discharge Port</t>
  </si>
  <si>
    <t>Known Weights</t>
  </si>
  <si>
    <t>Interim Draft at Perpendiculars</t>
  </si>
  <si>
    <t>TF</t>
  </si>
  <si>
    <t>F</t>
  </si>
  <si>
    <t>T</t>
  </si>
  <si>
    <t>S</t>
  </si>
  <si>
    <t>W</t>
  </si>
  <si>
    <t>FWT PORT</t>
  </si>
  <si>
    <t>DWT STBD</t>
  </si>
  <si>
    <t>APT</t>
  </si>
  <si>
    <t>Chief Officer</t>
  </si>
  <si>
    <t>Total BW</t>
  </si>
  <si>
    <t>Total DO</t>
  </si>
  <si>
    <t xml:space="preserve">Total FW </t>
  </si>
  <si>
    <t>Total FO</t>
  </si>
  <si>
    <t>Req'd total cargo</t>
  </si>
  <si>
    <t>TOTAL REQUEST</t>
  </si>
  <si>
    <t>DRAFT SURVEY FIGURE</t>
  </si>
  <si>
    <t>SHORE FIGURE</t>
  </si>
  <si>
    <t>GRADE</t>
  </si>
  <si>
    <t>PLANNED TANK TOP ALLOWANCE</t>
  </si>
  <si>
    <t>Max. Allowable Wt</t>
  </si>
  <si>
    <t>TTL SHORE FIGURE</t>
  </si>
  <si>
    <t>TOTAL PLANNED</t>
  </si>
  <si>
    <t>PLAN</t>
  </si>
  <si>
    <t>REQUIRED</t>
  </si>
  <si>
    <t>PLUS 10%</t>
  </si>
  <si>
    <t>MINUS 10%</t>
  </si>
  <si>
    <t>PLANNED TONNES</t>
  </si>
  <si>
    <t>DRAFT SURVEY TONNES</t>
  </si>
  <si>
    <t>SHORE  FIGURE TONNES</t>
  </si>
  <si>
    <t>FPT</t>
  </si>
  <si>
    <t>M OF M</t>
  </si>
  <si>
    <t>DIFFERENCE</t>
  </si>
  <si>
    <t>REMARKS</t>
  </si>
  <si>
    <t>CONSUMPTION</t>
  </si>
  <si>
    <t>BALLAST QTY TO PUMP OUT</t>
  </si>
  <si>
    <t>DIFFERENCE FROM PLANNED - DRAFT SURVEY</t>
  </si>
  <si>
    <t>HATCH BREAKDOWN / STOWAGE SUMMARY</t>
  </si>
  <si>
    <r>
      <rPr>
        <b/>
        <u/>
        <sz val="16"/>
        <color rgb="FFFF0000"/>
        <rFont val="Calibri"/>
        <family val="2"/>
        <scheme val="minor"/>
      </rPr>
      <t>DRAFT SURVEY</t>
    </r>
    <r>
      <rPr>
        <b/>
        <sz val="16"/>
        <color rgb="FFFF0000"/>
        <rFont val="Calibri"/>
        <family val="2"/>
        <scheme val="minor"/>
      </rPr>
      <t xml:space="preserve"> TANK TOP ALLOWANCE</t>
    </r>
  </si>
  <si>
    <t>LOAD PORT</t>
  </si>
  <si>
    <t xml:space="preserve">VOY NO. </t>
  </si>
  <si>
    <t>Total LO</t>
  </si>
  <si>
    <t>REMARKS:</t>
  </si>
  <si>
    <t>From the figures obtained by means of the draught marks checked at the initial and final surveys, I hereby certify the weight of the cargo which was loaded on vessel to be as follows:</t>
  </si>
  <si>
    <t>Initial Survey Completed</t>
  </si>
  <si>
    <t>Final Survey Completed</t>
  </si>
  <si>
    <t>Remarks:</t>
  </si>
  <si>
    <t>DRAFT MARK DISTANCE</t>
  </si>
  <si>
    <t>WBT 1 P</t>
  </si>
  <si>
    <t>WBT 1S</t>
  </si>
  <si>
    <t>WBT 2P</t>
  </si>
  <si>
    <t>WBT 2S</t>
  </si>
  <si>
    <t>WBT 3 P</t>
  </si>
  <si>
    <t>WBT 3S</t>
  </si>
  <si>
    <t>WBT 4P</t>
  </si>
  <si>
    <t>WBT 4S</t>
  </si>
  <si>
    <t>WBT 5P</t>
  </si>
  <si>
    <t>WBT 5S</t>
  </si>
  <si>
    <t>DWST P/S</t>
  </si>
  <si>
    <t>FWT P</t>
  </si>
  <si>
    <t>FWT S</t>
  </si>
  <si>
    <t>DW S</t>
  </si>
  <si>
    <t>1 FOT P</t>
  </si>
  <si>
    <t>1FOT S</t>
  </si>
  <si>
    <t>2FOT P</t>
  </si>
  <si>
    <t>2FOT S</t>
  </si>
  <si>
    <t>SET/SERV</t>
  </si>
  <si>
    <t>1DOTS</t>
  </si>
  <si>
    <t>2DOTS</t>
  </si>
  <si>
    <t>SET SERV</t>
  </si>
  <si>
    <t>LUB OIL</t>
  </si>
  <si>
    <t>Sea Condition:</t>
  </si>
  <si>
    <t>Others:</t>
  </si>
  <si>
    <t>Swell:</t>
  </si>
  <si>
    <t xml:space="preserve"> - NON CARGO WEIGHTS SUMMARY-</t>
  </si>
  <si>
    <t>TOTAL BW</t>
  </si>
  <si>
    <t>TOTAL DO</t>
  </si>
  <si>
    <t>TOTAL FO</t>
  </si>
  <si>
    <t>TOTAL FW</t>
  </si>
  <si>
    <t>Shore Figure Error/Belt Error</t>
  </si>
  <si>
    <r>
      <t xml:space="preserve">FINAL DRAFT SURVEY FIGURE </t>
    </r>
    <r>
      <rPr>
        <b/>
        <u/>
        <sz val="11"/>
        <rFont val="Calibri"/>
        <family val="2"/>
        <scheme val="minor"/>
      </rPr>
      <t>AS PER BL</t>
    </r>
  </si>
  <si>
    <t>LBDM</t>
  </si>
  <si>
    <t>TTL M3</t>
  </si>
  <si>
    <t>ADJUSTMENT TO MINIMUM</t>
  </si>
  <si>
    <t>TTL m3</t>
  </si>
  <si>
    <t>ACTUAL FILL %</t>
  </si>
  <si>
    <t>1m3/MT</t>
    <phoneticPr fontId="2"/>
  </si>
  <si>
    <t>=</t>
  </si>
  <si>
    <t>CF/LT</t>
    <phoneticPr fontId="2"/>
  </si>
  <si>
    <t>1LT</t>
  </si>
  <si>
    <t>HATCH CAPACITY</t>
  </si>
  <si>
    <t>STOWAGE FACTOR (M3/MT)</t>
  </si>
  <si>
    <t>MAX CAPACITY BY SF</t>
  </si>
  <si>
    <t>S/F Conversion Table</t>
  </si>
  <si>
    <t>CF/LT</t>
  </si>
  <si>
    <t>CF/MT</t>
    <phoneticPr fontId="10"/>
  </si>
  <si>
    <t>m3/MT</t>
    <phoneticPr fontId="10"/>
  </si>
  <si>
    <t>MT/m3</t>
    <phoneticPr fontId="10"/>
  </si>
  <si>
    <t xml:space="preserve">      VOY NO.:</t>
  </si>
  <si>
    <t>LOADING PORT:</t>
  </si>
  <si>
    <t>DATE:</t>
  </si>
  <si>
    <t>DISCHARGING PORT:</t>
  </si>
  <si>
    <t>STOWAGE PLAN</t>
  </si>
  <si>
    <t>Total:</t>
  </si>
  <si>
    <t>`</t>
  </si>
  <si>
    <t>Master</t>
  </si>
  <si>
    <t>TOKYO</t>
  </si>
  <si>
    <t>1 FOT PORT</t>
  </si>
  <si>
    <t>1 FOT STBD</t>
  </si>
  <si>
    <t>2 FOT STBD</t>
  </si>
  <si>
    <t>1 DOT STBD</t>
  </si>
  <si>
    <t>2 DOT STBD</t>
  </si>
  <si>
    <t>1 WBT P</t>
  </si>
  <si>
    <t>1 WBT S</t>
  </si>
  <si>
    <t>2 WBT P</t>
  </si>
  <si>
    <t>2 WBT S</t>
  </si>
  <si>
    <t>3 WBT P</t>
  </si>
  <si>
    <t>3 WBT S</t>
  </si>
  <si>
    <t>4 WBT P</t>
  </si>
  <si>
    <t>4 WBT S</t>
  </si>
  <si>
    <t>5 WBT P</t>
  </si>
  <si>
    <t>5 WBT S</t>
  </si>
  <si>
    <t>MSD</t>
  </si>
  <si>
    <t>REVISION</t>
  </si>
  <si>
    <t>PBF</t>
  </si>
  <si>
    <t>Grade</t>
  </si>
  <si>
    <t>HOLD</t>
  </si>
  <si>
    <t>Cargo Grade</t>
  </si>
  <si>
    <t>FINDING DRAFT @ CERTAIN LIST</t>
  </si>
  <si>
    <t>STARBOARD SIDE ALONGSIDE</t>
  </si>
  <si>
    <t>LIST</t>
  </si>
  <si>
    <t>DEG</t>
  </si>
  <si>
    <t>M</t>
  </si>
  <si>
    <t>BREADTH</t>
  </si>
  <si>
    <t>mtrs</t>
  </si>
  <si>
    <t>PORT</t>
  </si>
  <si>
    <t>STBD</t>
  </si>
  <si>
    <t>Fwd</t>
  </si>
  <si>
    <t>PORT SIDE ALONGSIDE</t>
  </si>
  <si>
    <t>Date/Time:</t>
  </si>
  <si>
    <t>VOYAGE No.:</t>
  </si>
  <si>
    <t>PORT:</t>
  </si>
  <si>
    <t>PLANNED MSD:</t>
  </si>
  <si>
    <t>SHORE SCALE FIGURE</t>
  </si>
  <si>
    <t>ACTUAL ALLOWANCE</t>
  </si>
  <si>
    <t>10% MOLOO</t>
  </si>
  <si>
    <t>Max Tank Strenght 100%</t>
  </si>
  <si>
    <t>PLANNED ALLOWANCE</t>
  </si>
  <si>
    <t>1st pass</t>
  </si>
  <si>
    <t>2nd pass</t>
  </si>
  <si>
    <t>3rd pass</t>
  </si>
  <si>
    <t>TRIMMING QTY</t>
  </si>
  <si>
    <t>Additional</t>
  </si>
  <si>
    <t>TO GO</t>
  </si>
  <si>
    <t>COMBINED</t>
  </si>
  <si>
    <t>PER HOLD</t>
  </si>
  <si>
    <t>Order</t>
  </si>
  <si>
    <t>Min.</t>
  </si>
  <si>
    <t>Max</t>
  </si>
  <si>
    <t>TOTAL ORDER QTY</t>
  </si>
  <si>
    <t>Total Planned</t>
  </si>
  <si>
    <t>Estimate Rate</t>
  </si>
  <si>
    <t>Estimate Load/Disch Time</t>
  </si>
  <si>
    <t>Date/Time Started</t>
  </si>
  <si>
    <t>Estimate Completion</t>
  </si>
  <si>
    <t>Date/Time Now</t>
  </si>
  <si>
    <t>Total Figure</t>
  </si>
  <si>
    <t>Remaining</t>
  </si>
  <si>
    <t>Total Work Hours</t>
  </si>
  <si>
    <t>Actual Rate</t>
  </si>
  <si>
    <t>Total Stoppage Hours</t>
  </si>
  <si>
    <t>Hours to go</t>
  </si>
  <si>
    <t>POUR</t>
  </si>
  <si>
    <t>HATCH</t>
  </si>
  <si>
    <t>ACTUAL BELT TONNES</t>
  </si>
  <si>
    <t>SUBTOTAL</t>
  </si>
  <si>
    <t>ACTUAL</t>
  </si>
  <si>
    <t>DIFF</t>
  </si>
  <si>
    <t>SHORE FIGURE TANK TOP ALLOWANCE</t>
  </si>
  <si>
    <t>TOTAL:</t>
  </si>
  <si>
    <t>QUANTITY</t>
  </si>
  <si>
    <t>Completed</t>
  </si>
  <si>
    <t>Survey Commenced</t>
  </si>
  <si>
    <t>TOTAL TO GO</t>
  </si>
  <si>
    <t>Pilbara Blend Fines</t>
  </si>
  <si>
    <t>TRIMMING</t>
  </si>
  <si>
    <t>C/O Harris N. Delmo</t>
  </si>
  <si>
    <t xml:space="preserve">SEQUENCE: ALL FINES </t>
  </si>
  <si>
    <t>Pilbara Blend Lumps</t>
  </si>
  <si>
    <t>Moderate</t>
  </si>
  <si>
    <t xml:space="preserve">FINAL MSD declared at 18.12m </t>
  </si>
  <si>
    <t>P</t>
  </si>
  <si>
    <t>PBL</t>
  </si>
  <si>
    <t>WARRAMBOO</t>
  </si>
  <si>
    <t xml:space="preserve">2 FOT PORT </t>
  </si>
  <si>
    <t>1 FO SETT (S)</t>
  </si>
  <si>
    <t>2 FO SETT (S)</t>
  </si>
  <si>
    <t>1 FO SERV (S)</t>
  </si>
  <si>
    <t>2 FO SERV (S)</t>
  </si>
  <si>
    <t>LO SUMP '(C)</t>
  </si>
  <si>
    <t>APT '(C)</t>
  </si>
  <si>
    <t>DWST (P)</t>
  </si>
  <si>
    <t>DWST (S)</t>
  </si>
  <si>
    <t>WARRAMBOO - HATCH BREAKDOWN CALCULATION</t>
  </si>
  <si>
    <t>M.V. WARRAMBOO</t>
  </si>
  <si>
    <t>PORT WALCOTT, AUSTRALIA</t>
  </si>
  <si>
    <t>Cargo Quantity as per BL 247,974 MT</t>
  </si>
  <si>
    <t xml:space="preserve"> Cargo is 229MT more than BL</t>
  </si>
  <si>
    <t xml:space="preserve"> Cargo was 229MT more than BL</t>
  </si>
  <si>
    <t>PORT WALCOTT, AUS</t>
  </si>
  <si>
    <t>PORT WALCOTT</t>
  </si>
  <si>
    <t>Capt. Antonio G. Bracamonte</t>
  </si>
  <si>
    <t xml:space="preserve">FINAL MSD declared at 18.025m </t>
  </si>
  <si>
    <t>MAIN CHINESE PORT</t>
  </si>
  <si>
    <t>PB FINES &amp; PB LUMPS</t>
  </si>
  <si>
    <t>102A</t>
  </si>
  <si>
    <t>QINGDAO &amp; LANSHAN</t>
  </si>
  <si>
    <t>Low Swell</t>
  </si>
  <si>
    <t>Calm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</si>
</sst>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¥&quot;#,##0;[Red]&quot;¥&quot;\-#,##0"/>
    <numFmt numFmtId="165" formatCode="&quot;¥&quot;#,##0.00;[Red]&quot;¥&quot;\-#,##0.00"/>
    <numFmt numFmtId="166" formatCode="00000"/>
    <numFmt numFmtId="167" formatCode="0.0"/>
    <numFmt numFmtId="168" formatCode="0.000"/>
    <numFmt numFmtId="169" formatCode="0.00_)"/>
    <numFmt numFmtId="170" formatCode="0.0000"/>
    <numFmt numFmtId="171" formatCode="0.00000"/>
    <numFmt numFmtId="172" formatCode="0.00&quot;°&quot;"/>
    <numFmt numFmtId="173" formatCode="0.000_)"/>
    <numFmt numFmtId="174" formatCode="0.000\ &quot;m&quot;"/>
    <numFmt numFmtId="175" formatCode="#,##0\ &quot;MT&quot;"/>
    <numFmt numFmtId="176" formatCode="0.00\ &quot;m&quot;"/>
    <numFmt numFmtId="177" formatCode="#,##0.0"/>
    <numFmt numFmtId="178" formatCode="0.0000_)"/>
    <numFmt numFmtId="179" formatCode="0,000"/>
    <numFmt numFmtId="180" formatCode="#,##0.00\ &quot;MT&quot;"/>
    <numFmt numFmtId="181" formatCode="#,#00"/>
    <numFmt numFmtId="182" formatCode="#,#00\ &quot;MT&quot;"/>
    <numFmt numFmtId="183" formatCode="hhmm&quot;H LT&quot;"/>
    <numFmt numFmtId="184" formatCode="#,###\ &quot;mt&quot;"/>
    <numFmt numFmtId="185" formatCode="#,###\ "/>
    <numFmt numFmtId="186" formatCode="0.0&quot;%&quot;"/>
    <numFmt numFmtId="187" formatCode="#,##0\ &quot;LONG TONS&quot;"/>
    <numFmt numFmtId="188" formatCode="hh:mm\ dd/mmm/yyyy"/>
    <numFmt numFmtId="189" formatCode="#,##0\ &quot;m3&quot;"/>
    <numFmt numFmtId="190" formatCode="dd\-mmm\-yyyy"/>
    <numFmt numFmtId="191" formatCode="#,##0.00\ &quot;m3&quot;"/>
    <numFmt numFmtId="192" formatCode="0\ &quot;%&quot;"/>
    <numFmt numFmtId="193" formatCode="0.00_);[Red]\(0.00\)"/>
    <numFmt numFmtId="194" formatCode="0.000_);[Red]\(0.000\)"/>
    <numFmt numFmtId="195" formatCode="[$-409]d\-mmm\-yy;@"/>
    <numFmt numFmtId="196" formatCode="dd/mmm/yy\ hh:mm"/>
    <numFmt numFmtId="197" formatCode="#,##0\ &quot;MT/hr&quot;"/>
    <numFmt numFmtId="198" formatCode="dd:hh:mm"/>
    <numFmt numFmtId="199" formatCode="0.00\ &quot;hours&quot;"/>
    <numFmt numFmtId="200" formatCode="0.00&quot;m&quot;"/>
  </numFmts>
  <fonts count="186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i/>
      <sz val="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color indexed="9"/>
      <name val="Arial"/>
      <family val="2"/>
    </font>
    <font>
      <b/>
      <sz val="12"/>
      <color indexed="12"/>
      <name val="Arial"/>
      <family val="2"/>
    </font>
    <font>
      <sz val="12"/>
      <color indexed="12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indexed="8"/>
      <name val="Arial"/>
      <family val="2"/>
    </font>
    <font>
      <vertAlign val="superscript"/>
      <sz val="12"/>
      <name val="Arial"/>
      <family val="2"/>
    </font>
    <font>
      <sz val="10"/>
      <color indexed="8"/>
      <name val="Arial"/>
      <family val="2"/>
    </font>
    <font>
      <sz val="11"/>
      <color indexed="10"/>
      <name val="Arial"/>
      <family val="2"/>
    </font>
    <font>
      <sz val="11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8"/>
      <name val="Arial"/>
      <family val="2"/>
    </font>
    <font>
      <sz val="11"/>
      <color indexed="8"/>
      <name val="Arial"/>
      <family val="2"/>
    </font>
    <font>
      <b/>
      <sz val="11"/>
      <color indexed="9"/>
      <name val="Arial"/>
      <family val="2"/>
    </font>
    <font>
      <b/>
      <sz val="9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1"/>
      <color indexed="8"/>
      <name val="Calibri"/>
      <family val="2"/>
    </font>
    <font>
      <b/>
      <sz val="14"/>
      <color indexed="8"/>
      <name val="Arial"/>
      <family val="2"/>
    </font>
    <font>
      <sz val="11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0"/>
      <name val="Times New Roman"/>
      <family val="1"/>
    </font>
    <font>
      <sz val="10"/>
      <name val="Tahoma"/>
      <family val="2"/>
    </font>
    <font>
      <sz val="10"/>
      <name val="MS Sans Serif"/>
      <family val="2"/>
    </font>
    <font>
      <b/>
      <u/>
      <sz val="20"/>
      <color indexed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6"/>
      <color indexed="9"/>
      <name val="Arial"/>
      <family val="2"/>
    </font>
    <font>
      <b/>
      <u/>
      <sz val="16"/>
      <color indexed="8"/>
      <name val="Arial"/>
      <family val="2"/>
    </font>
    <font>
      <b/>
      <sz val="10"/>
      <name val="Arial Black"/>
      <family val="2"/>
    </font>
    <font>
      <b/>
      <sz val="12"/>
      <color indexed="8"/>
      <name val="Arial Black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6"/>
      <name val="Calibri"/>
      <family val="2"/>
      <scheme val="minor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sz val="10"/>
      <name val="Calibri"/>
      <family val="2"/>
      <scheme val="minor"/>
    </font>
    <font>
      <sz val="9"/>
      <color theme="1"/>
      <name val="Arial Black"/>
      <family val="2"/>
    </font>
    <font>
      <b/>
      <sz val="9"/>
      <color theme="1"/>
      <name val="Arial"/>
      <family val="2"/>
    </font>
    <font>
      <sz val="20"/>
      <color theme="1"/>
      <name val="Arial Black"/>
      <family val="2"/>
    </font>
    <font>
      <b/>
      <sz val="16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rgb="FFFF0000"/>
      <name val="Arial"/>
      <family val="2"/>
    </font>
    <font>
      <b/>
      <sz val="1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28"/>
      <name val="Calibri"/>
      <family val="2"/>
      <scheme val="minor"/>
    </font>
    <font>
      <sz val="20"/>
      <name val="Calibri"/>
      <family val="2"/>
      <scheme val="minor"/>
    </font>
    <font>
      <b/>
      <sz val="14"/>
      <color indexed="9"/>
      <name val="Arial"/>
      <family val="2"/>
    </font>
    <font>
      <sz val="18"/>
      <name val="Calibri"/>
      <family val="2"/>
      <scheme val="minor"/>
    </font>
    <font>
      <b/>
      <sz val="16"/>
      <name val="Arial Narrow"/>
      <family val="2"/>
    </font>
    <font>
      <b/>
      <sz val="18"/>
      <name val="Calibri"/>
      <family val="2"/>
      <scheme val="minor"/>
    </font>
    <font>
      <b/>
      <sz val="2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8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36"/>
      <name val="Arial Black"/>
      <family val="2"/>
    </font>
    <font>
      <b/>
      <i/>
      <sz val="16"/>
      <color theme="1"/>
      <name val="Arial"/>
      <family val="2"/>
    </font>
    <font>
      <b/>
      <u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FF0000"/>
      <name val="Arial"/>
      <family val="2"/>
    </font>
    <font>
      <i/>
      <sz val="14"/>
      <color rgb="FFFF0000"/>
      <name val="Arial"/>
      <family val="2"/>
    </font>
    <font>
      <i/>
      <sz val="11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5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rgb="FF00B0F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20"/>
      <color theme="1"/>
      <name val="Arial"/>
      <family val="2"/>
    </font>
    <font>
      <b/>
      <sz val="24"/>
      <color rgb="FFFF0000"/>
      <name val="Calibri"/>
      <family val="2"/>
      <scheme val="minor"/>
    </font>
    <font>
      <b/>
      <sz val="20"/>
      <color indexed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6"/>
      <color indexed="8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b/>
      <sz val="16"/>
      <color rgb="FFFF0000"/>
      <name val="Arial"/>
      <family val="2"/>
    </font>
    <font>
      <sz val="16"/>
      <color theme="1"/>
      <name val="Arial"/>
      <family val="2"/>
    </font>
    <font>
      <b/>
      <sz val="18"/>
      <color indexed="8"/>
      <name val="Arial"/>
      <family val="2"/>
    </font>
    <font>
      <sz val="18"/>
      <color theme="1"/>
      <name val="Arial"/>
      <family val="2"/>
    </font>
    <font>
      <sz val="18"/>
      <color indexed="10"/>
      <name val="Arial"/>
      <family val="2"/>
    </font>
    <font>
      <sz val="18"/>
      <color indexed="17"/>
      <name val="Arial"/>
      <family val="2"/>
    </font>
    <font>
      <sz val="16"/>
      <name val="Arial"/>
      <family val="2"/>
    </font>
    <font>
      <b/>
      <sz val="16"/>
      <color indexed="56"/>
      <name val="Arial"/>
      <family val="2"/>
    </font>
    <font>
      <b/>
      <sz val="12"/>
      <color indexed="17"/>
      <name val="Arial"/>
      <family val="2"/>
    </font>
    <font>
      <b/>
      <sz val="11"/>
      <color indexed="10"/>
      <name val="Arial"/>
      <family val="2"/>
    </font>
    <font>
      <b/>
      <sz val="11"/>
      <color indexed="17"/>
      <name val="Arial"/>
      <family val="2"/>
    </font>
    <font>
      <b/>
      <i/>
      <sz val="18"/>
      <name val="Arial Narrow"/>
      <family val="2"/>
    </font>
    <font>
      <sz val="24"/>
      <name val="Calibri"/>
      <family val="2"/>
      <scheme val="minor"/>
    </font>
    <font>
      <u/>
      <sz val="12"/>
      <name val="Arial"/>
      <family val="2"/>
    </font>
    <font>
      <b/>
      <i/>
      <u/>
      <sz val="11"/>
      <name val="Arial"/>
      <family val="2"/>
    </font>
    <font>
      <b/>
      <sz val="10"/>
      <color theme="1"/>
      <name val="Arial"/>
      <family val="2"/>
    </font>
    <font>
      <sz val="11"/>
      <color rgb="FF00B0F0"/>
      <name val="Arial"/>
      <family val="2"/>
    </font>
    <font>
      <u/>
      <sz val="11"/>
      <name val="Arial"/>
      <family val="2"/>
    </font>
    <font>
      <b/>
      <sz val="36"/>
      <color indexed="18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8"/>
      <name val="Arial"/>
      <family val="2"/>
    </font>
    <font>
      <b/>
      <sz val="24"/>
      <name val="Arial"/>
      <family val="2"/>
    </font>
    <font>
      <b/>
      <sz val="36"/>
      <name val="Arial Black"/>
      <family val="2"/>
    </font>
    <font>
      <sz val="18"/>
      <name val="Arial"/>
      <family val="2"/>
    </font>
    <font>
      <sz val="24"/>
      <name val="Arial"/>
      <family val="2"/>
    </font>
    <font>
      <b/>
      <sz val="24"/>
      <color indexed="18"/>
      <name val="Calibri"/>
      <family val="2"/>
      <scheme val="minor"/>
    </font>
    <font>
      <b/>
      <sz val="28"/>
      <color indexed="18"/>
      <name val="Calibri"/>
      <family val="2"/>
      <scheme val="minor"/>
    </font>
    <font>
      <sz val="18"/>
      <color rgb="FF00CC0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u/>
      <sz val="24"/>
      <name val="Calibri"/>
      <family val="2"/>
      <scheme val="minor"/>
    </font>
    <font>
      <b/>
      <u/>
      <sz val="28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22"/>
      <color theme="3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48"/>
      <color indexed="1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theme="1"/>
      <name val="Arial"/>
      <family val="2"/>
    </font>
    <font>
      <b/>
      <u/>
      <sz val="16"/>
      <color rgb="FF0070C0"/>
      <name val="Calibri"/>
      <family val="2"/>
      <scheme val="minor"/>
    </font>
    <font>
      <b/>
      <sz val="48"/>
      <name val="Calibri"/>
      <family val="2"/>
      <scheme val="minor"/>
    </font>
    <font>
      <b/>
      <i/>
      <sz val="28"/>
      <name val="Calibri"/>
      <family val="2"/>
      <scheme val="minor"/>
    </font>
    <font>
      <b/>
      <i/>
      <sz val="48"/>
      <name val="Calibri"/>
      <family val="2"/>
      <scheme val="minor"/>
    </font>
    <font>
      <b/>
      <sz val="28"/>
      <name val="Arial Narrow"/>
      <family val="2"/>
    </font>
    <font>
      <b/>
      <i/>
      <sz val="26"/>
      <name val="Calibri"/>
      <family val="2"/>
      <scheme val="minor"/>
    </font>
    <font>
      <b/>
      <i/>
      <sz val="26"/>
      <color rgb="FF0070C0"/>
      <name val="Calibri"/>
      <family val="2"/>
      <scheme val="minor"/>
    </font>
    <font>
      <b/>
      <i/>
      <sz val="26"/>
      <color rgb="FFFF0000"/>
      <name val="Calibri"/>
      <family val="2"/>
      <scheme val="minor"/>
    </font>
    <font>
      <b/>
      <sz val="36"/>
      <color rgb="FFFF0000"/>
      <name val="Arial"/>
      <family val="2"/>
    </font>
    <font>
      <sz val="36"/>
      <color theme="1"/>
      <name val="Arial Black"/>
      <family val="2"/>
    </font>
    <font>
      <sz val="22"/>
      <color theme="1"/>
      <name val="Arial"/>
      <family val="2"/>
    </font>
    <font>
      <b/>
      <sz val="24"/>
      <color rgb="FFFF0000"/>
      <name val="Arial Narrow"/>
      <family val="2"/>
    </font>
    <font>
      <b/>
      <sz val="36"/>
      <color theme="1"/>
      <name val="Calibri"/>
      <family val="3"/>
      <charset val="128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charset val="128"/>
      <scheme val="minor"/>
    </font>
    <font>
      <sz val="36"/>
      <name val="Arial"/>
      <family val="2"/>
    </font>
    <font>
      <b/>
      <sz val="26"/>
      <color theme="1"/>
      <name val="Calibri"/>
      <family val="2"/>
      <scheme val="minor"/>
    </font>
    <font>
      <sz val="22"/>
      <name val="Arial"/>
      <family val="2"/>
    </font>
    <font>
      <b/>
      <sz val="22"/>
      <name val="Arial"/>
      <family val="2"/>
    </font>
    <font>
      <sz val="36"/>
      <color theme="1"/>
      <name val="Arial"/>
      <family val="2"/>
    </font>
    <font>
      <sz val="22"/>
      <color rgb="FFFF0000"/>
      <name val="Arial"/>
      <family val="2"/>
    </font>
    <font>
      <b/>
      <sz val="20"/>
      <color rgb="FF0070C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i/>
      <sz val="20"/>
      <color theme="1"/>
      <name val="Arial"/>
      <family val="2"/>
    </font>
    <font>
      <b/>
      <sz val="28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0070C0"/>
      <name val="Arial"/>
      <family val="2"/>
    </font>
    <font>
      <b/>
      <sz val="20"/>
      <color rgb="FF0070C0"/>
      <name val="Arial"/>
      <family val="2"/>
    </font>
    <font>
      <sz val="14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double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 style="dashed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rgb="FFFF0000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ck">
        <color rgb="FFFF0000"/>
      </right>
      <top/>
      <bottom style="medium">
        <color indexed="64"/>
      </bottom>
      <diagonal/>
    </border>
    <border>
      <left style="thick">
        <color rgb="FFFF0000"/>
      </left>
      <right/>
      <top style="medium">
        <color indexed="64"/>
      </top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thick">
        <color rgb="FFFF0000"/>
      </right>
      <top style="medium">
        <color indexed="64"/>
      </top>
      <bottom/>
      <diagonal/>
    </border>
    <border>
      <left/>
      <right style="thick">
        <color rgb="FFFF0000"/>
      </right>
      <top/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/>
      <bottom style="medium">
        <color indexed="64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rgb="FFFF0000"/>
      </right>
      <top/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/>
      <top style="dashed">
        <color auto="1"/>
      </top>
      <bottom style="dashed">
        <color auto="1"/>
      </bottom>
      <diagonal/>
    </border>
    <border>
      <left/>
      <right/>
      <top style="medium">
        <color indexed="64"/>
      </top>
      <bottom style="dashed">
        <color auto="1"/>
      </bottom>
      <diagonal/>
    </border>
    <border>
      <left/>
      <right style="medium">
        <color indexed="64"/>
      </right>
      <top style="medium">
        <color indexed="64"/>
      </top>
      <bottom style="dashed">
        <color auto="1"/>
      </bottom>
      <diagonal/>
    </border>
    <border>
      <left style="medium">
        <color indexed="64"/>
      </left>
      <right/>
      <top style="dashed">
        <color auto="1"/>
      </top>
      <bottom style="medium">
        <color indexed="64"/>
      </bottom>
      <diagonal/>
    </border>
    <border>
      <left/>
      <right/>
      <top style="dashed">
        <color auto="1"/>
      </top>
      <bottom style="medium">
        <color indexed="64"/>
      </bottom>
      <diagonal/>
    </border>
    <border>
      <left/>
      <right style="medium">
        <color indexed="64"/>
      </right>
      <top style="dashed">
        <color auto="1"/>
      </top>
      <bottom style="medium">
        <color indexed="64"/>
      </bottom>
      <diagonal/>
    </border>
  </borders>
  <cellStyleXfs count="32">
    <xf numFmtId="0" fontId="0" fillId="0" borderId="0"/>
    <xf numFmtId="43" fontId="25" fillId="0" borderId="0" applyFont="0" applyFill="0" applyBorder="0" applyAlignment="0" applyProtection="0"/>
    <xf numFmtId="38" fontId="3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6" fillId="0" borderId="0"/>
    <xf numFmtId="169" fontId="36" fillId="0" borderId="0"/>
    <xf numFmtId="0" fontId="40" fillId="0" borderId="0"/>
    <xf numFmtId="0" fontId="4" fillId="0" borderId="0"/>
    <xf numFmtId="0" fontId="42" fillId="0" borderId="0"/>
    <xf numFmtId="0" fontId="4" fillId="0" borderId="0"/>
    <xf numFmtId="0" fontId="4" fillId="0" borderId="0"/>
    <xf numFmtId="0" fontId="47" fillId="0" borderId="0"/>
    <xf numFmtId="0" fontId="4" fillId="0" borderId="0"/>
    <xf numFmtId="0" fontId="37" fillId="0" borderId="0"/>
    <xf numFmtId="0" fontId="4" fillId="0" borderId="0"/>
    <xf numFmtId="0" fontId="34" fillId="0" borderId="0"/>
    <xf numFmtId="0" fontId="38" fillId="0" borderId="0"/>
    <xf numFmtId="0" fontId="4" fillId="0" borderId="0"/>
    <xf numFmtId="0" fontId="34" fillId="0" borderId="0"/>
    <xf numFmtId="0" fontId="34" fillId="0" borderId="0"/>
    <xf numFmtId="0" fontId="36" fillId="0" borderId="0"/>
    <xf numFmtId="0" fontId="6" fillId="0" borderId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40" fontId="34" fillId="0" borderId="0" applyFont="0" applyFill="0" applyBorder="0" applyAlignment="0" applyProtection="0"/>
    <xf numFmtId="38" fontId="34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40" fontId="34" fillId="0" borderId="0" applyFont="0" applyFill="0" applyBorder="0" applyAlignment="0" applyProtection="0"/>
  </cellStyleXfs>
  <cellXfs count="1267">
    <xf numFmtId="0" fontId="0" fillId="0" borderId="0" xfId="0"/>
    <xf numFmtId="166" fontId="4" fillId="2" borderId="0" xfId="0" quotePrefix="1" applyNumberFormat="1" applyFont="1" applyFill="1" applyAlignment="1" applyProtection="1">
      <alignment horizontal="left"/>
      <protection hidden="1"/>
    </xf>
    <xf numFmtId="0" fontId="4" fillId="2" borderId="0" xfId="0" applyFont="1" applyFill="1" applyAlignment="1" applyProtection="1">
      <alignment horizontal="left"/>
      <protection hidden="1"/>
    </xf>
    <xf numFmtId="0" fontId="4" fillId="2" borderId="0" xfId="0" applyFont="1" applyFill="1" applyProtection="1">
      <protection hidden="1"/>
    </xf>
    <xf numFmtId="166" fontId="4" fillId="2" borderId="0" xfId="0" applyNumberFormat="1" applyFont="1" applyFill="1" applyAlignment="1" applyProtection="1">
      <alignment horizontal="left"/>
      <protection hidden="1"/>
    </xf>
    <xf numFmtId="0" fontId="4" fillId="2" borderId="0" xfId="0" applyFont="1" applyFill="1" applyAlignment="1" applyProtection="1">
      <alignment horizontal="right"/>
      <protection hidden="1"/>
    </xf>
    <xf numFmtId="0" fontId="6" fillId="2" borderId="0" xfId="0" applyFont="1" applyFill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0" fontId="4" fillId="2" borderId="0" xfId="0" applyFont="1" applyFill="1" applyAlignment="1" applyProtection="1">
      <alignment vertical="center"/>
      <protection hidden="1"/>
    </xf>
    <xf numFmtId="0" fontId="15" fillId="2" borderId="0" xfId="0" applyFont="1" applyFill="1" applyAlignment="1" applyProtection="1">
      <alignment horizontal="center"/>
      <protection hidden="1"/>
    </xf>
    <xf numFmtId="0" fontId="4" fillId="2" borderId="2" xfId="0" applyFont="1" applyFill="1" applyBorder="1" applyProtection="1">
      <protection hidden="1"/>
    </xf>
    <xf numFmtId="168" fontId="15" fillId="2" borderId="0" xfId="0" applyNumberFormat="1" applyFont="1" applyFill="1" applyProtection="1">
      <protection hidden="1"/>
    </xf>
    <xf numFmtId="0" fontId="15" fillId="2" borderId="0" xfId="0" applyFont="1" applyFill="1" applyAlignment="1" applyProtection="1">
      <alignment horizontal="right"/>
      <protection hidden="1"/>
    </xf>
    <xf numFmtId="168" fontId="15" fillId="2" borderId="0" xfId="0" applyNumberFormat="1" applyFont="1" applyFill="1" applyAlignment="1" applyProtection="1">
      <alignment horizontal="right"/>
      <protection hidden="1"/>
    </xf>
    <xf numFmtId="0" fontId="15" fillId="2" borderId="0" xfId="0" applyFont="1" applyFill="1" applyAlignment="1" applyProtection="1">
      <alignment horizontal="left"/>
      <protection hidden="1"/>
    </xf>
    <xf numFmtId="172" fontId="15" fillId="2" borderId="0" xfId="0" applyNumberFormat="1" applyFont="1" applyFill="1" applyAlignment="1" applyProtection="1">
      <alignment horizontal="right"/>
      <protection hidden="1"/>
    </xf>
    <xf numFmtId="0" fontId="15" fillId="2" borderId="0" xfId="0" applyFont="1" applyFill="1" applyProtection="1">
      <protection hidden="1"/>
    </xf>
    <xf numFmtId="0" fontId="6" fillId="2" borderId="2" xfId="0" applyFont="1" applyFill="1" applyBorder="1" applyProtection="1">
      <protection hidden="1"/>
    </xf>
    <xf numFmtId="0" fontId="4" fillId="2" borderId="3" xfId="0" applyFont="1" applyFill="1" applyBorder="1" applyProtection="1">
      <protection hidden="1"/>
    </xf>
    <xf numFmtId="2" fontId="6" fillId="2" borderId="3" xfId="0" applyNumberFormat="1" applyFont="1" applyFill="1" applyBorder="1" applyAlignment="1" applyProtection="1">
      <alignment horizontal="center"/>
      <protection hidden="1"/>
    </xf>
    <xf numFmtId="0" fontId="4" fillId="2" borderId="3" xfId="0" applyFont="1" applyFill="1" applyBorder="1" applyAlignment="1" applyProtection="1">
      <alignment horizontal="center"/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0" fontId="4" fillId="2" borderId="4" xfId="0" applyFont="1" applyFill="1" applyBorder="1" applyAlignment="1" applyProtection="1">
      <alignment horizontal="center"/>
      <protection hidden="1"/>
    </xf>
    <xf numFmtId="0" fontId="4" fillId="2" borderId="5" xfId="0" applyFont="1" applyFill="1" applyBorder="1" applyAlignment="1" applyProtection="1">
      <alignment horizontal="center"/>
      <protection hidden="1"/>
    </xf>
    <xf numFmtId="0" fontId="4" fillId="2" borderId="6" xfId="0" applyFont="1" applyFill="1" applyBorder="1" applyProtection="1">
      <protection hidden="1"/>
    </xf>
    <xf numFmtId="168" fontId="15" fillId="2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20" fillId="3" borderId="1" xfId="0" applyFont="1" applyFill="1" applyBorder="1" applyAlignment="1" applyProtection="1">
      <alignment horizontal="center"/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0" fillId="20" borderId="0" xfId="0" applyFill="1" applyProtection="1">
      <protection hidden="1"/>
    </xf>
    <xf numFmtId="0" fontId="0" fillId="20" borderId="0" xfId="0" applyFill="1" applyAlignment="1" applyProtection="1">
      <alignment vertical="center"/>
      <protection hidden="1"/>
    </xf>
    <xf numFmtId="0" fontId="20" fillId="20" borderId="0" xfId="0" applyFont="1" applyFill="1" applyAlignment="1" applyProtection="1">
      <alignment vertical="center"/>
      <protection hidden="1"/>
    </xf>
    <xf numFmtId="168" fontId="20" fillId="20" borderId="0" xfId="0" applyNumberFormat="1" applyFont="1" applyFill="1" applyAlignment="1" applyProtection="1">
      <alignment vertical="center"/>
      <protection hidden="1"/>
    </xf>
    <xf numFmtId="0" fontId="4" fillId="20" borderId="0" xfId="0" applyFont="1" applyFill="1" applyAlignment="1" applyProtection="1">
      <alignment vertical="center"/>
      <protection hidden="1"/>
    </xf>
    <xf numFmtId="0" fontId="4" fillId="20" borderId="0" xfId="0" applyFont="1" applyFill="1" applyAlignment="1" applyProtection="1">
      <alignment horizontal="left" vertical="center"/>
      <protection hidden="1"/>
    </xf>
    <xf numFmtId="0" fontId="20" fillId="20" borderId="0" xfId="0" applyFont="1" applyFill="1" applyProtection="1">
      <protection hidden="1"/>
    </xf>
    <xf numFmtId="168" fontId="20" fillId="20" borderId="0" xfId="0" applyNumberFormat="1" applyFont="1" applyFill="1" applyProtection="1">
      <protection hidden="1"/>
    </xf>
    <xf numFmtId="0" fontId="4" fillId="20" borderId="0" xfId="0" applyFont="1" applyFill="1" applyProtection="1">
      <protection hidden="1"/>
    </xf>
    <xf numFmtId="0" fontId="4" fillId="20" borderId="0" xfId="0" applyFont="1" applyFill="1" applyAlignment="1" applyProtection="1">
      <alignment horizontal="left"/>
      <protection hidden="1"/>
    </xf>
    <xf numFmtId="0" fontId="0" fillId="20" borderId="0" xfId="0" applyFill="1"/>
    <xf numFmtId="0" fontId="4" fillId="20" borderId="2" xfId="0" applyFont="1" applyFill="1" applyBorder="1"/>
    <xf numFmtId="0" fontId="4" fillId="20" borderId="4" xfId="0" applyFont="1" applyFill="1" applyBorder="1" applyAlignment="1">
      <alignment horizontal="left"/>
    </xf>
    <xf numFmtId="0" fontId="52" fillId="23" borderId="0" xfId="13" applyFont="1" applyFill="1" applyAlignment="1">
      <alignment horizontal="center" vertical="center"/>
    </xf>
    <xf numFmtId="0" fontId="52" fillId="23" borderId="8" xfId="13" applyFont="1" applyFill="1" applyBorder="1" applyAlignment="1">
      <alignment horizontal="center" vertical="center"/>
    </xf>
    <xf numFmtId="0" fontId="52" fillId="23" borderId="0" xfId="11" applyFont="1" applyFill="1"/>
    <xf numFmtId="0" fontId="52" fillId="23" borderId="9" xfId="11" applyFont="1" applyFill="1" applyBorder="1"/>
    <xf numFmtId="0" fontId="53" fillId="23" borderId="10" xfId="13" applyFont="1" applyFill="1" applyBorder="1" applyAlignment="1">
      <alignment vertical="center"/>
    </xf>
    <xf numFmtId="0" fontId="54" fillId="23" borderId="0" xfId="13" applyFont="1" applyFill="1" applyAlignment="1">
      <alignment horizontal="center" vertical="center"/>
    </xf>
    <xf numFmtId="0" fontId="53" fillId="23" borderId="0" xfId="13" applyFont="1" applyFill="1" applyAlignment="1">
      <alignment vertical="center"/>
    </xf>
    <xf numFmtId="178" fontId="55" fillId="23" borderId="0" xfId="13" applyNumberFormat="1" applyFont="1" applyFill="1" applyAlignment="1">
      <alignment vertical="center"/>
    </xf>
    <xf numFmtId="0" fontId="4" fillId="23" borderId="0" xfId="11" applyFill="1" applyAlignment="1">
      <alignment vertical="center"/>
    </xf>
    <xf numFmtId="0" fontId="4" fillId="23" borderId="10" xfId="11" applyFill="1" applyBorder="1" applyAlignment="1">
      <alignment vertical="center"/>
    </xf>
    <xf numFmtId="0" fontId="4" fillId="23" borderId="11" xfId="11" applyFill="1" applyBorder="1" applyAlignment="1">
      <alignment vertical="center"/>
    </xf>
    <xf numFmtId="0" fontId="4" fillId="23" borderId="9" xfId="11" applyFill="1" applyBorder="1" applyAlignment="1">
      <alignment vertical="center"/>
    </xf>
    <xf numFmtId="0" fontId="4" fillId="23" borderId="12" xfId="11" applyFill="1" applyBorder="1" applyAlignment="1">
      <alignment vertical="center"/>
    </xf>
    <xf numFmtId="0" fontId="4" fillId="23" borderId="13" xfId="11" applyFill="1" applyBorder="1" applyAlignment="1">
      <alignment vertical="center"/>
    </xf>
    <xf numFmtId="0" fontId="4" fillId="23" borderId="8" xfId="11" applyFill="1" applyBorder="1" applyAlignment="1">
      <alignment vertical="center"/>
    </xf>
    <xf numFmtId="169" fontId="56" fillId="23" borderId="0" xfId="13" applyNumberFormat="1" applyFont="1" applyFill="1" applyAlignment="1">
      <alignment vertical="center"/>
    </xf>
    <xf numFmtId="0" fontId="57" fillId="23" borderId="0" xfId="13" applyFont="1" applyFill="1" applyAlignment="1">
      <alignment horizontal="center" vertical="center"/>
    </xf>
    <xf numFmtId="169" fontId="57" fillId="23" borderId="14" xfId="13" applyNumberFormat="1" applyFont="1" applyFill="1" applyBorder="1" applyAlignment="1">
      <alignment horizontal="right" vertical="center"/>
    </xf>
    <xf numFmtId="0" fontId="15" fillId="23" borderId="14" xfId="11" applyFont="1" applyFill="1" applyBorder="1" applyAlignment="1">
      <alignment horizontal="center" vertical="center"/>
    </xf>
    <xf numFmtId="2" fontId="15" fillId="23" borderId="14" xfId="11" applyNumberFormat="1" applyFont="1" applyFill="1" applyBorder="1" applyAlignment="1">
      <alignment horizontal="center" vertical="center"/>
    </xf>
    <xf numFmtId="2" fontId="3" fillId="23" borderId="15" xfId="0" applyNumberFormat="1" applyFont="1" applyFill="1" applyBorder="1" applyAlignment="1">
      <alignment horizontal="center"/>
    </xf>
    <xf numFmtId="2" fontId="58" fillId="23" borderId="14" xfId="11" applyNumberFormat="1" applyFont="1" applyFill="1" applyBorder="1" applyAlignment="1">
      <alignment horizontal="center" vertical="center"/>
    </xf>
    <xf numFmtId="0" fontId="4" fillId="24" borderId="0" xfId="11" applyFill="1" applyAlignment="1">
      <alignment vertical="center"/>
    </xf>
    <xf numFmtId="49" fontId="4" fillId="24" borderId="0" xfId="11" applyNumberFormat="1" applyFill="1" applyAlignment="1">
      <alignment horizontal="center" vertical="center"/>
    </xf>
    <xf numFmtId="0" fontId="4" fillId="23" borderId="16" xfId="11" applyFill="1" applyBorder="1" applyAlignment="1">
      <alignment vertical="center"/>
    </xf>
    <xf numFmtId="0" fontId="6" fillId="2" borderId="14" xfId="0" applyFont="1" applyFill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vertical="center" textRotation="90"/>
      <protection hidden="1"/>
    </xf>
    <xf numFmtId="0" fontId="16" fillId="2" borderId="9" xfId="0" applyFont="1" applyFill="1" applyBorder="1" applyAlignment="1" applyProtection="1">
      <alignment horizontal="left"/>
      <protection hidden="1"/>
    </xf>
    <xf numFmtId="0" fontId="22" fillId="2" borderId="10" xfId="0" applyFont="1" applyFill="1" applyBorder="1" applyAlignment="1" applyProtection="1">
      <alignment horizontal="center"/>
      <protection hidden="1"/>
    </xf>
    <xf numFmtId="0" fontId="15" fillId="2" borderId="17" xfId="0" applyFont="1" applyFill="1" applyBorder="1" applyAlignment="1" applyProtection="1">
      <alignment horizontal="center"/>
      <protection hidden="1"/>
    </xf>
    <xf numFmtId="0" fontId="15" fillId="2" borderId="16" xfId="0" applyFont="1" applyFill="1" applyBorder="1" applyAlignment="1" applyProtection="1">
      <alignment horizontal="left"/>
      <protection hidden="1"/>
    </xf>
    <xf numFmtId="172" fontId="15" fillId="2" borderId="11" xfId="0" applyNumberFormat="1" applyFont="1" applyFill="1" applyBorder="1" applyAlignment="1" applyProtection="1">
      <alignment horizontal="right"/>
      <protection hidden="1"/>
    </xf>
    <xf numFmtId="0" fontId="15" fillId="2" borderId="11" xfId="0" applyFont="1" applyFill="1" applyBorder="1" applyProtection="1">
      <protection hidden="1"/>
    </xf>
    <xf numFmtId="168" fontId="15" fillId="2" borderId="11" xfId="0" applyNumberFormat="1" applyFont="1" applyFill="1" applyBorder="1" applyAlignment="1" applyProtection="1">
      <alignment horizontal="right"/>
      <protection hidden="1"/>
    </xf>
    <xf numFmtId="0" fontId="15" fillId="2" borderId="17" xfId="0" applyFont="1" applyFill="1" applyBorder="1" applyAlignment="1" applyProtection="1">
      <alignment horizontal="left"/>
      <protection hidden="1"/>
    </xf>
    <xf numFmtId="0" fontId="21" fillId="2" borderId="16" xfId="0" applyFont="1" applyFill="1" applyBorder="1" applyAlignment="1" applyProtection="1">
      <alignment horizontal="left"/>
      <protection hidden="1"/>
    </xf>
    <xf numFmtId="168" fontId="21" fillId="2" borderId="11" xfId="0" applyNumberFormat="1" applyFont="1" applyFill="1" applyBorder="1" applyAlignment="1" applyProtection="1">
      <alignment horizontal="right"/>
      <protection hidden="1"/>
    </xf>
    <xf numFmtId="168" fontId="15" fillId="2" borderId="11" xfId="0" applyNumberFormat="1" applyFont="1" applyFill="1" applyBorder="1" applyAlignment="1" applyProtection="1">
      <alignment horizontal="left"/>
      <protection hidden="1"/>
    </xf>
    <xf numFmtId="0" fontId="16" fillId="2" borderId="17" xfId="0" applyFont="1" applyFill="1" applyBorder="1" applyAlignment="1" applyProtection="1">
      <alignment horizontal="left"/>
      <protection hidden="1"/>
    </xf>
    <xf numFmtId="0" fontId="15" fillId="2" borderId="11" xfId="0" applyFont="1" applyFill="1" applyBorder="1" applyAlignment="1" applyProtection="1">
      <alignment horizontal="left"/>
      <protection hidden="1"/>
    </xf>
    <xf numFmtId="0" fontId="21" fillId="2" borderId="11" xfId="0" applyFont="1" applyFill="1" applyBorder="1" applyAlignment="1" applyProtection="1">
      <alignment horizontal="right"/>
      <protection hidden="1"/>
    </xf>
    <xf numFmtId="0" fontId="15" fillId="2" borderId="10" xfId="0" applyFont="1" applyFill="1" applyBorder="1" applyAlignment="1" applyProtection="1">
      <alignment horizontal="left"/>
      <protection hidden="1"/>
    </xf>
    <xf numFmtId="0" fontId="15" fillId="0" borderId="17" xfId="0" applyFont="1" applyBorder="1" applyAlignment="1" applyProtection="1">
      <alignment horizontal="left"/>
      <protection hidden="1"/>
    </xf>
    <xf numFmtId="0" fontId="5" fillId="0" borderId="11" xfId="0" applyFont="1" applyBorder="1" applyAlignment="1" applyProtection="1">
      <alignment horizontal="left"/>
      <protection hidden="1"/>
    </xf>
    <xf numFmtId="0" fontId="15" fillId="2" borderId="17" xfId="0" applyFont="1" applyFill="1" applyBorder="1" applyAlignment="1" applyProtection="1">
      <alignment horizontal="right"/>
      <protection hidden="1"/>
    </xf>
    <xf numFmtId="168" fontId="15" fillId="2" borderId="17" xfId="0" applyNumberFormat="1" applyFont="1" applyFill="1" applyBorder="1" applyAlignment="1" applyProtection="1">
      <alignment horizontal="right"/>
      <protection hidden="1"/>
    </xf>
    <xf numFmtId="168" fontId="21" fillId="2" borderId="16" xfId="0" applyNumberFormat="1" applyFont="1" applyFill="1" applyBorder="1" applyAlignment="1" applyProtection="1">
      <alignment horizontal="right"/>
      <protection hidden="1"/>
    </xf>
    <xf numFmtId="0" fontId="15" fillId="2" borderId="10" xfId="0" applyFont="1" applyFill="1" applyBorder="1" applyProtection="1">
      <protection hidden="1"/>
    </xf>
    <xf numFmtId="0" fontId="15" fillId="2" borderId="9" xfId="0" applyFont="1" applyFill="1" applyBorder="1" applyProtection="1">
      <protection hidden="1"/>
    </xf>
    <xf numFmtId="0" fontId="0" fillId="2" borderId="12" xfId="0" applyFill="1" applyBorder="1" applyProtection="1">
      <protection hidden="1"/>
    </xf>
    <xf numFmtId="0" fontId="15" fillId="2" borderId="17" xfId="0" applyFont="1" applyFill="1" applyBorder="1" applyProtection="1">
      <protection hidden="1"/>
    </xf>
    <xf numFmtId="0" fontId="0" fillId="2" borderId="8" xfId="0" applyFill="1" applyBorder="1" applyProtection="1">
      <protection hidden="1"/>
    </xf>
    <xf numFmtId="0" fontId="0" fillId="0" borderId="17" xfId="0" applyBorder="1" applyProtection="1">
      <protection hidden="1"/>
    </xf>
    <xf numFmtId="168" fontId="15" fillId="2" borderId="11" xfId="0" applyNumberFormat="1" applyFont="1" applyFill="1" applyBorder="1" applyProtection="1">
      <protection hidden="1"/>
    </xf>
    <xf numFmtId="0" fontId="15" fillId="2" borderId="16" xfId="0" applyFont="1" applyFill="1" applyBorder="1" applyProtection="1">
      <protection hidden="1"/>
    </xf>
    <xf numFmtId="0" fontId="0" fillId="2" borderId="13" xfId="0" applyFill="1" applyBorder="1" applyProtection="1">
      <protection hidden="1"/>
    </xf>
    <xf numFmtId="168" fontId="15" fillId="2" borderId="10" xfId="0" applyNumberFormat="1" applyFont="1" applyFill="1" applyBorder="1" applyProtection="1">
      <protection hidden="1"/>
    </xf>
    <xf numFmtId="0" fontId="0" fillId="2" borderId="17" xfId="0" applyFill="1" applyBorder="1" applyProtection="1">
      <protection hidden="1"/>
    </xf>
    <xf numFmtId="2" fontId="21" fillId="2" borderId="11" xfId="0" applyNumberFormat="1" applyFont="1" applyFill="1" applyBorder="1" applyProtection="1">
      <protection hidden="1"/>
    </xf>
    <xf numFmtId="0" fontId="21" fillId="2" borderId="11" xfId="0" applyFont="1" applyFill="1" applyBorder="1" applyProtection="1">
      <protection hidden="1"/>
    </xf>
    <xf numFmtId="0" fontId="0" fillId="2" borderId="11" xfId="0" applyFill="1" applyBorder="1" applyProtection="1">
      <protection hidden="1"/>
    </xf>
    <xf numFmtId="167" fontId="15" fillId="2" borderId="11" xfId="0" applyNumberFormat="1" applyFont="1" applyFill="1" applyBorder="1" applyProtection="1">
      <protection hidden="1"/>
    </xf>
    <xf numFmtId="0" fontId="0" fillId="2" borderId="9" xfId="0" applyFill="1" applyBorder="1" applyProtection="1">
      <protection hidden="1"/>
    </xf>
    <xf numFmtId="0" fontId="0" fillId="2" borderId="10" xfId="0" applyFill="1" applyBorder="1" applyProtection="1">
      <protection hidden="1"/>
    </xf>
    <xf numFmtId="168" fontId="0" fillId="2" borderId="0" xfId="0" applyNumberFormat="1" applyFill="1" applyProtection="1">
      <protection hidden="1"/>
    </xf>
    <xf numFmtId="168" fontId="21" fillId="2" borderId="11" xfId="0" applyNumberFormat="1" applyFont="1" applyFill="1" applyBorder="1" applyProtection="1">
      <protection hidden="1"/>
    </xf>
    <xf numFmtId="167" fontId="15" fillId="2" borderId="0" xfId="0" applyNumberFormat="1" applyFont="1" applyFill="1" applyProtection="1">
      <protection hidden="1"/>
    </xf>
    <xf numFmtId="0" fontId="15" fillId="8" borderId="14" xfId="0" applyFont="1" applyFill="1" applyBorder="1" applyAlignment="1" applyProtection="1">
      <alignment horizontal="center"/>
      <protection hidden="1"/>
    </xf>
    <xf numFmtId="168" fontId="15" fillId="8" borderId="18" xfId="0" applyNumberFormat="1" applyFont="1" applyFill="1" applyBorder="1" applyAlignment="1" applyProtection="1">
      <alignment horizontal="center"/>
      <protection hidden="1"/>
    </xf>
    <xf numFmtId="168" fontId="15" fillId="8" borderId="14" xfId="0" applyNumberFormat="1" applyFont="1" applyFill="1" applyBorder="1" applyAlignment="1" applyProtection="1">
      <alignment horizontal="center"/>
      <protection hidden="1"/>
    </xf>
    <xf numFmtId="0" fontId="15" fillId="9" borderId="14" xfId="0" applyFont="1" applyFill="1" applyBorder="1" applyAlignment="1" applyProtection="1">
      <alignment horizontal="center"/>
      <protection hidden="1"/>
    </xf>
    <xf numFmtId="168" fontId="15" fillId="9" borderId="18" xfId="0" applyNumberFormat="1" applyFont="1" applyFill="1" applyBorder="1" applyAlignment="1" applyProtection="1">
      <alignment horizontal="center"/>
      <protection hidden="1"/>
    </xf>
    <xf numFmtId="168" fontId="15" fillId="9" borderId="14" xfId="0" applyNumberFormat="1" applyFont="1" applyFill="1" applyBorder="1" applyAlignment="1" applyProtection="1">
      <alignment horizontal="center"/>
      <protection hidden="1"/>
    </xf>
    <xf numFmtId="0" fontId="0" fillId="10" borderId="14" xfId="0" applyFill="1" applyBorder="1" applyAlignment="1" applyProtection="1">
      <alignment horizontal="center"/>
      <protection hidden="1"/>
    </xf>
    <xf numFmtId="168" fontId="0" fillId="10" borderId="18" xfId="0" applyNumberFormat="1" applyFill="1" applyBorder="1" applyAlignment="1" applyProtection="1">
      <alignment horizontal="center"/>
      <protection hidden="1"/>
    </xf>
    <xf numFmtId="168" fontId="0" fillId="10" borderId="14" xfId="0" applyNumberFormat="1" applyFill="1" applyBorder="1" applyAlignment="1" applyProtection="1">
      <alignment horizontal="center"/>
      <protection hidden="1"/>
    </xf>
    <xf numFmtId="167" fontId="15" fillId="2" borderId="10" xfId="0" applyNumberFormat="1" applyFont="1" applyFill="1" applyBorder="1" applyProtection="1">
      <protection hidden="1"/>
    </xf>
    <xf numFmtId="170" fontId="15" fillId="2" borderId="0" xfId="0" applyNumberFormat="1" applyFont="1" applyFill="1" applyProtection="1">
      <protection hidden="1"/>
    </xf>
    <xf numFmtId="0" fontId="16" fillId="2" borderId="9" xfId="0" applyFont="1" applyFill="1" applyBorder="1" applyProtection="1">
      <protection hidden="1"/>
    </xf>
    <xf numFmtId="0" fontId="15" fillId="0" borderId="0" xfId="0" applyFont="1" applyProtection="1">
      <protection hidden="1"/>
    </xf>
    <xf numFmtId="167" fontId="15" fillId="0" borderId="0" xfId="0" applyNumberFormat="1" applyFont="1" applyProtection="1">
      <protection hidden="1"/>
    </xf>
    <xf numFmtId="0" fontId="0" fillId="0" borderId="8" xfId="0" applyBorder="1" applyProtection="1">
      <protection hidden="1"/>
    </xf>
    <xf numFmtId="0" fontId="0" fillId="0" borderId="16" xfId="0" applyBorder="1" applyProtection="1">
      <protection hidden="1"/>
    </xf>
    <xf numFmtId="0" fontId="0" fillId="0" borderId="11" xfId="0" applyBorder="1" applyProtection="1">
      <protection hidden="1"/>
    </xf>
    <xf numFmtId="0" fontId="15" fillId="0" borderId="11" xfId="0" applyFont="1" applyBorder="1" applyProtection="1">
      <protection hidden="1"/>
    </xf>
    <xf numFmtId="167" fontId="23" fillId="0" borderId="11" xfId="0" applyNumberFormat="1" applyFont="1" applyBorder="1" applyAlignment="1" applyProtection="1">
      <alignment horizontal="right"/>
      <protection hidden="1"/>
    </xf>
    <xf numFmtId="0" fontId="0" fillId="0" borderId="13" xfId="0" applyBorder="1" applyProtection="1">
      <protection hidden="1"/>
    </xf>
    <xf numFmtId="0" fontId="22" fillId="0" borderId="0" xfId="0" applyFont="1" applyProtection="1">
      <protection hidden="1"/>
    </xf>
    <xf numFmtId="0" fontId="17" fillId="11" borderId="1" xfId="0" applyFont="1" applyFill="1" applyBorder="1" applyAlignment="1" applyProtection="1">
      <alignment horizontal="center"/>
      <protection hidden="1"/>
    </xf>
    <xf numFmtId="173" fontId="4" fillId="3" borderId="1" xfId="0" applyNumberFormat="1" applyFont="1" applyFill="1" applyBorder="1" applyAlignment="1" applyProtection="1">
      <alignment horizontal="center"/>
      <protection hidden="1"/>
    </xf>
    <xf numFmtId="167" fontId="4" fillId="3" borderId="1" xfId="0" applyNumberFormat="1" applyFont="1" applyFill="1" applyBorder="1" applyAlignment="1" applyProtection="1">
      <alignment horizontal="center"/>
      <protection hidden="1"/>
    </xf>
    <xf numFmtId="2" fontId="4" fillId="3" borderId="1" xfId="0" applyNumberFormat="1" applyFont="1" applyFill="1" applyBorder="1" applyAlignment="1" applyProtection="1">
      <alignment horizontal="center"/>
      <protection hidden="1"/>
    </xf>
    <xf numFmtId="0" fontId="4" fillId="3" borderId="1" xfId="0" applyFont="1" applyFill="1" applyBorder="1" applyAlignment="1" applyProtection="1">
      <alignment horizontal="center"/>
      <protection hidden="1"/>
    </xf>
    <xf numFmtId="169" fontId="4" fillId="3" borderId="1" xfId="0" applyNumberFormat="1" applyFont="1" applyFill="1" applyBorder="1" applyAlignment="1" applyProtection="1">
      <alignment horizontal="center"/>
      <protection hidden="1"/>
    </xf>
    <xf numFmtId="168" fontId="4" fillId="6" borderId="1" xfId="0" applyNumberFormat="1" applyFont="1" applyFill="1" applyBorder="1" applyAlignment="1" applyProtection="1">
      <alignment horizontal="center"/>
      <protection hidden="1"/>
    </xf>
    <xf numFmtId="167" fontId="4" fillId="6" borderId="1" xfId="0" applyNumberFormat="1" applyFont="1" applyFill="1" applyBorder="1" applyAlignment="1" applyProtection="1">
      <alignment horizontal="center"/>
      <protection hidden="1"/>
    </xf>
    <xf numFmtId="2" fontId="4" fillId="6" borderId="1" xfId="0" applyNumberFormat="1" applyFont="1" applyFill="1" applyBorder="1" applyAlignment="1" applyProtection="1">
      <alignment horizontal="center"/>
      <protection hidden="1"/>
    </xf>
    <xf numFmtId="0" fontId="4" fillId="8" borderId="1" xfId="0" applyFont="1" applyFill="1" applyBorder="1" applyAlignment="1" applyProtection="1">
      <alignment horizontal="center"/>
      <protection hidden="1"/>
    </xf>
    <xf numFmtId="2" fontId="4" fillId="8" borderId="1" xfId="0" applyNumberFormat="1" applyFont="1" applyFill="1" applyBorder="1" applyAlignment="1" applyProtection="1">
      <alignment horizontal="center"/>
      <protection hidden="1"/>
    </xf>
    <xf numFmtId="0" fontId="0" fillId="0" borderId="0" xfId="0" applyAlignment="1">
      <alignment horizontal="center" vertical="center"/>
    </xf>
    <xf numFmtId="2" fontId="11" fillId="13" borderId="14" xfId="0" applyNumberFormat="1" applyFont="1" applyFill="1" applyBorder="1" applyAlignment="1" applyProtection="1">
      <alignment horizontal="center" vertical="center"/>
      <protection locked="0"/>
    </xf>
    <xf numFmtId="168" fontId="11" fillId="13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0" xfId="0" applyFont="1" applyFill="1" applyAlignment="1">
      <alignment horizontal="center" vertical="center"/>
    </xf>
    <xf numFmtId="168" fontId="13" fillId="2" borderId="0" xfId="0" applyNumberFormat="1" applyFont="1" applyFill="1" applyAlignment="1">
      <alignment horizontal="center" vertical="center"/>
    </xf>
    <xf numFmtId="170" fontId="13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69" fontId="14" fillId="2" borderId="0" xfId="0" applyNumberFormat="1" applyFont="1" applyFill="1" applyAlignment="1">
      <alignment horizontal="center" vertical="center"/>
    </xf>
    <xf numFmtId="2" fontId="14" fillId="2" borderId="0" xfId="0" applyNumberFormat="1" applyFont="1" applyFill="1" applyAlignment="1">
      <alignment horizontal="center" vertical="center"/>
    </xf>
    <xf numFmtId="168" fontId="14" fillId="2" borderId="0" xfId="0" applyNumberFormat="1" applyFont="1" applyFill="1" applyAlignment="1">
      <alignment horizontal="center" vertical="center"/>
    </xf>
    <xf numFmtId="2" fontId="13" fillId="2" borderId="0" xfId="0" applyNumberFormat="1" applyFont="1" applyFill="1" applyAlignment="1">
      <alignment horizontal="center" vertical="center"/>
    </xf>
    <xf numFmtId="167" fontId="13" fillId="2" borderId="0" xfId="0" applyNumberFormat="1" applyFont="1" applyFill="1" applyAlignment="1">
      <alignment horizontal="center" vertical="center"/>
    </xf>
    <xf numFmtId="170" fontId="14" fillId="2" borderId="0" xfId="0" applyNumberFormat="1" applyFont="1" applyFill="1" applyAlignment="1">
      <alignment horizontal="center" vertical="center"/>
    </xf>
    <xf numFmtId="167" fontId="14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" fontId="12" fillId="2" borderId="0" xfId="0" applyNumberFormat="1" applyFont="1" applyFill="1" applyAlignment="1">
      <alignment horizontal="center" vertical="center"/>
    </xf>
    <xf numFmtId="168" fontId="12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60" fillId="23" borderId="14" xfId="13" applyFont="1" applyFill="1" applyBorder="1" applyAlignment="1">
      <alignment horizontal="center" vertical="center"/>
    </xf>
    <xf numFmtId="0" fontId="0" fillId="2" borderId="18" xfId="0" applyFill="1" applyBorder="1" applyAlignment="1" applyProtection="1">
      <alignment vertical="center"/>
      <protection hidden="1"/>
    </xf>
    <xf numFmtId="0" fontId="0" fillId="2" borderId="19" xfId="0" applyFill="1" applyBorder="1" applyAlignment="1" applyProtection="1">
      <alignment vertical="center"/>
      <protection hidden="1"/>
    </xf>
    <xf numFmtId="0" fontId="0" fillId="2" borderId="20" xfId="0" applyFill="1" applyBorder="1" applyAlignment="1" applyProtection="1">
      <alignment vertical="center"/>
      <protection hidden="1"/>
    </xf>
    <xf numFmtId="167" fontId="15" fillId="2" borderId="0" xfId="0" applyNumberFormat="1" applyFont="1" applyFill="1" applyAlignment="1" applyProtection="1">
      <alignment horizontal="center"/>
      <protection hidden="1"/>
    </xf>
    <xf numFmtId="167" fontId="15" fillId="14" borderId="0" xfId="0" applyNumberFormat="1" applyFont="1" applyFill="1" applyAlignment="1" applyProtection="1">
      <alignment horizontal="center"/>
      <protection hidden="1"/>
    </xf>
    <xf numFmtId="2" fontId="15" fillId="20" borderId="0" xfId="0" applyNumberFormat="1" applyFont="1" applyFill="1" applyAlignment="1" applyProtection="1">
      <alignment vertical="center"/>
      <protection hidden="1"/>
    </xf>
    <xf numFmtId="0" fontId="4" fillId="23" borderId="17" xfId="11" applyFill="1" applyBorder="1" applyAlignment="1">
      <alignment vertical="center"/>
    </xf>
    <xf numFmtId="0" fontId="57" fillId="23" borderId="14" xfId="13" applyFont="1" applyFill="1" applyBorder="1" applyAlignment="1">
      <alignment horizontal="right" vertical="center"/>
    </xf>
    <xf numFmtId="176" fontId="60" fillId="23" borderId="14" xfId="13" applyNumberFormat="1" applyFont="1" applyFill="1" applyBorder="1" applyAlignment="1">
      <alignment horizontal="center" vertical="center"/>
    </xf>
    <xf numFmtId="0" fontId="15" fillId="23" borderId="21" xfId="11" applyFont="1" applyFill="1" applyBorder="1" applyAlignment="1">
      <alignment horizontal="center" vertical="center"/>
    </xf>
    <xf numFmtId="169" fontId="52" fillId="23" borderId="10" xfId="13" applyNumberFormat="1" applyFont="1" applyFill="1" applyBorder="1" applyAlignment="1">
      <alignment horizontal="right" vertical="center"/>
    </xf>
    <xf numFmtId="176" fontId="52" fillId="23" borderId="12" xfId="13" applyNumberFormat="1" applyFont="1" applyFill="1" applyBorder="1" applyAlignment="1">
      <alignment horizontal="center" vertical="center"/>
    </xf>
    <xf numFmtId="176" fontId="64" fillId="23" borderId="14" xfId="13" applyNumberFormat="1" applyFont="1" applyFill="1" applyBorder="1" applyAlignment="1">
      <alignment horizontal="center" vertical="center"/>
    </xf>
    <xf numFmtId="176" fontId="65" fillId="23" borderId="14" xfId="13" applyNumberFormat="1" applyFont="1" applyFill="1" applyBorder="1" applyAlignment="1">
      <alignment horizontal="center" vertical="center"/>
    </xf>
    <xf numFmtId="0" fontId="52" fillId="23" borderId="9" xfId="13" applyFont="1" applyFill="1" applyBorder="1" applyAlignment="1">
      <alignment horizontal="center" vertical="center"/>
    </xf>
    <xf numFmtId="178" fontId="55" fillId="25" borderId="14" xfId="13" applyNumberFormat="1" applyFont="1" applyFill="1" applyBorder="1" applyAlignment="1" applyProtection="1">
      <alignment horizontal="center" vertical="center"/>
      <protection locked="0"/>
    </xf>
    <xf numFmtId="49" fontId="4" fillId="23" borderId="10" xfId="11" applyNumberFormat="1" applyFill="1" applyBorder="1" applyAlignment="1">
      <alignment horizontal="center" vertical="center"/>
    </xf>
    <xf numFmtId="0" fontId="55" fillId="23" borderId="8" xfId="13" applyFont="1" applyFill="1" applyBorder="1" applyAlignment="1">
      <alignment vertical="center"/>
    </xf>
    <xf numFmtId="178" fontId="55" fillId="26" borderId="14" xfId="13" applyNumberFormat="1" applyFont="1" applyFill="1" applyBorder="1" applyAlignment="1" applyProtection="1">
      <alignment horizontal="center" vertical="center"/>
      <protection locked="0"/>
    </xf>
    <xf numFmtId="0" fontId="49" fillId="20" borderId="0" xfId="0" applyFont="1" applyFill="1" applyAlignment="1" applyProtection="1">
      <alignment vertical="center"/>
      <protection hidden="1"/>
    </xf>
    <xf numFmtId="0" fontId="49" fillId="20" borderId="0" xfId="0" applyFont="1" applyFill="1" applyAlignment="1" applyProtection="1">
      <alignment horizontal="center" vertical="center"/>
      <protection hidden="1"/>
    </xf>
    <xf numFmtId="0" fontId="66" fillId="20" borderId="22" xfId="0" applyFont="1" applyFill="1" applyBorder="1" applyAlignment="1" applyProtection="1">
      <alignment horizontal="center" vertical="center"/>
      <protection hidden="1"/>
    </xf>
    <xf numFmtId="2" fontId="49" fillId="20" borderId="0" xfId="0" applyNumberFormat="1" applyFont="1" applyFill="1" applyAlignment="1" applyProtection="1">
      <alignment vertical="center"/>
      <protection hidden="1"/>
    </xf>
    <xf numFmtId="2" fontId="67" fillId="20" borderId="23" xfId="0" applyNumberFormat="1" applyFont="1" applyFill="1" applyBorder="1" applyAlignment="1" applyProtection="1">
      <alignment horizontal="center" vertical="center"/>
      <protection hidden="1"/>
    </xf>
    <xf numFmtId="167" fontId="67" fillId="20" borderId="24" xfId="0" applyNumberFormat="1" applyFont="1" applyFill="1" applyBorder="1" applyAlignment="1" applyProtection="1">
      <alignment horizontal="center" vertical="center"/>
      <protection hidden="1"/>
    </xf>
    <xf numFmtId="168" fontId="67" fillId="20" borderId="24" xfId="0" applyNumberFormat="1" applyFont="1" applyFill="1" applyBorder="1" applyAlignment="1" applyProtection="1">
      <alignment horizontal="center" vertical="center"/>
      <protection hidden="1"/>
    </xf>
    <xf numFmtId="168" fontId="67" fillId="20" borderId="25" xfId="0" applyNumberFormat="1" applyFont="1" applyFill="1" applyBorder="1" applyAlignment="1" applyProtection="1">
      <alignment horizontal="center" vertical="center"/>
      <protection hidden="1"/>
    </xf>
    <xf numFmtId="168" fontId="67" fillId="20" borderId="26" xfId="0" applyNumberFormat="1" applyFont="1" applyFill="1" applyBorder="1" applyAlignment="1" applyProtection="1">
      <alignment horizontal="center" vertical="center"/>
      <protection hidden="1"/>
    </xf>
    <xf numFmtId="167" fontId="67" fillId="20" borderId="1" xfId="0" applyNumberFormat="1" applyFont="1" applyFill="1" applyBorder="1" applyAlignment="1" applyProtection="1">
      <alignment horizontal="center" vertical="center"/>
      <protection hidden="1"/>
    </xf>
    <xf numFmtId="168" fontId="67" fillId="20" borderId="1" xfId="0" applyNumberFormat="1" applyFont="1" applyFill="1" applyBorder="1" applyAlignment="1" applyProtection="1">
      <alignment horizontal="center" vertical="center"/>
      <protection hidden="1"/>
    </xf>
    <xf numFmtId="168" fontId="67" fillId="20" borderId="27" xfId="0" applyNumberFormat="1" applyFont="1" applyFill="1" applyBorder="1" applyAlignment="1" applyProtection="1">
      <alignment horizontal="center" vertical="center"/>
      <protection hidden="1"/>
    </xf>
    <xf numFmtId="2" fontId="67" fillId="20" borderId="28" xfId="0" applyNumberFormat="1" applyFont="1" applyFill="1" applyBorder="1" applyAlignment="1" applyProtection="1">
      <alignment horizontal="center" vertical="center"/>
      <protection hidden="1"/>
    </xf>
    <xf numFmtId="167" fontId="67" fillId="20" borderId="29" xfId="0" applyNumberFormat="1" applyFont="1" applyFill="1" applyBorder="1" applyAlignment="1" applyProtection="1">
      <alignment horizontal="center" vertical="center"/>
      <protection hidden="1"/>
    </xf>
    <xf numFmtId="168" fontId="67" fillId="20" borderId="29" xfId="0" applyNumberFormat="1" applyFont="1" applyFill="1" applyBorder="1" applyAlignment="1" applyProtection="1">
      <alignment horizontal="center" vertical="center"/>
      <protection hidden="1"/>
    </xf>
    <xf numFmtId="168" fontId="67" fillId="20" borderId="30" xfId="0" applyNumberFormat="1" applyFont="1" applyFill="1" applyBorder="1" applyAlignment="1" applyProtection="1">
      <alignment horizontal="center" vertical="center"/>
      <protection hidden="1"/>
    </xf>
    <xf numFmtId="2" fontId="58" fillId="20" borderId="0" xfId="0" applyNumberFormat="1" applyFont="1" applyFill="1" applyAlignment="1" applyProtection="1">
      <alignment vertical="center"/>
      <protection hidden="1"/>
    </xf>
    <xf numFmtId="168" fontId="49" fillId="20" borderId="0" xfId="0" applyNumberFormat="1" applyFont="1" applyFill="1" applyAlignment="1" applyProtection="1">
      <alignment horizontal="center" vertical="center"/>
      <protection hidden="1"/>
    </xf>
    <xf numFmtId="0" fontId="49" fillId="20" borderId="10" xfId="0" applyFont="1" applyFill="1" applyBorder="1" applyAlignment="1" applyProtection="1">
      <alignment vertical="center"/>
      <protection hidden="1"/>
    </xf>
    <xf numFmtId="0" fontId="49" fillId="20" borderId="12" xfId="0" applyFont="1" applyFill="1" applyBorder="1" applyAlignment="1" applyProtection="1">
      <alignment vertical="center"/>
      <protection hidden="1"/>
    </xf>
    <xf numFmtId="0" fontId="49" fillId="20" borderId="8" xfId="0" applyFont="1" applyFill="1" applyBorder="1" applyAlignment="1" applyProtection="1">
      <alignment vertical="center"/>
      <protection hidden="1"/>
    </xf>
    <xf numFmtId="168" fontId="49" fillId="20" borderId="0" xfId="0" applyNumberFormat="1" applyFont="1" applyFill="1" applyAlignment="1" applyProtection="1">
      <alignment vertical="center"/>
      <protection hidden="1"/>
    </xf>
    <xf numFmtId="168" fontId="58" fillId="20" borderId="0" xfId="0" applyNumberFormat="1" applyFont="1" applyFill="1" applyAlignment="1" applyProtection="1">
      <alignment vertical="center"/>
      <protection hidden="1"/>
    </xf>
    <xf numFmtId="0" fontId="49" fillId="20" borderId="0" xfId="0" applyFont="1" applyFill="1" applyAlignment="1" applyProtection="1">
      <alignment horizontal="left" vertical="center"/>
      <protection hidden="1"/>
    </xf>
    <xf numFmtId="0" fontId="67" fillId="20" borderId="0" xfId="0" applyFont="1" applyFill="1" applyAlignment="1" applyProtection="1">
      <alignment horizontal="left" vertical="center"/>
      <protection hidden="1"/>
    </xf>
    <xf numFmtId="0" fontId="67" fillId="20" borderId="0" xfId="0" applyFont="1" applyFill="1" applyAlignment="1" applyProtection="1">
      <alignment horizontal="center" vertical="center" wrapText="1"/>
      <protection hidden="1"/>
    </xf>
    <xf numFmtId="0" fontId="58" fillId="20" borderId="0" xfId="0" applyFont="1" applyFill="1" applyAlignment="1" applyProtection="1">
      <alignment vertical="center"/>
      <protection hidden="1"/>
    </xf>
    <xf numFmtId="0" fontId="49" fillId="20" borderId="11" xfId="0" applyFont="1" applyFill="1" applyBorder="1" applyAlignment="1" applyProtection="1">
      <alignment vertical="center"/>
      <protection hidden="1"/>
    </xf>
    <xf numFmtId="0" fontId="49" fillId="20" borderId="13" xfId="0" applyFont="1" applyFill="1" applyBorder="1" applyAlignment="1" applyProtection="1">
      <alignment vertical="center"/>
      <protection hidden="1"/>
    </xf>
    <xf numFmtId="0" fontId="49" fillId="0" borderId="0" xfId="0" applyFont="1" applyAlignment="1" applyProtection="1">
      <alignment vertical="center"/>
      <protection hidden="1"/>
    </xf>
    <xf numFmtId="0" fontId="49" fillId="20" borderId="9" xfId="0" applyFont="1" applyFill="1" applyBorder="1" applyAlignment="1" applyProtection="1">
      <alignment vertical="center"/>
      <protection hidden="1"/>
    </xf>
    <xf numFmtId="0" fontId="49" fillId="20" borderId="17" xfId="0" applyFont="1" applyFill="1" applyBorder="1" applyAlignment="1" applyProtection="1">
      <alignment vertical="center"/>
      <protection hidden="1"/>
    </xf>
    <xf numFmtId="0" fontId="49" fillId="20" borderId="17" xfId="0" applyFont="1" applyFill="1" applyBorder="1" applyAlignment="1" applyProtection="1">
      <alignment horizontal="left" vertical="center"/>
      <protection hidden="1"/>
    </xf>
    <xf numFmtId="0" fontId="49" fillId="20" borderId="0" xfId="0" applyFont="1" applyFill="1" applyAlignment="1" applyProtection="1">
      <alignment horizontal="right" vertical="center"/>
      <protection hidden="1"/>
    </xf>
    <xf numFmtId="167" fontId="49" fillId="20" borderId="0" xfId="0" applyNumberFormat="1" applyFont="1" applyFill="1" applyAlignment="1" applyProtection="1">
      <alignment vertical="center"/>
      <protection hidden="1"/>
    </xf>
    <xf numFmtId="1" fontId="49" fillId="20" borderId="0" xfId="0" applyNumberFormat="1" applyFont="1" applyFill="1" applyAlignment="1" applyProtection="1">
      <alignment vertical="center"/>
      <protection hidden="1"/>
    </xf>
    <xf numFmtId="0" fontId="49" fillId="20" borderId="17" xfId="0" applyFont="1" applyFill="1" applyBorder="1" applyAlignment="1" applyProtection="1">
      <alignment horizontal="center" vertical="center"/>
      <protection hidden="1"/>
    </xf>
    <xf numFmtId="0" fontId="49" fillId="20" borderId="16" xfId="0" applyFont="1" applyFill="1" applyBorder="1" applyAlignment="1" applyProtection="1">
      <alignment vertical="center"/>
      <protection hidden="1"/>
    </xf>
    <xf numFmtId="169" fontId="10" fillId="27" borderId="14" xfId="0" applyNumberFormat="1" applyFont="1" applyFill="1" applyBorder="1" applyAlignment="1">
      <alignment horizontal="center" vertical="center"/>
    </xf>
    <xf numFmtId="0" fontId="10" fillId="27" borderId="14" xfId="0" applyFont="1" applyFill="1" applyBorder="1" applyAlignment="1">
      <alignment horizontal="center" vertical="center"/>
    </xf>
    <xf numFmtId="1" fontId="10" fillId="27" borderId="14" xfId="0" applyNumberFormat="1" applyFont="1" applyFill="1" applyBorder="1" applyAlignment="1">
      <alignment horizontal="center" vertical="center"/>
    </xf>
    <xf numFmtId="168" fontId="10" fillId="27" borderId="14" xfId="0" applyNumberFormat="1" applyFont="1" applyFill="1" applyBorder="1" applyAlignment="1">
      <alignment horizontal="center" vertical="center"/>
    </xf>
    <xf numFmtId="169" fontId="10" fillId="28" borderId="14" xfId="0" applyNumberFormat="1" applyFont="1" applyFill="1" applyBorder="1" applyAlignment="1">
      <alignment horizontal="center" vertical="center"/>
    </xf>
    <xf numFmtId="0" fontId="47" fillId="0" borderId="0" xfId="0" applyFont="1"/>
    <xf numFmtId="168" fontId="49" fillId="21" borderId="0" xfId="0" applyNumberFormat="1" applyFont="1" applyFill="1" applyAlignment="1" applyProtection="1">
      <alignment vertical="center"/>
      <protection hidden="1"/>
    </xf>
    <xf numFmtId="0" fontId="49" fillId="21" borderId="0" xfId="0" applyFont="1" applyFill="1" applyAlignment="1" applyProtection="1">
      <alignment vertical="center"/>
      <protection hidden="1"/>
    </xf>
    <xf numFmtId="168" fontId="58" fillId="21" borderId="0" xfId="0" applyNumberFormat="1" applyFont="1" applyFill="1" applyAlignment="1" applyProtection="1">
      <alignment vertical="center"/>
      <protection hidden="1"/>
    </xf>
    <xf numFmtId="0" fontId="49" fillId="21" borderId="17" xfId="0" applyFont="1" applyFill="1" applyBorder="1" applyAlignment="1" applyProtection="1">
      <alignment vertical="center"/>
      <protection hidden="1"/>
    </xf>
    <xf numFmtId="0" fontId="51" fillId="2" borderId="0" xfId="0" applyFont="1" applyFill="1" applyAlignment="1">
      <alignment horizontal="right"/>
    </xf>
    <xf numFmtId="0" fontId="0" fillId="2" borderId="0" xfId="0" applyFill="1"/>
    <xf numFmtId="0" fontId="62" fillId="2" borderId="0" xfId="0" applyFont="1" applyFill="1" applyAlignment="1">
      <alignment horizontal="center" vertical="top" wrapText="1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175" fontId="41" fillId="6" borderId="0" xfId="1" applyNumberFormat="1" applyFont="1" applyFill="1" applyBorder="1" applyAlignment="1">
      <alignment horizontal="center" vertical="center"/>
    </xf>
    <xf numFmtId="0" fontId="49" fillId="2" borderId="0" xfId="0" applyFont="1" applyFill="1"/>
    <xf numFmtId="0" fontId="49" fillId="0" borderId="0" xfId="0" applyFont="1"/>
    <xf numFmtId="0" fontId="27" fillId="0" borderId="0" xfId="0" applyFont="1" applyAlignment="1" applyProtection="1">
      <alignment horizontal="right" vertical="center"/>
      <protection hidden="1"/>
    </xf>
    <xf numFmtId="174" fontId="26" fillId="5" borderId="0" xfId="0" applyNumberFormat="1" applyFont="1" applyFill="1" applyAlignment="1" applyProtection="1">
      <alignment horizontal="center" vertical="center"/>
      <protection hidden="1"/>
    </xf>
    <xf numFmtId="0" fontId="28" fillId="2" borderId="0" xfId="0" applyFont="1" applyFill="1" applyAlignment="1" applyProtection="1">
      <alignment horizontal="left" vertical="center"/>
      <protection hidden="1"/>
    </xf>
    <xf numFmtId="0" fontId="29" fillId="2" borderId="0" xfId="0" applyFont="1" applyFill="1" applyAlignment="1" applyProtection="1">
      <alignment horizontal="left" vertical="center"/>
      <protection hidden="1"/>
    </xf>
    <xf numFmtId="177" fontId="26" fillId="5" borderId="0" xfId="0" applyNumberFormat="1" applyFont="1" applyFill="1" applyAlignment="1" applyProtection="1">
      <alignment horizontal="center" vertical="center"/>
      <protection hidden="1"/>
    </xf>
    <xf numFmtId="0" fontId="50" fillId="2" borderId="0" xfId="0" applyFont="1" applyFill="1" applyAlignment="1" applyProtection="1">
      <alignment horizontal="right"/>
      <protection hidden="1"/>
    </xf>
    <xf numFmtId="0" fontId="17" fillId="2" borderId="0" xfId="0" applyFont="1" applyFill="1" applyAlignment="1" applyProtection="1">
      <alignment horizontal="right" vertical="center"/>
      <protection hidden="1"/>
    </xf>
    <xf numFmtId="0" fontId="4" fillId="2" borderId="0" xfId="0" applyFont="1" applyFill="1" applyAlignment="1" applyProtection="1">
      <alignment horizontal="right" vertical="center"/>
      <protection hidden="1"/>
    </xf>
    <xf numFmtId="175" fontId="41" fillId="6" borderId="0" xfId="0" applyNumberFormat="1" applyFont="1" applyFill="1" applyAlignment="1" applyProtection="1">
      <alignment horizontal="center" vertical="center"/>
      <protection hidden="1"/>
    </xf>
    <xf numFmtId="175" fontId="43" fillId="12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59" fillId="2" borderId="0" xfId="0" applyFont="1" applyFill="1" applyAlignment="1" applyProtection="1">
      <alignment horizontal="center" vertical="center"/>
      <protection hidden="1"/>
    </xf>
    <xf numFmtId="0" fontId="24" fillId="2" borderId="0" xfId="0" applyFont="1" applyFill="1" applyAlignment="1" applyProtection="1">
      <alignment horizontal="left" vertical="center"/>
      <protection hidden="1"/>
    </xf>
    <xf numFmtId="3" fontId="48" fillId="0" borderId="0" xfId="0" applyNumberFormat="1" applyFont="1" applyAlignment="1" applyProtection="1">
      <alignment horizontal="center" vertical="center"/>
      <protection hidden="1"/>
    </xf>
    <xf numFmtId="0" fontId="0" fillId="0" borderId="61" xfId="0" applyBorder="1" applyAlignment="1" applyProtection="1">
      <alignment vertical="center"/>
      <protection hidden="1"/>
    </xf>
    <xf numFmtId="0" fontId="0" fillId="0" borderId="40" xfId="0" applyBorder="1" applyAlignment="1" applyProtection="1">
      <alignment vertical="center"/>
      <protection hidden="1"/>
    </xf>
    <xf numFmtId="0" fontId="0" fillId="0" borderId="60" xfId="0" applyBorder="1" applyAlignment="1" applyProtection="1">
      <alignment vertical="center"/>
      <protection hidden="1"/>
    </xf>
    <xf numFmtId="0" fontId="0" fillId="0" borderId="56" xfId="0" applyBorder="1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48" fillId="0" borderId="56" xfId="0" applyFont="1" applyBorder="1" applyAlignment="1" applyProtection="1">
      <alignment horizontal="center" vertical="center"/>
      <protection hidden="1"/>
    </xf>
    <xf numFmtId="0" fontId="0" fillId="0" borderId="55" xfId="0" applyBorder="1" applyAlignment="1" applyProtection="1">
      <alignment vertical="center"/>
      <protection hidden="1"/>
    </xf>
    <xf numFmtId="0" fontId="48" fillId="0" borderId="74" xfId="0" applyFont="1" applyBorder="1" applyAlignment="1" applyProtection="1">
      <alignment horizontal="center" vertical="center"/>
      <protection hidden="1"/>
    </xf>
    <xf numFmtId="0" fontId="48" fillId="0" borderId="62" xfId="0" applyFont="1" applyBorder="1" applyAlignment="1" applyProtection="1">
      <alignment vertical="center"/>
      <protection hidden="1"/>
    </xf>
    <xf numFmtId="0" fontId="48" fillId="0" borderId="59" xfId="0" applyFont="1" applyBorder="1" applyAlignment="1" applyProtection="1">
      <alignment vertical="center"/>
      <protection hidden="1"/>
    </xf>
    <xf numFmtId="3" fontId="48" fillId="0" borderId="40" xfId="0" applyNumberFormat="1" applyFont="1" applyBorder="1" applyAlignment="1" applyProtection="1">
      <alignment horizontal="center" vertical="center"/>
      <protection hidden="1"/>
    </xf>
    <xf numFmtId="3" fontId="48" fillId="0" borderId="60" xfId="0" applyNumberFormat="1" applyFont="1" applyBorder="1" applyAlignment="1" applyProtection="1">
      <alignment horizontal="center" vertical="center"/>
      <protection hidden="1"/>
    </xf>
    <xf numFmtId="0" fontId="0" fillId="0" borderId="59" xfId="0" applyBorder="1" applyAlignment="1" applyProtection="1">
      <alignment vertical="center"/>
      <protection hidden="1"/>
    </xf>
    <xf numFmtId="0" fontId="0" fillId="0" borderId="62" xfId="0" applyBorder="1" applyAlignment="1" applyProtection="1">
      <alignment vertical="center"/>
      <protection hidden="1"/>
    </xf>
    <xf numFmtId="3" fontId="50" fillId="0" borderId="0" xfId="0" applyNumberFormat="1" applyFont="1" applyAlignment="1" applyProtection="1">
      <alignment horizontal="center" vertical="center"/>
      <protection hidden="1"/>
    </xf>
    <xf numFmtId="0" fontId="0" fillId="0" borderId="61" xfId="0" applyBorder="1" applyAlignment="1" applyProtection="1">
      <alignment horizontal="center" vertical="center"/>
      <protection hidden="1"/>
    </xf>
    <xf numFmtId="3" fontId="18" fillId="8" borderId="0" xfId="0" applyNumberFormat="1" applyFont="1" applyFill="1" applyAlignment="1" applyProtection="1">
      <alignment horizontal="center" vertical="center"/>
      <protection hidden="1"/>
    </xf>
    <xf numFmtId="3" fontId="0" fillId="0" borderId="0" xfId="0" applyNumberFormat="1" applyAlignment="1" applyProtection="1">
      <alignment horizontal="center" vertical="center"/>
      <protection hidden="1"/>
    </xf>
    <xf numFmtId="3" fontId="0" fillId="0" borderId="61" xfId="0" applyNumberFormat="1" applyBorder="1" applyAlignment="1" applyProtection="1">
      <alignment horizontal="center" vertical="center"/>
      <protection hidden="1"/>
    </xf>
    <xf numFmtId="0" fontId="61" fillId="6" borderId="0" xfId="0" applyFont="1" applyFill="1" applyAlignment="1" applyProtection="1">
      <alignment horizontal="center" vertical="center"/>
      <protection hidden="1"/>
    </xf>
    <xf numFmtId="0" fontId="45" fillId="15" borderId="56" xfId="0" applyFont="1" applyFill="1" applyBorder="1" applyAlignment="1" applyProtection="1">
      <alignment horizontal="center" vertical="center"/>
      <protection hidden="1"/>
    </xf>
    <xf numFmtId="0" fontId="45" fillId="15" borderId="74" xfId="0" applyFont="1" applyFill="1" applyBorder="1" applyAlignment="1" applyProtection="1">
      <alignment horizontal="center" vertical="center"/>
      <protection hidden="1"/>
    </xf>
    <xf numFmtId="168" fontId="80" fillId="15" borderId="40" xfId="0" applyNumberFormat="1" applyFont="1" applyFill="1" applyBorder="1" applyAlignment="1" applyProtection="1">
      <alignment horizontal="center" vertical="center"/>
      <protection hidden="1"/>
    </xf>
    <xf numFmtId="168" fontId="80" fillId="15" borderId="60" xfId="0" applyNumberFormat="1" applyFont="1" applyFill="1" applyBorder="1" applyAlignment="1" applyProtection="1">
      <alignment horizontal="center" vertical="center"/>
      <protection hidden="1"/>
    </xf>
    <xf numFmtId="0" fontId="0" fillId="0" borderId="74" xfId="0" applyBorder="1" applyAlignment="1" applyProtection="1">
      <alignment vertical="center"/>
      <protection hidden="1"/>
    </xf>
    <xf numFmtId="0" fontId="18" fillId="0" borderId="0" xfId="0" applyFont="1" applyAlignment="1" applyProtection="1">
      <alignment horizontal="right" vertical="center"/>
      <protection hidden="1"/>
    </xf>
    <xf numFmtId="0" fontId="18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0" fontId="30" fillId="15" borderId="62" xfId="0" applyFont="1" applyFill="1" applyBorder="1" applyAlignment="1" applyProtection="1">
      <alignment vertical="center"/>
      <protection hidden="1"/>
    </xf>
    <xf numFmtId="0" fontId="31" fillId="15" borderId="0" xfId="0" applyFont="1" applyFill="1" applyAlignment="1" applyProtection="1">
      <alignment horizontal="right" vertical="center"/>
      <protection hidden="1"/>
    </xf>
    <xf numFmtId="0" fontId="31" fillId="15" borderId="0" xfId="0" applyFont="1" applyFill="1" applyAlignment="1" applyProtection="1">
      <alignment vertical="center"/>
      <protection hidden="1"/>
    </xf>
    <xf numFmtId="0" fontId="30" fillId="15" borderId="61" xfId="0" applyFont="1" applyFill="1" applyBorder="1" applyAlignment="1" applyProtection="1">
      <alignment vertical="center"/>
      <protection hidden="1"/>
    </xf>
    <xf numFmtId="10" fontId="0" fillId="0" borderId="40" xfId="0" applyNumberFormat="1" applyBorder="1" applyAlignment="1" applyProtection="1">
      <alignment vertical="center"/>
      <protection hidden="1"/>
    </xf>
    <xf numFmtId="3" fontId="50" fillId="0" borderId="0" xfId="0" applyNumberFormat="1" applyFont="1" applyAlignment="1" applyProtection="1">
      <alignment vertical="center"/>
      <protection hidden="1"/>
    </xf>
    <xf numFmtId="0" fontId="61" fillId="6" borderId="61" xfId="0" applyFont="1" applyFill="1" applyBorder="1" applyAlignment="1" applyProtection="1">
      <alignment horizontal="center" vertical="center"/>
      <protection hidden="1"/>
    </xf>
    <xf numFmtId="3" fontId="33" fillId="0" borderId="0" xfId="0" applyNumberFormat="1" applyFont="1" applyAlignment="1" applyProtection="1">
      <alignment horizontal="center" vertical="center"/>
      <protection hidden="1"/>
    </xf>
    <xf numFmtId="0" fontId="15" fillId="16" borderId="47" xfId="0" applyFont="1" applyFill="1" applyBorder="1" applyAlignment="1" applyProtection="1">
      <alignment horizontal="center" vertical="center"/>
      <protection hidden="1"/>
    </xf>
    <xf numFmtId="0" fontId="15" fillId="16" borderId="45" xfId="0" applyFont="1" applyFill="1" applyBorder="1" applyAlignment="1" applyProtection="1">
      <alignment horizontal="center" vertical="center"/>
      <protection hidden="1"/>
    </xf>
    <xf numFmtId="2" fontId="15" fillId="0" borderId="44" xfId="0" applyNumberFormat="1" applyFont="1" applyBorder="1" applyAlignment="1" applyProtection="1">
      <alignment vertical="center"/>
      <protection hidden="1"/>
    </xf>
    <xf numFmtId="2" fontId="15" fillId="0" borderId="0" xfId="0" applyNumberFormat="1" applyFont="1" applyAlignment="1" applyProtection="1">
      <alignment vertical="center"/>
      <protection hidden="1"/>
    </xf>
    <xf numFmtId="2" fontId="15" fillId="0" borderId="63" xfId="0" applyNumberFormat="1" applyFont="1" applyBorder="1" applyAlignment="1" applyProtection="1">
      <alignment vertical="center"/>
      <protection hidden="1"/>
    </xf>
    <xf numFmtId="0" fontId="49" fillId="0" borderId="0" xfId="0" applyFont="1" applyAlignment="1" applyProtection="1">
      <alignment horizontal="center" vertical="center"/>
      <protection hidden="1"/>
    </xf>
    <xf numFmtId="2" fontId="49" fillId="0" borderId="0" xfId="0" applyNumberFormat="1" applyFont="1" applyAlignment="1" applyProtection="1">
      <alignment vertical="center"/>
      <protection hidden="1"/>
    </xf>
    <xf numFmtId="2" fontId="58" fillId="0" borderId="0" xfId="0" applyNumberFormat="1" applyFont="1" applyAlignment="1" applyProtection="1">
      <alignment vertical="center"/>
      <protection hidden="1"/>
    </xf>
    <xf numFmtId="0" fontId="67" fillId="0" borderId="0" xfId="0" applyFont="1" applyAlignment="1" applyProtection="1">
      <alignment horizontal="center" vertical="center" wrapText="1"/>
      <protection hidden="1"/>
    </xf>
    <xf numFmtId="0" fontId="2" fillId="0" borderId="0" xfId="0" applyFont="1"/>
    <xf numFmtId="0" fontId="16" fillId="2" borderId="0" xfId="0" applyFont="1" applyFill="1" applyAlignment="1" applyProtection="1">
      <alignment horizontal="right" vertical="center"/>
      <protection hidden="1"/>
    </xf>
    <xf numFmtId="0" fontId="0" fillId="0" borderId="56" xfId="0" applyBorder="1"/>
    <xf numFmtId="0" fontId="0" fillId="0" borderId="74" xfId="0" applyBorder="1"/>
    <xf numFmtId="0" fontId="0" fillId="2" borderId="61" xfId="0" applyFill="1" applyBorder="1"/>
    <xf numFmtId="0" fontId="0" fillId="2" borderId="62" xfId="0" applyFill="1" applyBorder="1"/>
    <xf numFmtId="0" fontId="0" fillId="2" borderId="61" xfId="0" applyFill="1" applyBorder="1" applyAlignment="1">
      <alignment horizontal="right" vertical="center"/>
    </xf>
    <xf numFmtId="0" fontId="0" fillId="0" borderId="62" xfId="0" applyBorder="1"/>
    <xf numFmtId="0" fontId="0" fillId="0" borderId="61" xfId="0" applyBorder="1"/>
    <xf numFmtId="0" fontId="0" fillId="0" borderId="56" xfId="0" applyBorder="1" applyAlignment="1" applyProtection="1">
      <alignment horizontal="right"/>
      <protection hidden="1"/>
    </xf>
    <xf numFmtId="0" fontId="0" fillId="0" borderId="56" xfId="0" applyBorder="1" applyProtection="1">
      <protection hidden="1"/>
    </xf>
    <xf numFmtId="0" fontId="0" fillId="0" borderId="74" xfId="0" applyBorder="1" applyProtection="1">
      <protection hidden="1"/>
    </xf>
    <xf numFmtId="0" fontId="0" fillId="2" borderId="61" xfId="0" applyFill="1" applyBorder="1" applyProtection="1">
      <protection hidden="1"/>
    </xf>
    <xf numFmtId="0" fontId="0" fillId="2" borderId="62" xfId="0" applyFill="1" applyBorder="1" applyProtection="1">
      <protection hidden="1"/>
    </xf>
    <xf numFmtId="0" fontId="0" fillId="0" borderId="61" xfId="0" applyBorder="1" applyProtection="1">
      <protection hidden="1"/>
    </xf>
    <xf numFmtId="0" fontId="0" fillId="0" borderId="62" xfId="0" applyBorder="1" applyProtection="1">
      <protection hidden="1"/>
    </xf>
    <xf numFmtId="0" fontId="0" fillId="2" borderId="61" xfId="0" applyFill="1" applyBorder="1" applyAlignment="1" applyProtection="1">
      <alignment vertical="center"/>
      <protection hidden="1"/>
    </xf>
    <xf numFmtId="0" fontId="0" fillId="2" borderId="62" xfId="0" applyFill="1" applyBorder="1" applyAlignment="1" applyProtection="1">
      <alignment vertical="center"/>
      <protection hidden="1"/>
    </xf>
    <xf numFmtId="0" fontId="48" fillId="0" borderId="56" xfId="0" applyFont="1" applyBorder="1" applyAlignment="1" applyProtection="1">
      <alignment vertical="center"/>
      <protection hidden="1"/>
    </xf>
    <xf numFmtId="0" fontId="0" fillId="7" borderId="0" xfId="0" applyFill="1" applyAlignment="1" applyProtection="1">
      <alignment horizontal="center"/>
      <protection hidden="1"/>
    </xf>
    <xf numFmtId="0" fontId="93" fillId="20" borderId="0" xfId="0" applyFont="1" applyFill="1" applyAlignment="1">
      <alignment horizontal="center" vertical="center"/>
    </xf>
    <xf numFmtId="0" fontId="92" fillId="20" borderId="0" xfId="0" applyFont="1" applyFill="1" applyAlignment="1">
      <alignment horizontal="center" vertical="center"/>
    </xf>
    <xf numFmtId="0" fontId="91" fillId="2" borderId="0" xfId="0" applyFont="1" applyFill="1"/>
    <xf numFmtId="174" fontId="91" fillId="2" borderId="0" xfId="0" applyNumberFormat="1" applyFont="1" applyFill="1"/>
    <xf numFmtId="174" fontId="91" fillId="2" borderId="0" xfId="0" applyNumberFormat="1" applyFont="1" applyFill="1" applyAlignment="1">
      <alignment horizontal="center"/>
    </xf>
    <xf numFmtId="174" fontId="57" fillId="2" borderId="0" xfId="0" applyNumberFormat="1" applyFont="1" applyFill="1" applyAlignment="1">
      <alignment horizontal="right"/>
    </xf>
    <xf numFmtId="0" fontId="57" fillId="2" borderId="0" xfId="0" applyFont="1" applyFill="1"/>
    <xf numFmtId="0" fontId="91" fillId="2" borderId="0" xfId="0" applyFont="1" applyFill="1" applyAlignment="1">
      <alignment horizontal="right"/>
    </xf>
    <xf numFmtId="0" fontId="91" fillId="2" borderId="0" xfId="0" applyFont="1" applyFill="1" applyAlignment="1">
      <alignment horizontal="center"/>
    </xf>
    <xf numFmtId="170" fontId="57" fillId="2" borderId="0" xfId="0" applyNumberFormat="1" applyFont="1" applyFill="1" applyAlignment="1">
      <alignment horizontal="right"/>
    </xf>
    <xf numFmtId="170" fontId="91" fillId="2" borderId="0" xfId="0" applyNumberFormat="1" applyFont="1" applyFill="1" applyAlignment="1">
      <alignment horizontal="center"/>
    </xf>
    <xf numFmtId="1" fontId="91" fillId="2" borderId="0" xfId="0" applyNumberFormat="1" applyFont="1" applyFill="1" applyAlignment="1">
      <alignment horizontal="right"/>
    </xf>
    <xf numFmtId="182" fontId="91" fillId="2" borderId="0" xfId="0" applyNumberFormat="1" applyFont="1" applyFill="1"/>
    <xf numFmtId="181" fontId="91" fillId="2" borderId="0" xfId="0" applyNumberFormat="1" applyFont="1" applyFill="1"/>
    <xf numFmtId="182" fontId="57" fillId="2" borderId="0" xfId="0" applyNumberFormat="1" applyFont="1" applyFill="1"/>
    <xf numFmtId="182" fontId="91" fillId="0" borderId="0" xfId="0" applyNumberFormat="1" applyFont="1"/>
    <xf numFmtId="0" fontId="57" fillId="2" borderId="0" xfId="0" applyFont="1" applyFill="1" applyAlignment="1">
      <alignment vertical="center" wrapText="1"/>
    </xf>
    <xf numFmtId="0" fontId="64" fillId="2" borderId="0" xfId="0" applyFont="1" applyFill="1"/>
    <xf numFmtId="0" fontId="64" fillId="2" borderId="0" xfId="0" applyFont="1" applyFill="1" applyAlignment="1">
      <alignment horizontal="right"/>
    </xf>
    <xf numFmtId="179" fontId="64" fillId="2" borderId="0" xfId="0" applyNumberFormat="1" applyFont="1" applyFill="1" applyAlignment="1">
      <alignment horizontal="center"/>
    </xf>
    <xf numFmtId="0" fontId="64" fillId="2" borderId="0" xfId="0" applyFont="1" applyFill="1" applyAlignment="1">
      <alignment horizontal="center"/>
    </xf>
    <xf numFmtId="0" fontId="91" fillId="0" borderId="0" xfId="0" applyFont="1"/>
    <xf numFmtId="0" fontId="57" fillId="2" borderId="0" xfId="0" applyFont="1" applyFill="1" applyAlignment="1">
      <alignment horizontal="right"/>
    </xf>
    <xf numFmtId="0" fontId="97" fillId="0" borderId="0" xfId="0" applyFont="1"/>
    <xf numFmtId="0" fontId="97" fillId="2" borderId="0" xfId="0" applyFont="1" applyFill="1"/>
    <xf numFmtId="0" fontId="83" fillId="2" borderId="0" xfId="0" applyFont="1" applyFill="1" applyAlignment="1">
      <alignment horizontal="right"/>
    </xf>
    <xf numFmtId="0" fontId="81" fillId="2" borderId="0" xfId="0" applyFont="1" applyFill="1" applyAlignment="1">
      <alignment horizontal="center"/>
    </xf>
    <xf numFmtId="182" fontId="97" fillId="2" borderId="0" xfId="0" applyNumberFormat="1" applyFont="1" applyFill="1" applyAlignment="1">
      <alignment horizontal="right"/>
    </xf>
    <xf numFmtId="181" fontId="97" fillId="2" borderId="0" xfId="0" applyNumberFormat="1" applyFont="1" applyFill="1" applyAlignment="1">
      <alignment horizontal="center"/>
    </xf>
    <xf numFmtId="182" fontId="95" fillId="2" borderId="0" xfId="0" applyNumberFormat="1" applyFont="1" applyFill="1"/>
    <xf numFmtId="0" fontId="47" fillId="20" borderId="0" xfId="0" applyFont="1" applyFill="1" applyAlignment="1">
      <alignment vertical="center"/>
    </xf>
    <xf numFmtId="0" fontId="99" fillId="0" borderId="62" xfId="0" applyFont="1" applyBorder="1" applyAlignment="1">
      <alignment vertical="center"/>
    </xf>
    <xf numFmtId="0" fontId="100" fillId="0" borderId="78" xfId="0" applyFont="1" applyBorder="1" applyAlignment="1">
      <alignment vertical="center"/>
    </xf>
    <xf numFmtId="0" fontId="47" fillId="0" borderId="61" xfId="0" applyFont="1" applyBorder="1" applyAlignment="1">
      <alignment vertical="center"/>
    </xf>
    <xf numFmtId="0" fontId="47" fillId="0" borderId="0" xfId="0" applyFont="1" applyAlignment="1">
      <alignment vertical="center"/>
    </xf>
    <xf numFmtId="0" fontId="96" fillId="0" borderId="80" xfId="0" applyFont="1" applyBorder="1" applyAlignment="1">
      <alignment horizontal="center" vertical="center"/>
    </xf>
    <xf numFmtId="0" fontId="47" fillId="0" borderId="62" xfId="0" applyFont="1" applyBorder="1" applyAlignment="1">
      <alignment vertical="center"/>
    </xf>
    <xf numFmtId="0" fontId="47" fillId="0" borderId="0" xfId="0" applyFont="1" applyAlignment="1">
      <alignment horizontal="center" vertical="center"/>
    </xf>
    <xf numFmtId="0" fontId="47" fillId="30" borderId="61" xfId="0" applyFont="1" applyFill="1" applyBorder="1" applyAlignment="1">
      <alignment vertical="center"/>
    </xf>
    <xf numFmtId="0" fontId="47" fillId="30" borderId="0" xfId="0" applyFont="1" applyFill="1" applyAlignment="1">
      <alignment horizontal="center" vertical="center"/>
    </xf>
    <xf numFmtId="0" fontId="47" fillId="20" borderId="0" xfId="0" applyFont="1" applyFill="1"/>
    <xf numFmtId="0" fontId="47" fillId="0" borderId="62" xfId="0" applyFont="1" applyBorder="1" applyAlignment="1">
      <alignment vertical="top"/>
    </xf>
    <xf numFmtId="0" fontId="47" fillId="0" borderId="61" xfId="0" applyFont="1" applyBorder="1" applyAlignment="1">
      <alignment vertical="top"/>
    </xf>
    <xf numFmtId="0" fontId="69" fillId="20" borderId="0" xfId="0" applyFont="1" applyFill="1"/>
    <xf numFmtId="0" fontId="69" fillId="20" borderId="0" xfId="0" applyFont="1" applyFill="1" applyAlignment="1">
      <alignment horizontal="left"/>
    </xf>
    <xf numFmtId="167" fontId="77" fillId="20" borderId="0" xfId="0" applyNumberFormat="1" applyFont="1" applyFill="1"/>
    <xf numFmtId="0" fontId="96" fillId="30" borderId="80" xfId="0" applyFont="1" applyFill="1" applyBorder="1" applyAlignment="1">
      <alignment horizontal="center" vertical="center"/>
    </xf>
    <xf numFmtId="0" fontId="15" fillId="23" borderId="0" xfId="0" applyFont="1" applyFill="1" applyAlignment="1" applyProtection="1">
      <alignment vertical="center"/>
      <protection hidden="1"/>
    </xf>
    <xf numFmtId="0" fontId="16" fillId="23" borderId="0" xfId="0" applyFont="1" applyFill="1" applyAlignment="1" applyProtection="1">
      <alignment horizontal="center" vertical="center"/>
      <protection hidden="1"/>
    </xf>
    <xf numFmtId="0" fontId="15" fillId="2" borderId="0" xfId="0" applyFont="1" applyFill="1" applyAlignment="1" applyProtection="1">
      <alignment vertical="center"/>
      <protection hidden="1"/>
    </xf>
    <xf numFmtId="0" fontId="15" fillId="0" borderId="0" xfId="0" applyFont="1" applyAlignment="1" applyProtection="1">
      <alignment vertical="center"/>
      <protection hidden="1"/>
    </xf>
    <xf numFmtId="0" fontId="104" fillId="30" borderId="14" xfId="0" applyFont="1" applyFill="1" applyBorder="1" applyAlignment="1">
      <alignment horizontal="center" vertical="center"/>
    </xf>
    <xf numFmtId="0" fontId="105" fillId="30" borderId="14" xfId="0" applyFont="1" applyFill="1" applyBorder="1" applyAlignment="1">
      <alignment horizontal="center" vertical="center"/>
    </xf>
    <xf numFmtId="0" fontId="106" fillId="30" borderId="14" xfId="0" applyFont="1" applyFill="1" applyBorder="1" applyAlignment="1">
      <alignment horizontal="center" vertical="center"/>
    </xf>
    <xf numFmtId="0" fontId="107" fillId="30" borderId="14" xfId="0" applyFont="1" applyFill="1" applyBorder="1" applyAlignment="1">
      <alignment horizontal="center" vertical="center"/>
    </xf>
    <xf numFmtId="0" fontId="55" fillId="30" borderId="14" xfId="0" applyFont="1" applyFill="1" applyBorder="1" applyAlignment="1">
      <alignment horizontal="center" vertical="center"/>
    </xf>
    <xf numFmtId="0" fontId="47" fillId="0" borderId="0" xfId="0" applyFont="1" applyAlignment="1">
      <alignment vertical="top"/>
    </xf>
    <xf numFmtId="0" fontId="103" fillId="30" borderId="0" xfId="0" applyFont="1" applyFill="1"/>
    <xf numFmtId="0" fontId="103" fillId="30" borderId="40" xfId="0" applyFont="1" applyFill="1" applyBorder="1"/>
    <xf numFmtId="0" fontId="47" fillId="30" borderId="62" xfId="0" applyFont="1" applyFill="1" applyBorder="1"/>
    <xf numFmtId="0" fontId="103" fillId="30" borderId="61" xfId="0" applyFont="1" applyFill="1" applyBorder="1"/>
    <xf numFmtId="0" fontId="47" fillId="30" borderId="59" xfId="0" applyFont="1" applyFill="1" applyBorder="1"/>
    <xf numFmtId="0" fontId="103" fillId="30" borderId="60" xfId="0" applyFont="1" applyFill="1" applyBorder="1"/>
    <xf numFmtId="0" fontId="70" fillId="30" borderId="17" xfId="0" applyFont="1" applyFill="1" applyBorder="1" applyAlignment="1">
      <alignment vertical="center"/>
    </xf>
    <xf numFmtId="0" fontId="70" fillId="0" borderId="0" xfId="0" applyFont="1" applyAlignment="1">
      <alignment vertical="top"/>
    </xf>
    <xf numFmtId="0" fontId="108" fillId="30" borderId="0" xfId="0" applyFont="1" applyFill="1" applyAlignment="1">
      <alignment horizontal="center" vertical="center" wrapText="1"/>
    </xf>
    <xf numFmtId="0" fontId="17" fillId="2" borderId="3" xfId="0" applyFont="1" applyFill="1" applyBorder="1" applyAlignment="1" applyProtection="1">
      <alignment horizontal="center"/>
      <protection hidden="1"/>
    </xf>
    <xf numFmtId="0" fontId="63" fillId="26" borderId="0" xfId="0" applyFont="1" applyFill="1" applyAlignment="1" applyProtection="1">
      <alignment horizontal="center" vertical="center"/>
      <protection locked="0"/>
    </xf>
    <xf numFmtId="171" fontId="9" fillId="26" borderId="0" xfId="0" applyNumberFormat="1" applyFont="1" applyFill="1" applyAlignment="1" applyProtection="1">
      <alignment vertical="center"/>
      <protection locked="0"/>
    </xf>
    <xf numFmtId="171" fontId="9" fillId="26" borderId="0" xfId="0" applyNumberFormat="1" applyFont="1" applyFill="1" applyAlignment="1" applyProtection="1">
      <alignment horizontal="right" vertical="center"/>
      <protection locked="0"/>
    </xf>
    <xf numFmtId="175" fontId="41" fillId="26" borderId="0" xfId="0" applyNumberFormat="1" applyFont="1" applyFill="1" applyAlignment="1" applyProtection="1">
      <alignment horizontal="center" vertical="center"/>
      <protection locked="0"/>
    </xf>
    <xf numFmtId="3" fontId="33" fillId="26" borderId="0" xfId="0" applyNumberFormat="1" applyFont="1" applyFill="1" applyAlignment="1" applyProtection="1">
      <alignment horizontal="center" vertical="center"/>
      <protection locked="0"/>
    </xf>
    <xf numFmtId="3" fontId="18" fillId="26" borderId="0" xfId="0" applyNumberFormat="1" applyFont="1" applyFill="1" applyAlignment="1" applyProtection="1">
      <alignment horizontal="center" vertical="center"/>
      <protection locked="0"/>
    </xf>
    <xf numFmtId="2" fontId="8" fillId="26" borderId="14" xfId="0" applyNumberFormat="1" applyFont="1" applyFill="1" applyBorder="1" applyAlignment="1" applyProtection="1">
      <alignment horizontal="center"/>
      <protection locked="0"/>
    </xf>
    <xf numFmtId="2" fontId="8" fillId="26" borderId="1" xfId="0" applyNumberFormat="1" applyFont="1" applyFill="1" applyBorder="1" applyProtection="1">
      <protection locked="0"/>
    </xf>
    <xf numFmtId="0" fontId="113" fillId="26" borderId="0" xfId="0" applyFont="1" applyFill="1" applyAlignment="1" applyProtection="1">
      <alignment horizontal="center" vertical="center"/>
      <protection locked="0"/>
    </xf>
    <xf numFmtId="3" fontId="113" fillId="26" borderId="0" xfId="0" applyNumberFormat="1" applyFont="1" applyFill="1" applyAlignment="1" applyProtection="1">
      <alignment horizontal="center" vertical="center"/>
      <protection locked="0"/>
    </xf>
    <xf numFmtId="175" fontId="50" fillId="0" borderId="0" xfId="0" applyNumberFormat="1" applyFont="1" applyAlignment="1" applyProtection="1">
      <alignment horizontal="center" vertical="center"/>
      <protection hidden="1"/>
    </xf>
    <xf numFmtId="175" fontId="50" fillId="0" borderId="0" xfId="0" applyNumberFormat="1" applyFont="1" applyAlignment="1" applyProtection="1">
      <alignment vertical="center"/>
      <protection hidden="1"/>
    </xf>
    <xf numFmtId="175" fontId="50" fillId="0" borderId="61" xfId="0" applyNumberFormat="1" applyFont="1" applyBorder="1" applyAlignment="1" applyProtection="1">
      <alignment horizontal="center" vertical="center"/>
      <protection hidden="1"/>
    </xf>
    <xf numFmtId="175" fontId="50" fillId="0" borderId="61" xfId="0" applyNumberFormat="1" applyFont="1" applyBorder="1" applyAlignment="1" applyProtection="1">
      <alignment vertical="center"/>
      <protection hidden="1"/>
    </xf>
    <xf numFmtId="0" fontId="33" fillId="0" borderId="0" xfId="0" applyFont="1" applyAlignment="1" applyProtection="1">
      <alignment horizontal="left" vertical="center"/>
      <protection hidden="1"/>
    </xf>
    <xf numFmtId="3" fontId="113" fillId="0" borderId="0" xfId="0" applyNumberFormat="1" applyFont="1" applyAlignment="1" applyProtection="1">
      <alignment horizontal="center" vertical="center"/>
      <protection hidden="1"/>
    </xf>
    <xf numFmtId="170" fontId="33" fillId="26" borderId="0" xfId="0" applyNumberFormat="1" applyFont="1" applyFill="1" applyAlignment="1" applyProtection="1">
      <alignment horizontal="center" vertical="center"/>
      <protection locked="0"/>
    </xf>
    <xf numFmtId="10" fontId="10" fillId="15" borderId="0" xfId="24" applyNumberFormat="1" applyFont="1" applyFill="1" applyBorder="1" applyAlignment="1" applyProtection="1">
      <alignment horizontal="center" vertical="center"/>
      <protection hidden="1"/>
    </xf>
    <xf numFmtId="0" fontId="8" fillId="8" borderId="48" xfId="0" applyFont="1" applyFill="1" applyBorder="1" applyAlignment="1" applyProtection="1">
      <alignment horizontal="center" vertical="center"/>
      <protection hidden="1"/>
    </xf>
    <xf numFmtId="2" fontId="8" fillId="8" borderId="52" xfId="0" applyNumberFormat="1" applyFont="1" applyFill="1" applyBorder="1" applyAlignment="1" applyProtection="1">
      <alignment horizontal="center" vertical="center"/>
      <protection hidden="1"/>
    </xf>
    <xf numFmtId="3" fontId="115" fillId="23" borderId="0" xfId="0" applyNumberFormat="1" applyFont="1" applyFill="1" applyAlignment="1" applyProtection="1">
      <alignment horizontal="center" vertical="center"/>
      <protection hidden="1"/>
    </xf>
    <xf numFmtId="3" fontId="115" fillId="0" borderId="0" xfId="0" applyNumberFormat="1" applyFont="1" applyAlignment="1" applyProtection="1">
      <alignment horizontal="center" vertical="center"/>
      <protection hidden="1"/>
    </xf>
    <xf numFmtId="170" fontId="33" fillId="0" borderId="0" xfId="0" applyNumberFormat="1" applyFont="1" applyAlignment="1" applyProtection="1">
      <alignment vertical="center"/>
      <protection hidden="1"/>
    </xf>
    <xf numFmtId="3" fontId="116" fillId="0" borderId="0" xfId="0" applyNumberFormat="1" applyFont="1" applyAlignment="1" applyProtection="1">
      <alignment horizontal="center" vertical="center"/>
      <protection hidden="1"/>
    </xf>
    <xf numFmtId="2" fontId="113" fillId="6" borderId="0" xfId="0" applyNumberFormat="1" applyFont="1" applyFill="1" applyAlignment="1" applyProtection="1">
      <alignment horizontal="center" vertical="center"/>
      <protection hidden="1"/>
    </xf>
    <xf numFmtId="2" fontId="113" fillId="6" borderId="61" xfId="0" applyNumberFormat="1" applyFont="1" applyFill="1" applyBorder="1" applyAlignment="1" applyProtection="1">
      <alignment horizontal="center" vertical="center"/>
      <protection hidden="1"/>
    </xf>
    <xf numFmtId="2" fontId="43" fillId="14" borderId="40" xfId="0" applyNumberFormat="1" applyFont="1" applyFill="1" applyBorder="1" applyAlignment="1" applyProtection="1">
      <alignment horizontal="center" vertical="center"/>
      <protection hidden="1"/>
    </xf>
    <xf numFmtId="2" fontId="43" fillId="14" borderId="60" xfId="0" applyNumberFormat="1" applyFont="1" applyFill="1" applyBorder="1" applyAlignment="1" applyProtection="1">
      <alignment horizontal="center" vertical="center"/>
      <protection hidden="1"/>
    </xf>
    <xf numFmtId="0" fontId="117" fillId="2" borderId="0" xfId="0" applyFont="1" applyFill="1"/>
    <xf numFmtId="176" fontId="118" fillId="26" borderId="0" xfId="0" applyNumberFormat="1" applyFont="1" applyFill="1" applyAlignment="1" applyProtection="1">
      <alignment horizontal="center" vertical="center"/>
      <protection locked="0"/>
    </xf>
    <xf numFmtId="0" fontId="119" fillId="2" borderId="0" xfId="0" applyFont="1" applyFill="1"/>
    <xf numFmtId="172" fontId="120" fillId="2" borderId="0" xfId="0" applyNumberFormat="1" applyFont="1" applyFill="1" applyAlignment="1">
      <alignment horizontal="center"/>
    </xf>
    <xf numFmtId="172" fontId="121" fillId="2" borderId="0" xfId="0" applyNumberFormat="1" applyFont="1" applyFill="1" applyAlignment="1">
      <alignment horizontal="center"/>
    </xf>
    <xf numFmtId="0" fontId="119" fillId="2" borderId="0" xfId="0" applyFont="1" applyFill="1" applyProtection="1">
      <protection hidden="1"/>
    </xf>
    <xf numFmtId="172" fontId="120" fillId="2" borderId="0" xfId="0" applyNumberFormat="1" applyFont="1" applyFill="1" applyAlignment="1" applyProtection="1">
      <alignment horizontal="center"/>
      <protection hidden="1"/>
    </xf>
    <xf numFmtId="172" fontId="121" fillId="2" borderId="0" xfId="0" applyNumberFormat="1" applyFont="1" applyFill="1" applyAlignment="1" applyProtection="1">
      <alignment horizontal="center"/>
      <protection hidden="1"/>
    </xf>
    <xf numFmtId="0" fontId="119" fillId="2" borderId="0" xfId="0" applyFont="1" applyFill="1" applyAlignment="1" applyProtection="1">
      <alignment vertical="center"/>
      <protection hidden="1"/>
    </xf>
    <xf numFmtId="172" fontId="120" fillId="2" borderId="0" xfId="0" applyNumberFormat="1" applyFont="1" applyFill="1" applyAlignment="1" applyProtection="1">
      <alignment horizontal="center" vertical="center"/>
      <protection hidden="1"/>
    </xf>
    <xf numFmtId="172" fontId="121" fillId="2" borderId="0" xfId="0" applyNumberFormat="1" applyFont="1" applyFill="1" applyAlignment="1" applyProtection="1">
      <alignment horizontal="center" vertical="center"/>
      <protection hidden="1"/>
    </xf>
    <xf numFmtId="175" fontId="113" fillId="26" borderId="0" xfId="0" applyNumberFormat="1" applyFont="1" applyFill="1" applyAlignment="1" applyProtection="1">
      <alignment horizontal="center" vertical="center"/>
      <protection locked="0"/>
    </xf>
    <xf numFmtId="175" fontId="113" fillId="22" borderId="0" xfId="0" applyNumberFormat="1" applyFont="1" applyFill="1" applyAlignment="1">
      <alignment horizontal="center" vertical="center"/>
    </xf>
    <xf numFmtId="1" fontId="123" fillId="2" borderId="0" xfId="0" applyNumberFormat="1" applyFont="1" applyFill="1" applyAlignment="1" applyProtection="1">
      <alignment horizontal="center" vertical="center"/>
      <protection hidden="1"/>
    </xf>
    <xf numFmtId="0" fontId="23" fillId="2" borderId="0" xfId="0" applyFont="1" applyFill="1" applyAlignment="1" applyProtection="1">
      <alignment horizontal="center" vertical="center"/>
      <protection hidden="1"/>
    </xf>
    <xf numFmtId="0" fontId="68" fillId="2" borderId="0" xfId="0" applyFont="1" applyFill="1" applyAlignment="1" applyProtection="1">
      <alignment vertical="center"/>
      <protection hidden="1"/>
    </xf>
    <xf numFmtId="0" fontId="124" fillId="2" borderId="0" xfId="0" applyFont="1" applyFill="1" applyAlignment="1" applyProtection="1">
      <alignment horizontal="center" vertical="center"/>
      <protection hidden="1"/>
    </xf>
    <xf numFmtId="0" fontId="48" fillId="2" borderId="62" xfId="0" applyFont="1" applyFill="1" applyBorder="1" applyAlignment="1" applyProtection="1">
      <alignment vertical="center"/>
      <protection hidden="1"/>
    </xf>
    <xf numFmtId="0" fontId="125" fillId="2" borderId="0" xfId="0" applyFont="1" applyFill="1" applyAlignment="1" applyProtection="1">
      <alignment horizontal="center" vertical="center"/>
      <protection hidden="1"/>
    </xf>
    <xf numFmtId="0" fontId="126" fillId="2" borderId="0" xfId="0" applyFont="1" applyFill="1" applyAlignment="1" applyProtection="1">
      <alignment horizontal="center" vertical="center"/>
      <protection hidden="1"/>
    </xf>
    <xf numFmtId="0" fontId="48" fillId="2" borderId="62" xfId="0" applyFont="1" applyFill="1" applyBorder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48" fillId="2" borderId="62" xfId="0" applyFont="1" applyFill="1" applyBorder="1" applyAlignment="1" applyProtection="1">
      <alignment horizontal="center" vertical="center"/>
      <protection hidden="1"/>
    </xf>
    <xf numFmtId="0" fontId="48" fillId="2" borderId="0" xfId="0" applyFont="1" applyFill="1" applyAlignment="1" applyProtection="1">
      <alignment horizontal="center" vertical="center"/>
      <protection hidden="1"/>
    </xf>
    <xf numFmtId="0" fontId="125" fillId="2" borderId="0" xfId="0" applyFont="1" applyFill="1" applyAlignment="1">
      <alignment horizontal="center" vertical="center"/>
    </xf>
    <xf numFmtId="0" fontId="126" fillId="2" borderId="0" xfId="0" applyFont="1" applyFill="1" applyAlignment="1">
      <alignment horizontal="center" vertical="center"/>
    </xf>
    <xf numFmtId="3" fontId="33" fillId="4" borderId="0" xfId="0" applyNumberFormat="1" applyFont="1" applyFill="1" applyAlignment="1">
      <alignment horizontal="center" vertical="center"/>
    </xf>
    <xf numFmtId="190" fontId="50" fillId="26" borderId="0" xfId="0" applyNumberFormat="1" applyFont="1" applyFill="1" applyAlignment="1" applyProtection="1">
      <alignment horizontal="center" vertical="center"/>
      <protection locked="0"/>
    </xf>
    <xf numFmtId="0" fontId="72" fillId="0" borderId="0" xfId="0" applyFont="1" applyAlignment="1">
      <alignment horizontal="center" vertical="center"/>
    </xf>
    <xf numFmtId="0" fontId="109" fillId="0" borderId="0" xfId="0" applyFont="1"/>
    <xf numFmtId="0" fontId="127" fillId="0" borderId="0" xfId="0" applyFont="1"/>
    <xf numFmtId="0" fontId="89" fillId="0" borderId="0" xfId="0" applyFont="1" applyAlignment="1">
      <alignment vertical="center"/>
    </xf>
    <xf numFmtId="38" fontId="15" fillId="0" borderId="0" xfId="31" applyNumberFormat="1" applyFont="1" applyBorder="1" applyAlignment="1" applyProtection="1">
      <alignment vertical="center"/>
    </xf>
    <xf numFmtId="38" fontId="15" fillId="0" borderId="0" xfId="31" applyNumberFormat="1" applyFont="1" applyBorder="1" applyAlignment="1" applyProtection="1">
      <alignment horizontal="center" vertical="top"/>
    </xf>
    <xf numFmtId="38" fontId="15" fillId="0" borderId="0" xfId="31" applyNumberFormat="1" applyFont="1" applyBorder="1" applyAlignment="1" applyProtection="1">
      <alignment vertical="top"/>
    </xf>
    <xf numFmtId="38" fontId="15" fillId="0" borderId="40" xfId="31" applyNumberFormat="1" applyFont="1" applyBorder="1" applyAlignment="1" applyProtection="1">
      <alignment vertical="center"/>
    </xf>
    <xf numFmtId="38" fontId="16" fillId="0" borderId="0" xfId="31" applyNumberFormat="1" applyFont="1" applyBorder="1" applyAlignment="1" applyProtection="1">
      <alignment vertical="center"/>
    </xf>
    <xf numFmtId="38" fontId="15" fillId="0" borderId="0" xfId="31" applyNumberFormat="1" applyFont="1" applyAlignment="1" applyProtection="1">
      <alignment horizontal="center" vertical="center"/>
    </xf>
    <xf numFmtId="2" fontId="41" fillId="26" borderId="49" xfId="0" applyNumberFormat="1" applyFont="1" applyFill="1" applyBorder="1" applyAlignment="1">
      <alignment horizontal="center" vertical="center"/>
    </xf>
    <xf numFmtId="2" fontId="41" fillId="26" borderId="50" xfId="0" applyNumberFormat="1" applyFont="1" applyFill="1" applyBorder="1" applyAlignment="1">
      <alignment horizontal="center" vertical="center"/>
    </xf>
    <xf numFmtId="0" fontId="108" fillId="0" borderId="90" xfId="0" applyFont="1" applyBorder="1" applyAlignment="1">
      <alignment horizontal="center" vertical="center" wrapText="1"/>
    </xf>
    <xf numFmtId="188" fontId="72" fillId="0" borderId="90" xfId="0" applyNumberFormat="1" applyFont="1" applyBorder="1" applyAlignment="1" applyProtection="1">
      <alignment horizontal="center" vertical="center"/>
      <protection locked="0"/>
    </xf>
    <xf numFmtId="0" fontId="47" fillId="0" borderId="90" xfId="0" applyFont="1" applyBorder="1" applyAlignment="1">
      <alignment horizontal="center" vertical="center"/>
    </xf>
    <xf numFmtId="0" fontId="47" fillId="0" borderId="59" xfId="0" applyFont="1" applyBorder="1" applyAlignment="1">
      <alignment vertical="center"/>
    </xf>
    <xf numFmtId="0" fontId="108" fillId="0" borderId="40" xfId="0" applyFont="1" applyBorder="1" applyAlignment="1">
      <alignment horizontal="center" vertical="center" wrapText="1"/>
    </xf>
    <xf numFmtId="188" fontId="72" fillId="0" borderId="40" xfId="0" applyNumberFormat="1" applyFont="1" applyBorder="1" applyAlignment="1" applyProtection="1">
      <alignment horizontal="center" vertical="center"/>
      <protection locked="0"/>
    </xf>
    <xf numFmtId="0" fontId="47" fillId="0" borderId="40" xfId="0" applyFont="1" applyBorder="1" applyAlignment="1">
      <alignment horizontal="center" vertical="center"/>
    </xf>
    <xf numFmtId="0" fontId="47" fillId="0" borderId="60" xfId="0" applyFont="1" applyBorder="1" applyAlignment="1">
      <alignment vertical="center"/>
    </xf>
    <xf numFmtId="3" fontId="76" fillId="26" borderId="58" xfId="0" applyNumberFormat="1" applyFont="1" applyFill="1" applyBorder="1" applyAlignment="1">
      <alignment horizontal="center" vertical="center" wrapText="1"/>
    </xf>
    <xf numFmtId="3" fontId="76" fillId="26" borderId="65" xfId="0" applyNumberFormat="1" applyFont="1" applyFill="1" applyBorder="1" applyAlignment="1">
      <alignment horizontal="center" vertical="center" wrapText="1"/>
    </xf>
    <xf numFmtId="38" fontId="8" fillId="0" borderId="0" xfId="31" applyNumberFormat="1" applyFont="1" applyBorder="1" applyAlignment="1" applyProtection="1">
      <alignment horizontal="center" vertical="top"/>
    </xf>
    <xf numFmtId="38" fontId="140" fillId="0" borderId="0" xfId="31" applyNumberFormat="1" applyFont="1" applyBorder="1" applyAlignment="1" applyProtection="1">
      <alignment vertical="center"/>
    </xf>
    <xf numFmtId="0" fontId="15" fillId="0" borderId="0" xfId="17" applyFont="1"/>
    <xf numFmtId="0" fontId="15" fillId="0" borderId="55" xfId="17" applyFont="1" applyBorder="1"/>
    <xf numFmtId="0" fontId="15" fillId="0" borderId="56" xfId="17" applyFont="1" applyBorder="1"/>
    <xf numFmtId="0" fontId="15" fillId="0" borderId="74" xfId="17" applyFont="1" applyBorder="1"/>
    <xf numFmtId="0" fontId="8" fillId="0" borderId="0" xfId="17" applyFont="1" applyAlignment="1">
      <alignment vertical="center"/>
    </xf>
    <xf numFmtId="0" fontId="129" fillId="0" borderId="0" xfId="17" applyFont="1" applyAlignment="1">
      <alignment vertical="center"/>
    </xf>
    <xf numFmtId="0" fontId="6" fillId="0" borderId="0" xfId="17" applyFont="1" applyAlignment="1">
      <alignment vertical="center"/>
    </xf>
    <xf numFmtId="0" fontId="129" fillId="0" borderId="0" xfId="17" applyFont="1" applyAlignment="1">
      <alignment vertical="center" shrinkToFit="1"/>
    </xf>
    <xf numFmtId="0" fontId="15" fillId="0" borderId="62" xfId="17" applyFont="1" applyBorder="1" applyAlignment="1">
      <alignment horizontal="center"/>
    </xf>
    <xf numFmtId="0" fontId="15" fillId="0" borderId="0" xfId="17" applyFont="1" applyAlignment="1">
      <alignment horizontal="center"/>
    </xf>
    <xf numFmtId="195" fontId="15" fillId="0" borderId="0" xfId="17" applyNumberFormat="1" applyFont="1" applyAlignment="1">
      <alignment horizontal="left"/>
    </xf>
    <xf numFmtId="0" fontId="15" fillId="0" borderId="0" xfId="17" applyFont="1" applyAlignment="1">
      <alignment horizontal="left"/>
    </xf>
    <xf numFmtId="0" fontId="15" fillId="0" borderId="61" xfId="17" applyFont="1" applyBorder="1" applyAlignment="1">
      <alignment horizontal="left"/>
    </xf>
    <xf numFmtId="0" fontId="15" fillId="0" borderId="62" xfId="17" applyFont="1" applyBorder="1"/>
    <xf numFmtId="0" fontId="15" fillId="0" borderId="61" xfId="17" applyFont="1" applyBorder="1"/>
    <xf numFmtId="0" fontId="15" fillId="0" borderId="9" xfId="17" applyFont="1" applyBorder="1"/>
    <xf numFmtId="0" fontId="15" fillId="0" borderId="12" xfId="17" applyFont="1" applyBorder="1"/>
    <xf numFmtId="0" fontId="15" fillId="0" borderId="10" xfId="17" applyFont="1" applyBorder="1"/>
    <xf numFmtId="182" fontId="16" fillId="0" borderId="9" xfId="17" applyNumberFormat="1" applyFont="1" applyBorder="1"/>
    <xf numFmtId="182" fontId="16" fillId="0" borderId="10" xfId="17" applyNumberFormat="1" applyFont="1" applyBorder="1"/>
    <xf numFmtId="182" fontId="16" fillId="0" borderId="12" xfId="17" applyNumberFormat="1" applyFont="1" applyBorder="1"/>
    <xf numFmtId="182" fontId="16" fillId="0" borderId="17" xfId="17" applyNumberFormat="1" applyFont="1" applyBorder="1"/>
    <xf numFmtId="182" fontId="16" fillId="0" borderId="0" xfId="17" applyNumberFormat="1" applyFont="1"/>
    <xf numFmtId="182" fontId="16" fillId="0" borderId="8" xfId="17" applyNumberFormat="1" applyFont="1" applyBorder="1"/>
    <xf numFmtId="0" fontId="21" fillId="0" borderId="0" xfId="17" applyFont="1"/>
    <xf numFmtId="0" fontId="16" fillId="0" borderId="0" xfId="17" applyFont="1"/>
    <xf numFmtId="0" fontId="140" fillId="0" borderId="62" xfId="17" applyFont="1" applyBorder="1"/>
    <xf numFmtId="0" fontId="140" fillId="0" borderId="0" xfId="17" applyFont="1"/>
    <xf numFmtId="0" fontId="137" fillId="0" borderId="0" xfId="17" applyFont="1"/>
    <xf numFmtId="0" fontId="137" fillId="0" borderId="0" xfId="17" applyFont="1" applyAlignment="1">
      <alignment horizontal="center"/>
    </xf>
    <xf numFmtId="0" fontId="140" fillId="0" borderId="61" xfId="17" applyFont="1" applyBorder="1"/>
    <xf numFmtId="0" fontId="140" fillId="0" borderId="0" xfId="17" applyFont="1" applyAlignment="1">
      <alignment horizontal="right"/>
    </xf>
    <xf numFmtId="182" fontId="140" fillId="0" borderId="0" xfId="17" applyNumberFormat="1" applyFont="1" applyAlignment="1">
      <alignment horizontal="center"/>
    </xf>
    <xf numFmtId="0" fontId="140" fillId="0" borderId="0" xfId="17" applyFont="1" applyAlignment="1">
      <alignment horizontal="center"/>
    </xf>
    <xf numFmtId="0" fontId="140" fillId="0" borderId="0" xfId="17" applyFont="1" applyAlignment="1">
      <alignment vertical="center"/>
    </xf>
    <xf numFmtId="0" fontId="131" fillId="0" borderId="62" xfId="17" applyFont="1" applyBorder="1"/>
    <xf numFmtId="0" fontId="15" fillId="0" borderId="0" xfId="17" applyFont="1" applyAlignment="1">
      <alignment vertical="center"/>
    </xf>
    <xf numFmtId="0" fontId="16" fillId="0" borderId="62" xfId="17" applyFont="1" applyBorder="1"/>
    <xf numFmtId="0" fontId="132" fillId="0" borderId="62" xfId="17" applyFont="1" applyBorder="1"/>
    <xf numFmtId="0" fontId="132" fillId="0" borderId="0" xfId="17" applyFont="1"/>
    <xf numFmtId="0" fontId="132" fillId="0" borderId="0" xfId="17" applyFont="1" applyAlignment="1">
      <alignment horizontal="center"/>
    </xf>
    <xf numFmtId="0" fontId="17" fillId="0" borderId="62" xfId="17" applyFont="1" applyBorder="1"/>
    <xf numFmtId="0" fontId="16" fillId="0" borderId="0" xfId="17" applyFont="1" applyAlignment="1">
      <alignment horizontal="center"/>
    </xf>
    <xf numFmtId="0" fontId="15" fillId="0" borderId="0" xfId="17" applyFont="1" applyAlignment="1">
      <alignment horizontal="right"/>
    </xf>
    <xf numFmtId="2" fontId="15" fillId="0" borderId="0" xfId="17" applyNumberFormat="1" applyFont="1"/>
    <xf numFmtId="0" fontId="139" fillId="0" borderId="62" xfId="17" applyFont="1" applyBorder="1"/>
    <xf numFmtId="0" fontId="139" fillId="0" borderId="0" xfId="17" applyFont="1"/>
    <xf numFmtId="0" fontId="139" fillId="0" borderId="0" xfId="17" applyFont="1" applyAlignment="1">
      <alignment horizontal="center"/>
    </xf>
    <xf numFmtId="0" fontId="139" fillId="0" borderId="0" xfId="17" applyFont="1" applyAlignment="1">
      <alignment horizontal="right"/>
    </xf>
    <xf numFmtId="0" fontId="136" fillId="0" borderId="0" xfId="17" applyFont="1"/>
    <xf numFmtId="0" fontId="139" fillId="0" borderId="61" xfId="17" applyFont="1" applyBorder="1"/>
    <xf numFmtId="2" fontId="139" fillId="0" borderId="0" xfId="17" applyNumberFormat="1" applyFont="1"/>
    <xf numFmtId="0" fontId="139" fillId="0" borderId="0" xfId="17" applyFont="1" applyAlignment="1">
      <alignment vertical="center"/>
    </xf>
    <xf numFmtId="0" fontId="8" fillId="0" borderId="62" xfId="17" applyFont="1" applyBorder="1"/>
    <xf numFmtId="0" fontId="8" fillId="0" borderId="0" xfId="17" applyFont="1"/>
    <xf numFmtId="0" fontId="8" fillId="0" borderId="0" xfId="17" applyFont="1" applyAlignment="1">
      <alignment horizontal="center"/>
    </xf>
    <xf numFmtId="2" fontId="8" fillId="0" borderId="0" xfId="17" applyNumberFormat="1" applyFont="1"/>
    <xf numFmtId="0" fontId="8" fillId="0" borderId="0" xfId="17" applyFont="1" applyAlignment="1">
      <alignment horizontal="right"/>
    </xf>
    <xf numFmtId="0" fontId="9" fillId="0" borderId="0" xfId="17" applyFont="1"/>
    <xf numFmtId="0" fontId="8" fillId="0" borderId="61" xfId="17" applyFont="1" applyBorder="1"/>
    <xf numFmtId="0" fontId="15" fillId="0" borderId="59" xfId="17" applyFont="1" applyBorder="1"/>
    <xf numFmtId="0" fontId="15" fillId="0" borderId="40" xfId="17" applyFont="1" applyBorder="1"/>
    <xf numFmtId="0" fontId="15" fillId="0" borderId="40" xfId="17" applyFont="1" applyBorder="1" applyAlignment="1">
      <alignment horizontal="center"/>
    </xf>
    <xf numFmtId="2" fontId="15" fillId="0" borderId="40" xfId="17" applyNumberFormat="1" applyFont="1" applyBorder="1"/>
    <xf numFmtId="0" fontId="15" fillId="0" borderId="40" xfId="17" applyFont="1" applyBorder="1" applyAlignment="1">
      <alignment horizontal="right"/>
    </xf>
    <xf numFmtId="0" fontId="16" fillId="0" borderId="40" xfId="17" applyFont="1" applyBorder="1"/>
    <xf numFmtId="0" fontId="15" fillId="0" borderId="40" xfId="17" applyFont="1" applyBorder="1" applyAlignment="1">
      <alignment vertical="center"/>
    </xf>
    <xf numFmtId="0" fontId="15" fillId="0" borderId="60" xfId="17" applyFont="1" applyBorder="1"/>
    <xf numFmtId="2" fontId="15" fillId="0" borderId="0" xfId="17" applyNumberFormat="1" applyFont="1" applyAlignment="1">
      <alignment horizontal="right"/>
    </xf>
    <xf numFmtId="0" fontId="16" fillId="0" borderId="0" xfId="17" applyFont="1" applyAlignment="1">
      <alignment vertical="center"/>
    </xf>
    <xf numFmtId="0" fontId="15" fillId="0" borderId="0" xfId="17" applyFont="1" applyAlignment="1">
      <alignment horizontal="center" vertical="center"/>
    </xf>
    <xf numFmtId="0" fontId="52" fillId="0" borderId="0" xfId="9" applyFont="1" applyAlignment="1">
      <alignment horizontal="center" vertical="center"/>
    </xf>
    <xf numFmtId="0" fontId="60" fillId="0" borderId="0" xfId="9" applyFont="1" applyAlignment="1">
      <alignment horizontal="center" vertical="center"/>
    </xf>
    <xf numFmtId="0" fontId="81" fillId="0" borderId="0" xfId="9" applyFont="1" applyAlignment="1">
      <alignment horizontal="center" vertical="center"/>
    </xf>
    <xf numFmtId="2" fontId="52" fillId="0" borderId="0" xfId="9" applyNumberFormat="1" applyFont="1" applyAlignment="1">
      <alignment horizontal="center" vertical="center"/>
    </xf>
    <xf numFmtId="0" fontId="81" fillId="0" borderId="62" xfId="9" applyFont="1" applyBorder="1" applyAlignment="1">
      <alignment horizontal="center" vertical="center"/>
    </xf>
    <xf numFmtId="0" fontId="143" fillId="0" borderId="0" xfId="9" applyFont="1" applyAlignment="1">
      <alignment horizontal="center" vertical="center"/>
    </xf>
    <xf numFmtId="0" fontId="81" fillId="0" borderId="61" xfId="9" applyFont="1" applyBorder="1" applyAlignment="1">
      <alignment horizontal="center" vertical="center"/>
    </xf>
    <xf numFmtId="0" fontId="79" fillId="26" borderId="42" xfId="9" applyFont="1" applyFill="1" applyBorder="1" applyAlignment="1" applyProtection="1">
      <alignment horizontal="center" vertical="center"/>
      <protection locked="0"/>
    </xf>
    <xf numFmtId="2" fontId="81" fillId="26" borderId="91" xfId="9" applyNumberFormat="1" applyFont="1" applyFill="1" applyBorder="1" applyAlignment="1" applyProtection="1">
      <alignment horizontal="center" vertical="center"/>
      <protection locked="0"/>
    </xf>
    <xf numFmtId="2" fontId="52" fillId="0" borderId="9" xfId="9" applyNumberFormat="1" applyFont="1" applyBorder="1" applyAlignment="1">
      <alignment horizontal="center" vertical="center"/>
    </xf>
    <xf numFmtId="2" fontId="52" fillId="0" borderId="10" xfId="9" applyNumberFormat="1" applyFont="1" applyBorder="1" applyAlignment="1">
      <alignment horizontal="center" vertical="center"/>
    </xf>
    <xf numFmtId="0" fontId="52" fillId="0" borderId="10" xfId="9" applyFont="1" applyBorder="1" applyAlignment="1">
      <alignment horizontal="center" vertical="center"/>
    </xf>
    <xf numFmtId="2" fontId="52" fillId="0" borderId="12" xfId="9" applyNumberFormat="1" applyFont="1" applyBorder="1" applyAlignment="1">
      <alignment horizontal="center" vertical="center"/>
    </xf>
    <xf numFmtId="0" fontId="79" fillId="0" borderId="0" xfId="9" applyFont="1" applyAlignment="1">
      <alignment horizontal="center" vertical="center"/>
    </xf>
    <xf numFmtId="2" fontId="81" fillId="0" borderId="0" xfId="9" applyNumberFormat="1" applyFont="1" applyAlignment="1">
      <alignment horizontal="center" vertical="center"/>
    </xf>
    <xf numFmtId="2" fontId="52" fillId="0" borderId="17" xfId="9" applyNumberFormat="1" applyFont="1" applyBorder="1" applyAlignment="1">
      <alignment horizontal="center" vertical="center"/>
    </xf>
    <xf numFmtId="2" fontId="52" fillId="0" borderId="8" xfId="9" applyNumberFormat="1" applyFont="1" applyBorder="1" applyAlignment="1">
      <alignment horizontal="center" vertical="center"/>
    </xf>
    <xf numFmtId="0" fontId="52" fillId="0" borderId="17" xfId="9" applyFont="1" applyBorder="1" applyAlignment="1">
      <alignment horizontal="center" vertical="center"/>
    </xf>
    <xf numFmtId="0" fontId="81" fillId="32" borderId="0" xfId="9" applyFont="1" applyFill="1" applyAlignment="1">
      <alignment horizontal="center" vertical="center"/>
    </xf>
    <xf numFmtId="2" fontId="144" fillId="0" borderId="0" xfId="9" applyNumberFormat="1" applyFont="1" applyAlignment="1">
      <alignment horizontal="center" vertical="center"/>
    </xf>
    <xf numFmtId="2" fontId="143" fillId="26" borderId="91" xfId="9" applyNumberFormat="1" applyFont="1" applyFill="1" applyBorder="1" applyAlignment="1" applyProtection="1">
      <alignment horizontal="center" vertical="center"/>
      <protection locked="0"/>
    </xf>
    <xf numFmtId="9" fontId="52" fillId="0" borderId="17" xfId="9" applyNumberFormat="1" applyFont="1" applyBorder="1" applyAlignment="1">
      <alignment horizontal="center" vertical="center"/>
    </xf>
    <xf numFmtId="1" fontId="52" fillId="0" borderId="17" xfId="9" applyNumberFormat="1" applyFont="1" applyBorder="1" applyAlignment="1">
      <alignment horizontal="center" vertical="center"/>
    </xf>
    <xf numFmtId="9" fontId="52" fillId="0" borderId="16" xfId="9" applyNumberFormat="1" applyFont="1" applyBorder="1" applyAlignment="1">
      <alignment horizontal="center" vertical="center"/>
    </xf>
    <xf numFmtId="0" fontId="52" fillId="0" borderId="11" xfId="9" applyFont="1" applyBorder="1" applyAlignment="1">
      <alignment horizontal="center" vertical="center"/>
    </xf>
    <xf numFmtId="2" fontId="52" fillId="0" borderId="11" xfId="9" applyNumberFormat="1" applyFont="1" applyBorder="1" applyAlignment="1">
      <alignment horizontal="center" vertical="center"/>
    </xf>
    <xf numFmtId="2" fontId="52" fillId="0" borderId="13" xfId="9" applyNumberFormat="1" applyFont="1" applyBorder="1" applyAlignment="1">
      <alignment horizontal="center" vertical="center"/>
    </xf>
    <xf numFmtId="0" fontId="144" fillId="0" borderId="0" xfId="9" applyFont="1" applyAlignment="1">
      <alignment horizontal="center" vertical="center"/>
    </xf>
    <xf numFmtId="0" fontId="79" fillId="26" borderId="91" xfId="9" applyFont="1" applyFill="1" applyBorder="1" applyAlignment="1" applyProtection="1">
      <alignment horizontal="center" vertical="center"/>
      <protection locked="0"/>
    </xf>
    <xf numFmtId="2" fontId="144" fillId="26" borderId="91" xfId="9" applyNumberFormat="1" applyFont="1" applyFill="1" applyBorder="1" applyAlignment="1" applyProtection="1">
      <alignment horizontal="center" vertical="center"/>
      <protection locked="0"/>
    </xf>
    <xf numFmtId="2" fontId="143" fillId="23" borderId="0" xfId="9" applyNumberFormat="1" applyFont="1" applyFill="1" applyAlignment="1">
      <alignment horizontal="center" vertical="center"/>
    </xf>
    <xf numFmtId="0" fontId="81" fillId="0" borderId="59" xfId="9" applyFont="1" applyBorder="1" applyAlignment="1">
      <alignment horizontal="center" vertical="center"/>
    </xf>
    <xf numFmtId="0" fontId="81" fillId="0" borderId="40" xfId="9" applyFont="1" applyBorder="1" applyAlignment="1">
      <alignment horizontal="center" vertical="center"/>
    </xf>
    <xf numFmtId="0" fontId="81" fillId="0" borderId="60" xfId="9" applyFont="1" applyBorder="1" applyAlignment="1">
      <alignment horizontal="center" vertical="center"/>
    </xf>
    <xf numFmtId="0" fontId="145" fillId="0" borderId="0" xfId="9" applyFont="1" applyAlignment="1">
      <alignment vertical="center"/>
    </xf>
    <xf numFmtId="0" fontId="60" fillId="0" borderId="0" xfId="9" applyFont="1" applyAlignment="1">
      <alignment horizontal="center"/>
    </xf>
    <xf numFmtId="0" fontId="83" fillId="0" borderId="0" xfId="9" applyFont="1" applyAlignment="1">
      <alignment horizontal="center" vertical="center"/>
    </xf>
    <xf numFmtId="9" fontId="55" fillId="0" borderId="95" xfId="25" applyFont="1" applyBorder="1" applyAlignment="1">
      <alignment horizontal="center" vertical="center"/>
    </xf>
    <xf numFmtId="9" fontId="55" fillId="0" borderId="53" xfId="25" applyFont="1" applyBorder="1" applyAlignment="1">
      <alignment horizontal="center" vertical="center"/>
    </xf>
    <xf numFmtId="0" fontId="55" fillId="0" borderId="14" xfId="9" applyFont="1" applyBorder="1" applyAlignment="1">
      <alignment horizontal="center" vertical="center"/>
    </xf>
    <xf numFmtId="0" fontId="147" fillId="0" borderId="14" xfId="9" applyFont="1" applyBorder="1" applyAlignment="1">
      <alignment horizontal="center" vertical="center"/>
    </xf>
    <xf numFmtId="0" fontId="85" fillId="0" borderId="18" xfId="9" applyFont="1" applyBorder="1" applyAlignment="1">
      <alignment horizontal="center" vertical="center"/>
    </xf>
    <xf numFmtId="0" fontId="56" fillId="0" borderId="14" xfId="9" applyFont="1" applyBorder="1" applyAlignment="1">
      <alignment horizontal="center" vertical="center"/>
    </xf>
    <xf numFmtId="0" fontId="56" fillId="0" borderId="14" xfId="9" applyFont="1" applyBorder="1" applyAlignment="1">
      <alignment horizontal="center" vertical="center" wrapText="1"/>
    </xf>
    <xf numFmtId="0" fontId="86" fillId="0" borderId="14" xfId="9" applyFont="1" applyBorder="1" applyAlignment="1">
      <alignment horizontal="center" vertical="center"/>
    </xf>
    <xf numFmtId="0" fontId="81" fillId="0" borderId="14" xfId="9" applyFont="1" applyBorder="1" applyAlignment="1">
      <alignment horizontal="center" vertical="center"/>
    </xf>
    <xf numFmtId="0" fontId="55" fillId="0" borderId="48" xfId="9" applyFont="1" applyBorder="1" applyAlignment="1">
      <alignment horizontal="center" vertical="center"/>
    </xf>
    <xf numFmtId="3" fontId="64" fillId="0" borderId="14" xfId="9" applyNumberFormat="1" applyFont="1" applyBorder="1" applyAlignment="1">
      <alignment horizontal="center" vertical="center"/>
    </xf>
    <xf numFmtId="3" fontId="79" fillId="26" borderId="14" xfId="9" applyNumberFormat="1" applyFont="1" applyFill="1" applyBorder="1" applyAlignment="1" applyProtection="1">
      <alignment horizontal="center" vertical="center"/>
      <protection locked="0"/>
    </xf>
    <xf numFmtId="3" fontId="71" fillId="0" borderId="14" xfId="9" applyNumberFormat="1" applyFont="1" applyBorder="1" applyAlignment="1">
      <alignment horizontal="center" vertical="center"/>
    </xf>
    <xf numFmtId="3" fontId="83" fillId="0" borderId="14" xfId="9" applyNumberFormat="1" applyFont="1" applyBorder="1" applyAlignment="1">
      <alignment horizontal="center" vertical="center"/>
    </xf>
    <xf numFmtId="3" fontId="64" fillId="0" borderId="36" xfId="9" applyNumberFormat="1" applyFont="1" applyBorder="1" applyAlignment="1">
      <alignment horizontal="center" vertical="center"/>
    </xf>
    <xf numFmtId="3" fontId="79" fillId="26" borderId="36" xfId="9" applyNumberFormat="1" applyFont="1" applyFill="1" applyBorder="1" applyAlignment="1" applyProtection="1">
      <alignment horizontal="center" vertical="center"/>
      <protection locked="0"/>
    </xf>
    <xf numFmtId="0" fontId="57" fillId="0" borderId="0" xfId="9" applyFont="1" applyAlignment="1">
      <alignment horizontal="center" vertical="center"/>
    </xf>
    <xf numFmtId="0" fontId="71" fillId="0" borderId="0" xfId="9" applyFont="1" applyAlignment="1">
      <alignment horizontal="center"/>
    </xf>
    <xf numFmtId="0" fontId="52" fillId="0" borderId="0" xfId="9" applyFont="1" applyAlignment="1">
      <alignment horizontal="center"/>
    </xf>
    <xf numFmtId="3" fontId="52" fillId="0" borderId="0" xfId="9" applyNumberFormat="1" applyFont="1" applyAlignment="1">
      <alignment horizontal="center"/>
    </xf>
    <xf numFmtId="0" fontId="71" fillId="0" borderId="0" xfId="9" applyFont="1" applyAlignment="1">
      <alignment horizontal="center" vertical="center"/>
    </xf>
    <xf numFmtId="0" fontId="73" fillId="0" borderId="0" xfId="9" applyFont="1" applyAlignment="1">
      <alignment horizontal="center"/>
    </xf>
    <xf numFmtId="3" fontId="83" fillId="26" borderId="14" xfId="9" applyNumberFormat="1" applyFont="1" applyFill="1" applyBorder="1" applyAlignment="1" applyProtection="1">
      <alignment horizontal="center" vertical="center"/>
      <protection locked="0"/>
    </xf>
    <xf numFmtId="3" fontId="83" fillId="33" borderId="14" xfId="9" applyNumberFormat="1" applyFont="1" applyFill="1" applyBorder="1" applyAlignment="1" applyProtection="1">
      <alignment horizontal="center" vertical="center"/>
      <protection locked="0"/>
    </xf>
    <xf numFmtId="3" fontId="85" fillId="0" borderId="14" xfId="9" applyNumberFormat="1" applyFont="1" applyBorder="1" applyAlignment="1">
      <alignment horizontal="center" vertical="center"/>
    </xf>
    <xf numFmtId="0" fontId="55" fillId="0" borderId="95" xfId="9" applyFont="1" applyBorder="1" applyAlignment="1">
      <alignment horizontal="center" vertical="center"/>
    </xf>
    <xf numFmtId="3" fontId="83" fillId="26" borderId="36" xfId="9" applyNumberFormat="1" applyFont="1" applyFill="1" applyBorder="1" applyAlignment="1" applyProtection="1">
      <alignment horizontal="center" vertical="center"/>
      <protection locked="0"/>
    </xf>
    <xf numFmtId="3" fontId="83" fillId="33" borderId="36" xfId="9" applyNumberFormat="1" applyFont="1" applyFill="1" applyBorder="1" applyAlignment="1" applyProtection="1">
      <alignment horizontal="center" vertical="center"/>
      <protection locked="0"/>
    </xf>
    <xf numFmtId="3" fontId="85" fillId="0" borderId="36" xfId="9" applyNumberFormat="1" applyFont="1" applyBorder="1" applyAlignment="1">
      <alignment horizontal="center" vertical="center"/>
    </xf>
    <xf numFmtId="3" fontId="71" fillId="0" borderId="36" xfId="9" applyNumberFormat="1" applyFont="1" applyBorder="1" applyAlignment="1">
      <alignment horizontal="center" vertical="center"/>
    </xf>
    <xf numFmtId="3" fontId="83" fillId="0" borderId="36" xfId="9" applyNumberFormat="1" applyFont="1" applyBorder="1" applyAlignment="1">
      <alignment horizontal="center" vertical="center"/>
    </xf>
    <xf numFmtId="3" fontId="83" fillId="0" borderId="70" xfId="9" applyNumberFormat="1" applyFont="1" applyBorder="1" applyAlignment="1">
      <alignment horizontal="center" vertical="center"/>
    </xf>
    <xf numFmtId="3" fontId="64" fillId="0" borderId="41" xfId="9" applyNumberFormat="1" applyFont="1" applyBorder="1" applyAlignment="1">
      <alignment horizontal="center" vertical="center"/>
    </xf>
    <xf numFmtId="3" fontId="64" fillId="0" borderId="70" xfId="9" applyNumberFormat="1" applyFont="1" applyBorder="1" applyAlignment="1">
      <alignment horizontal="center" vertical="center"/>
    </xf>
    <xf numFmtId="0" fontId="64" fillId="0" borderId="69" xfId="9" applyFont="1" applyBorder="1" applyAlignment="1">
      <alignment horizontal="center" vertical="center"/>
    </xf>
    <xf numFmtId="3" fontId="83" fillId="0" borderId="69" xfId="9" applyNumberFormat="1" applyFont="1" applyBorder="1" applyAlignment="1">
      <alignment horizontal="center" vertical="center"/>
    </xf>
    <xf numFmtId="3" fontId="85" fillId="0" borderId="70" xfId="9" applyNumberFormat="1" applyFont="1" applyBorder="1" applyAlignment="1">
      <alignment horizontal="center" vertical="center"/>
    </xf>
    <xf numFmtId="3" fontId="84" fillId="0" borderId="70" xfId="9" applyNumberFormat="1" applyFont="1" applyBorder="1" applyAlignment="1">
      <alignment horizontal="center" vertical="center"/>
    </xf>
    <xf numFmtId="19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0" fillId="23" borderId="0" xfId="0" applyFont="1" applyFill="1" applyAlignment="1">
      <alignment vertical="center"/>
    </xf>
    <xf numFmtId="0" fontId="79" fillId="23" borderId="0" xfId="0" applyFont="1" applyFill="1" applyAlignment="1">
      <alignment vertical="center"/>
    </xf>
    <xf numFmtId="0" fontId="71" fillId="23" borderId="0" xfId="0" applyFont="1" applyFill="1" applyAlignment="1">
      <alignment vertical="center"/>
    </xf>
    <xf numFmtId="185" fontId="64" fillId="0" borderId="20" xfId="0" applyNumberFormat="1" applyFont="1" applyBorder="1" applyAlignment="1">
      <alignment horizontal="center" vertical="center"/>
    </xf>
    <xf numFmtId="3" fontId="82" fillId="0" borderId="83" xfId="0" applyNumberFormat="1" applyFont="1" applyBorder="1" applyAlignment="1">
      <alignment horizontal="center" vertical="center"/>
    </xf>
    <xf numFmtId="3" fontId="82" fillId="0" borderId="92" xfId="0" applyNumberFormat="1" applyFont="1" applyBorder="1" applyAlignment="1">
      <alignment horizontal="center" vertical="center"/>
    </xf>
    <xf numFmtId="185" fontId="64" fillId="0" borderId="12" xfId="0" applyNumberFormat="1" applyFont="1" applyBorder="1" applyAlignment="1">
      <alignment horizontal="center" vertical="center"/>
    </xf>
    <xf numFmtId="3" fontId="82" fillId="0" borderId="102" xfId="0" applyNumberFormat="1" applyFont="1" applyBorder="1" applyAlignment="1">
      <alignment horizontal="center" vertical="center"/>
    </xf>
    <xf numFmtId="0" fontId="0" fillId="0" borderId="73" xfId="0" applyBorder="1"/>
    <xf numFmtId="184" fontId="85" fillId="23" borderId="73" xfId="0" applyNumberFormat="1" applyFont="1" applyFill="1" applyBorder="1" applyAlignment="1">
      <alignment vertical="center"/>
    </xf>
    <xf numFmtId="184" fontId="87" fillId="23" borderId="71" xfId="0" applyNumberFormat="1" applyFont="1" applyFill="1" applyBorder="1" applyAlignment="1">
      <alignment vertical="center"/>
    </xf>
    <xf numFmtId="10" fontId="111" fillId="23" borderId="73" xfId="0" applyNumberFormat="1" applyFont="1" applyFill="1" applyBorder="1" applyAlignment="1">
      <alignment vertical="center"/>
    </xf>
    <xf numFmtId="184" fontId="110" fillId="23" borderId="73" xfId="0" applyNumberFormat="1" applyFont="1" applyFill="1" applyBorder="1" applyAlignment="1">
      <alignment vertical="center"/>
    </xf>
    <xf numFmtId="184" fontId="110" fillId="23" borderId="71" xfId="0" applyNumberFormat="1" applyFont="1" applyFill="1" applyBorder="1" applyAlignment="1">
      <alignment vertical="center"/>
    </xf>
    <xf numFmtId="0" fontId="60" fillId="23" borderId="61" xfId="0" applyFont="1" applyFill="1" applyBorder="1" applyAlignment="1">
      <alignment vertical="center"/>
    </xf>
    <xf numFmtId="0" fontId="59" fillId="0" borderId="0" xfId="0" applyFont="1" applyAlignment="1">
      <alignment horizontal="center" vertical="center"/>
    </xf>
    <xf numFmtId="0" fontId="89" fillId="0" borderId="40" xfId="0" applyFont="1" applyBorder="1" applyAlignment="1">
      <alignment vertical="center"/>
    </xf>
    <xf numFmtId="0" fontId="117" fillId="0" borderId="0" xfId="0" applyFont="1" applyAlignment="1">
      <alignment horizontal="center" vertical="center"/>
    </xf>
    <xf numFmtId="3" fontId="60" fillId="23" borderId="0" xfId="0" applyNumberFormat="1" applyFont="1" applyFill="1" applyAlignment="1">
      <alignment vertical="center"/>
    </xf>
    <xf numFmtId="3" fontId="0" fillId="0" borderId="0" xfId="0" applyNumberFormat="1"/>
    <xf numFmtId="3" fontId="57" fillId="23" borderId="38" xfId="0" applyNumberFormat="1" applyFont="1" applyFill="1" applyBorder="1" applyAlignment="1">
      <alignment horizontal="center" vertical="center"/>
    </xf>
    <xf numFmtId="0" fontId="64" fillId="23" borderId="46" xfId="0" applyFont="1" applyFill="1" applyBorder="1" applyAlignment="1">
      <alignment horizontal="center" vertical="center" wrapText="1"/>
    </xf>
    <xf numFmtId="185" fontId="64" fillId="0" borderId="13" xfId="0" applyNumberFormat="1" applyFont="1" applyBorder="1" applyAlignment="1">
      <alignment horizontal="center" vertical="center"/>
    </xf>
    <xf numFmtId="3" fontId="82" fillId="0" borderId="92" xfId="0" applyNumberFormat="1" applyFont="1" applyBorder="1" applyAlignment="1">
      <alignment horizontal="center"/>
    </xf>
    <xf numFmtId="2" fontId="41" fillId="26" borderId="96" xfId="0" applyNumberFormat="1" applyFont="1" applyFill="1" applyBorder="1" applyAlignment="1">
      <alignment horizontal="center" vertical="center"/>
    </xf>
    <xf numFmtId="3" fontId="76" fillId="26" borderId="94" xfId="0" applyNumberFormat="1" applyFont="1" applyFill="1" applyBorder="1" applyAlignment="1">
      <alignment horizontal="center" vertical="center" wrapText="1"/>
    </xf>
    <xf numFmtId="0" fontId="81" fillId="23" borderId="106" xfId="0" applyFont="1" applyFill="1" applyBorder="1" applyAlignment="1">
      <alignment horizontal="center" vertical="center" wrapText="1"/>
    </xf>
    <xf numFmtId="0" fontId="81" fillId="23" borderId="60" xfId="0" applyFont="1" applyFill="1" applyBorder="1" applyAlignment="1">
      <alignment horizontal="center" vertical="center" wrapText="1"/>
    </xf>
    <xf numFmtId="0" fontId="53" fillId="23" borderId="38" xfId="0" applyFont="1" applyFill="1" applyBorder="1" applyAlignment="1">
      <alignment horizontal="center" vertical="center" wrapText="1"/>
    </xf>
    <xf numFmtId="0" fontId="78" fillId="23" borderId="53" xfId="0" applyFont="1" applyFill="1" applyBorder="1" applyAlignment="1">
      <alignment horizontal="center" vertical="center"/>
    </xf>
    <xf numFmtId="0" fontId="78" fillId="23" borderId="48" xfId="0" applyFont="1" applyFill="1" applyBorder="1" applyAlignment="1">
      <alignment horizontal="center" vertical="center"/>
    </xf>
    <xf numFmtId="0" fontId="153" fillId="0" borderId="96" xfId="0" applyFont="1" applyBorder="1" applyAlignment="1">
      <alignment horizontal="center" vertical="center"/>
    </xf>
    <xf numFmtId="0" fontId="153" fillId="0" borderId="49" xfId="0" applyFont="1" applyBorder="1" applyAlignment="1">
      <alignment horizontal="center" vertical="center"/>
    </xf>
    <xf numFmtId="0" fontId="153" fillId="0" borderId="50" xfId="0" applyFont="1" applyBorder="1" applyAlignment="1">
      <alignment horizontal="center" vertical="center"/>
    </xf>
    <xf numFmtId="0" fontId="153" fillId="23" borderId="84" xfId="0" applyFont="1" applyFill="1" applyBorder="1" applyAlignment="1">
      <alignment horizontal="center" vertical="center"/>
    </xf>
    <xf numFmtId="3" fontId="153" fillId="26" borderId="21" xfId="0" applyNumberFormat="1" applyFont="1" applyFill="1" applyBorder="1" applyAlignment="1" applyProtection="1">
      <alignment horizontal="center" vertical="center"/>
      <protection locked="0"/>
    </xf>
    <xf numFmtId="3" fontId="153" fillId="26" borderId="14" xfId="0" applyNumberFormat="1" applyFont="1" applyFill="1" applyBorder="1" applyAlignment="1" applyProtection="1">
      <alignment horizontal="center" vertical="center"/>
      <protection locked="0"/>
    </xf>
    <xf numFmtId="0" fontId="78" fillId="23" borderId="95" xfId="0" applyFont="1" applyFill="1" applyBorder="1" applyAlignment="1">
      <alignment horizontal="center" vertical="center"/>
    </xf>
    <xf numFmtId="3" fontId="153" fillId="26" borderId="36" xfId="0" applyNumberFormat="1" applyFont="1" applyFill="1" applyBorder="1" applyAlignment="1" applyProtection="1">
      <alignment horizontal="center" vertical="center"/>
      <protection locked="0"/>
    </xf>
    <xf numFmtId="0" fontId="64" fillId="23" borderId="67" xfId="0" applyFont="1" applyFill="1" applyBorder="1" applyAlignment="1">
      <alignment horizontal="center" vertical="center" wrapText="1"/>
    </xf>
    <xf numFmtId="9" fontId="64" fillId="23" borderId="67" xfId="0" applyNumberFormat="1" applyFont="1" applyFill="1" applyBorder="1" applyAlignment="1">
      <alignment horizontal="center" vertical="center" wrapText="1"/>
    </xf>
    <xf numFmtId="3" fontId="86" fillId="23" borderId="21" xfId="0" applyNumberFormat="1" applyFont="1" applyFill="1" applyBorder="1" applyAlignment="1">
      <alignment horizontal="center" vertical="center"/>
    </xf>
    <xf numFmtId="3" fontId="86" fillId="23" borderId="14" xfId="0" applyNumberFormat="1" applyFont="1" applyFill="1" applyBorder="1" applyAlignment="1">
      <alignment horizontal="center" vertical="center"/>
    </xf>
    <xf numFmtId="3" fontId="86" fillId="23" borderId="36" xfId="0" applyNumberFormat="1" applyFont="1" applyFill="1" applyBorder="1" applyAlignment="1">
      <alignment horizontal="center" vertical="center"/>
    </xf>
    <xf numFmtId="0" fontId="134" fillId="23" borderId="42" xfId="0" applyFont="1" applyFill="1" applyBorder="1" applyAlignment="1">
      <alignment horizontal="center" vertical="center"/>
    </xf>
    <xf numFmtId="0" fontId="141" fillId="0" borderId="73" xfId="0" applyFont="1" applyBorder="1" applyAlignment="1">
      <alignment horizontal="center" vertical="center"/>
    </xf>
    <xf numFmtId="185" fontId="157" fillId="0" borderId="53" xfId="0" applyNumberFormat="1" applyFont="1" applyBorder="1" applyAlignment="1">
      <alignment horizontal="center" vertical="center"/>
    </xf>
    <xf numFmtId="3" fontId="159" fillId="0" borderId="16" xfId="0" applyNumberFormat="1" applyFont="1" applyBorder="1" applyAlignment="1">
      <alignment horizontal="center" vertical="center"/>
    </xf>
    <xf numFmtId="185" fontId="157" fillId="0" borderId="113" xfId="0" applyNumberFormat="1" applyFont="1" applyBorder="1" applyAlignment="1">
      <alignment horizontal="center" vertical="center"/>
    </xf>
    <xf numFmtId="3" fontId="159" fillId="0" borderId="93" xfId="0" applyNumberFormat="1" applyFont="1" applyBorder="1" applyAlignment="1">
      <alignment horizontal="center" vertical="center"/>
    </xf>
    <xf numFmtId="185" fontId="157" fillId="0" borderId="48" xfId="0" applyNumberFormat="1" applyFont="1" applyBorder="1" applyAlignment="1">
      <alignment horizontal="center" vertical="center"/>
    </xf>
    <xf numFmtId="185" fontId="157" fillId="0" borderId="76" xfId="0" applyNumberFormat="1" applyFont="1" applyBorder="1" applyAlignment="1">
      <alignment horizontal="center" vertical="center"/>
    </xf>
    <xf numFmtId="3" fontId="159" fillId="0" borderId="83" xfId="0" applyNumberFormat="1" applyFont="1" applyBorder="1" applyAlignment="1">
      <alignment horizontal="center" vertical="center"/>
    </xf>
    <xf numFmtId="3" fontId="159" fillId="0" borderId="92" xfId="0" applyNumberFormat="1" applyFont="1" applyBorder="1" applyAlignment="1">
      <alignment horizontal="center" vertical="center"/>
    </xf>
    <xf numFmtId="185" fontId="157" fillId="0" borderId="95" xfId="0" applyNumberFormat="1" applyFont="1" applyBorder="1" applyAlignment="1">
      <alignment horizontal="center" vertical="center"/>
    </xf>
    <xf numFmtId="185" fontId="157" fillId="0" borderId="103" xfId="0" applyNumberFormat="1" applyFont="1" applyBorder="1" applyAlignment="1">
      <alignment horizontal="center" vertical="center"/>
    </xf>
    <xf numFmtId="185" fontId="76" fillId="0" borderId="96" xfId="0" applyNumberFormat="1" applyFont="1" applyBorder="1" applyAlignment="1">
      <alignment horizontal="center" vertical="center" shrinkToFit="1"/>
    </xf>
    <xf numFmtId="185" fontId="110" fillId="0" borderId="54" xfId="0" applyNumberFormat="1" applyFont="1" applyBorder="1" applyAlignment="1">
      <alignment horizontal="center" vertical="center" shrinkToFit="1"/>
    </xf>
    <xf numFmtId="185" fontId="76" fillId="26" borderId="87" xfId="0" applyNumberFormat="1" applyFont="1" applyFill="1" applyBorder="1" applyAlignment="1">
      <alignment horizontal="center" vertical="center" shrinkToFit="1"/>
    </xf>
    <xf numFmtId="185" fontId="110" fillId="0" borderId="51" xfId="0" applyNumberFormat="1" applyFont="1" applyBorder="1" applyAlignment="1">
      <alignment horizontal="center" vertical="center" shrinkToFit="1"/>
    </xf>
    <xf numFmtId="185" fontId="110" fillId="0" borderId="64" xfId="0" applyNumberFormat="1" applyFont="1" applyBorder="1" applyAlignment="1">
      <alignment horizontal="center" vertical="center" shrinkToFit="1"/>
    </xf>
    <xf numFmtId="185" fontId="160" fillId="23" borderId="91" xfId="0" applyNumberFormat="1" applyFont="1" applyFill="1" applyBorder="1" applyAlignment="1">
      <alignment horizontal="center" vertical="center" shrinkToFit="1"/>
    </xf>
    <xf numFmtId="185" fontId="161" fillId="23" borderId="91" xfId="0" applyNumberFormat="1" applyFont="1" applyFill="1" applyBorder="1" applyAlignment="1">
      <alignment horizontal="center" vertical="center" shrinkToFit="1"/>
    </xf>
    <xf numFmtId="185" fontId="162" fillId="23" borderId="42" xfId="0" applyNumberFormat="1" applyFont="1" applyFill="1" applyBorder="1" applyAlignment="1">
      <alignment horizontal="center" vertical="center" shrinkToFit="1"/>
    </xf>
    <xf numFmtId="185" fontId="162" fillId="23" borderId="107" xfId="0" applyNumberFormat="1" applyFont="1" applyFill="1" applyBorder="1" applyAlignment="1">
      <alignment horizontal="center" vertical="center" shrinkToFit="1"/>
    </xf>
    <xf numFmtId="0" fontId="150" fillId="23" borderId="21" xfId="0" applyFont="1" applyFill="1" applyBorder="1" applyAlignment="1">
      <alignment horizontal="center" vertical="center"/>
    </xf>
    <xf numFmtId="0" fontId="150" fillId="23" borderId="14" xfId="0" applyFont="1" applyFill="1" applyBorder="1" applyAlignment="1">
      <alignment horizontal="center" vertical="center"/>
    </xf>
    <xf numFmtId="0" fontId="163" fillId="0" borderId="14" xfId="0" applyFont="1" applyBorder="1" applyAlignment="1">
      <alignment horizontal="center" vertical="center"/>
    </xf>
    <xf numFmtId="0" fontId="163" fillId="0" borderId="36" xfId="0" applyFont="1" applyBorder="1" applyAlignment="1">
      <alignment horizontal="center" vertical="center"/>
    </xf>
    <xf numFmtId="3" fontId="128" fillId="23" borderId="92" xfId="0" applyNumberFormat="1" applyFont="1" applyFill="1" applyBorder="1" applyAlignment="1">
      <alignment horizontal="center" vertical="center"/>
    </xf>
    <xf numFmtId="3" fontId="128" fillId="23" borderId="52" xfId="0" applyNumberFormat="1" applyFont="1" applyFill="1" applyBorder="1" applyAlignment="1">
      <alignment horizontal="center" vertical="center"/>
    </xf>
    <xf numFmtId="3" fontId="128" fillId="23" borderId="83" xfId="0" applyNumberFormat="1" applyFont="1" applyFill="1" applyBorder="1" applyAlignment="1">
      <alignment horizontal="center" vertical="center"/>
    </xf>
    <xf numFmtId="3" fontId="128" fillId="23" borderId="37" xfId="0" applyNumberFormat="1" applyFont="1" applyFill="1" applyBorder="1" applyAlignment="1">
      <alignment horizontal="center" vertical="center"/>
    </xf>
    <xf numFmtId="175" fontId="64" fillId="26" borderId="18" xfId="0" applyNumberFormat="1" applyFont="1" applyFill="1" applyBorder="1" applyAlignment="1">
      <alignment horizontal="center" vertical="center"/>
    </xf>
    <xf numFmtId="175" fontId="64" fillId="26" borderId="20" xfId="0" applyNumberFormat="1" applyFont="1" applyFill="1" applyBorder="1" applyAlignment="1">
      <alignment horizontal="center" vertical="center"/>
    </xf>
    <xf numFmtId="0" fontId="108" fillId="0" borderId="0" xfId="0" applyFont="1" applyAlignment="1">
      <alignment horizontal="center" vertical="center" wrapText="1"/>
    </xf>
    <xf numFmtId="0" fontId="165" fillId="0" borderId="0" xfId="0" applyFont="1"/>
    <xf numFmtId="191" fontId="79" fillId="23" borderId="48" xfId="0" applyNumberFormat="1" applyFont="1" applyFill="1" applyBorder="1" applyAlignment="1">
      <alignment horizontal="center" vertical="center"/>
    </xf>
    <xf numFmtId="175" fontId="79" fillId="23" borderId="52" xfId="0" applyNumberFormat="1" applyFont="1" applyFill="1" applyBorder="1" applyAlignment="1">
      <alignment horizontal="center" vertical="center"/>
    </xf>
    <xf numFmtId="191" fontId="79" fillId="23" borderId="39" xfId="0" applyNumberFormat="1" applyFont="1" applyFill="1" applyBorder="1" applyAlignment="1">
      <alignment horizontal="center" vertical="center"/>
    </xf>
    <xf numFmtId="175" fontId="79" fillId="23" borderId="37" xfId="0" applyNumberFormat="1" applyFont="1" applyFill="1" applyBorder="1" applyAlignment="1">
      <alignment horizontal="center" vertical="center"/>
    </xf>
    <xf numFmtId="191" fontId="79" fillId="23" borderId="53" xfId="0" applyNumberFormat="1" applyFont="1" applyFill="1" applyBorder="1" applyAlignment="1">
      <alignment horizontal="center" vertical="center"/>
    </xf>
    <xf numFmtId="175" fontId="79" fillId="23" borderId="92" xfId="0" applyNumberFormat="1" applyFont="1" applyFill="1" applyBorder="1" applyAlignment="1">
      <alignment horizontal="center" vertical="center"/>
    </xf>
    <xf numFmtId="192" fontId="166" fillId="0" borderId="94" xfId="0" applyNumberFormat="1" applyFont="1" applyBorder="1" applyAlignment="1">
      <alignment horizontal="center" vertical="center"/>
    </xf>
    <xf numFmtId="192" fontId="166" fillId="0" borderId="58" xfId="0" applyNumberFormat="1" applyFont="1" applyBorder="1" applyAlignment="1">
      <alignment horizontal="center" vertical="center"/>
    </xf>
    <xf numFmtId="192" fontId="166" fillId="0" borderId="65" xfId="0" applyNumberFormat="1" applyFont="1" applyBorder="1" applyAlignment="1">
      <alignment horizontal="center" vertical="center"/>
    </xf>
    <xf numFmtId="0" fontId="168" fillId="0" borderId="10" xfId="0" applyFont="1" applyBorder="1" applyAlignment="1">
      <alignment horizontal="center" vertical="center"/>
    </xf>
    <xf numFmtId="0" fontId="168" fillId="0" borderId="10" xfId="0" applyFont="1" applyBorder="1" applyAlignment="1">
      <alignment vertical="center"/>
    </xf>
    <xf numFmtId="0" fontId="168" fillId="0" borderId="65" xfId="0" applyFont="1" applyBorder="1" applyAlignment="1">
      <alignment vertical="center"/>
    </xf>
    <xf numFmtId="0" fontId="168" fillId="0" borderId="40" xfId="0" applyFont="1" applyBorder="1" applyAlignment="1">
      <alignment horizontal="center" vertical="center"/>
    </xf>
    <xf numFmtId="0" fontId="168" fillId="0" borderId="40" xfId="0" applyFont="1" applyBorder="1" applyAlignment="1">
      <alignment vertical="center"/>
    </xf>
    <xf numFmtId="0" fontId="168" fillId="0" borderId="60" xfId="0" applyFont="1" applyBorder="1" applyAlignment="1">
      <alignment vertical="center"/>
    </xf>
    <xf numFmtId="175" fontId="41" fillId="4" borderId="0" xfId="0" applyNumberFormat="1" applyFont="1" applyFill="1" applyAlignment="1" applyProtection="1">
      <alignment vertical="center"/>
      <protection locked="0"/>
    </xf>
    <xf numFmtId="182" fontId="122" fillId="26" borderId="0" xfId="0" applyNumberFormat="1" applyFont="1" applyFill="1" applyAlignment="1" applyProtection="1">
      <alignment vertical="center"/>
      <protection locked="0"/>
    </xf>
    <xf numFmtId="182" fontId="122" fillId="26" borderId="0" xfId="0" applyNumberFormat="1" applyFont="1" applyFill="1" applyAlignment="1">
      <alignment vertical="center"/>
    </xf>
    <xf numFmtId="182" fontId="122" fillId="26" borderId="0" xfId="0" applyNumberFormat="1" applyFont="1" applyFill="1" applyAlignment="1">
      <alignment horizontal="right" vertical="center"/>
    </xf>
    <xf numFmtId="0" fontId="153" fillId="26" borderId="51" xfId="0" applyFont="1" applyFill="1" applyBorder="1" applyAlignment="1">
      <alignment horizontal="center" vertical="center" wrapText="1"/>
    </xf>
    <xf numFmtId="0" fontId="153" fillId="26" borderId="19" xfId="0" applyFont="1" applyFill="1" applyBorder="1" applyAlignment="1">
      <alignment horizontal="center" vertical="center" wrapText="1"/>
    </xf>
    <xf numFmtId="182" fontId="6" fillId="0" borderId="0" xfId="17" applyNumberFormat="1" applyFont="1"/>
    <xf numFmtId="0" fontId="6" fillId="0" borderId="0" xfId="17" applyFont="1"/>
    <xf numFmtId="3" fontId="78" fillId="26" borderId="38" xfId="0" applyNumberFormat="1" applyFont="1" applyFill="1" applyBorder="1" applyAlignment="1" applyProtection="1">
      <alignment horizontal="center" vertical="center"/>
      <protection locked="0"/>
    </xf>
    <xf numFmtId="0" fontId="53" fillId="26" borderId="52" xfId="9" applyFont="1" applyFill="1" applyBorder="1" applyAlignment="1" applyProtection="1">
      <alignment horizontal="center" vertical="center" shrinkToFit="1"/>
      <protection locked="0"/>
    </xf>
    <xf numFmtId="0" fontId="153" fillId="30" borderId="49" xfId="0" applyFont="1" applyFill="1" applyBorder="1" applyAlignment="1">
      <alignment horizontal="center" vertical="center"/>
    </xf>
    <xf numFmtId="185" fontId="76" fillId="30" borderId="96" xfId="0" applyNumberFormat="1" applyFont="1" applyFill="1" applyBorder="1" applyAlignment="1">
      <alignment horizontal="center" vertical="center" shrinkToFit="1"/>
    </xf>
    <xf numFmtId="0" fontId="78" fillId="30" borderId="48" xfId="0" applyFont="1" applyFill="1" applyBorder="1" applyAlignment="1">
      <alignment horizontal="center" vertical="center"/>
    </xf>
    <xf numFmtId="0" fontId="150" fillId="30" borderId="14" xfId="0" applyFont="1" applyFill="1" applyBorder="1" applyAlignment="1">
      <alignment horizontal="center" vertical="center"/>
    </xf>
    <xf numFmtId="175" fontId="79" fillId="0" borderId="18" xfId="0" applyNumberFormat="1" applyFont="1" applyBorder="1" applyAlignment="1">
      <alignment horizontal="center" vertical="center"/>
    </xf>
    <xf numFmtId="175" fontId="79" fillId="30" borderId="18" xfId="0" applyNumberFormat="1" applyFont="1" applyFill="1" applyBorder="1" applyAlignment="1">
      <alignment horizontal="center" vertical="center"/>
    </xf>
    <xf numFmtId="186" fontId="79" fillId="0" borderId="18" xfId="0" applyNumberFormat="1" applyFont="1" applyBorder="1" applyAlignment="1">
      <alignment horizontal="center" vertical="center"/>
    </xf>
    <xf numFmtId="175" fontId="176" fillId="0" borderId="51" xfId="0" applyNumberFormat="1" applyFont="1" applyBorder="1" applyAlignment="1">
      <alignment horizontal="center" vertical="center"/>
    </xf>
    <xf numFmtId="186" fontId="176" fillId="0" borderId="52" xfId="0" applyNumberFormat="1" applyFont="1" applyBorder="1" applyAlignment="1">
      <alignment horizontal="center" vertical="center"/>
    </xf>
    <xf numFmtId="175" fontId="177" fillId="0" borderId="51" xfId="0" applyNumberFormat="1" applyFont="1" applyBorder="1" applyAlignment="1">
      <alignment horizontal="center" vertical="center"/>
    </xf>
    <xf numFmtId="186" fontId="177" fillId="0" borderId="52" xfId="0" applyNumberFormat="1" applyFont="1" applyBorder="1" applyAlignment="1">
      <alignment horizontal="center" vertical="center"/>
    </xf>
    <xf numFmtId="180" fontId="122" fillId="26" borderId="0" xfId="0" applyNumberFormat="1" applyFont="1" applyFill="1" applyAlignment="1" applyProtection="1">
      <alignment vertical="center"/>
      <protection locked="0"/>
    </xf>
    <xf numFmtId="188" fontId="72" fillId="0" borderId="90" xfId="0" applyNumberFormat="1" applyFont="1" applyBorder="1" applyAlignment="1">
      <alignment horizontal="center" vertical="center"/>
    </xf>
    <xf numFmtId="0" fontId="49" fillId="30" borderId="0" xfId="0" applyFont="1" applyFill="1" applyAlignment="1" applyProtection="1">
      <alignment vertical="center"/>
      <protection hidden="1"/>
    </xf>
    <xf numFmtId="168" fontId="113" fillId="26" borderId="0" xfId="0" applyNumberFormat="1" applyFont="1" applyFill="1" applyAlignment="1" applyProtection="1">
      <alignment horizontal="center" vertical="center"/>
      <protection locked="0"/>
    </xf>
    <xf numFmtId="38" fontId="139" fillId="0" borderId="0" xfId="31" applyNumberFormat="1" applyFont="1" applyBorder="1" applyAlignment="1" applyProtection="1">
      <alignment vertical="center"/>
    </xf>
    <xf numFmtId="0" fontId="33" fillId="26" borderId="62" xfId="0" applyFont="1" applyFill="1" applyBorder="1" applyAlignment="1">
      <alignment horizontal="center" vertical="center"/>
    </xf>
    <xf numFmtId="0" fontId="5" fillId="23" borderId="0" xfId="0" applyFont="1" applyFill="1" applyAlignment="1" applyProtection="1">
      <alignment vertical="center"/>
      <protection hidden="1"/>
    </xf>
    <xf numFmtId="175" fontId="9" fillId="23" borderId="0" xfId="0" applyNumberFormat="1" applyFont="1" applyFill="1" applyAlignment="1" applyProtection="1">
      <alignment vertical="center"/>
      <protection hidden="1"/>
    </xf>
    <xf numFmtId="175" fontId="181" fillId="0" borderId="70" xfId="0" applyNumberFormat="1" applyFont="1" applyBorder="1" applyAlignment="1">
      <alignment horizontal="center" vertical="center"/>
    </xf>
    <xf numFmtId="175" fontId="182" fillId="0" borderId="70" xfId="0" applyNumberFormat="1" applyFont="1" applyBorder="1" applyAlignment="1">
      <alignment horizontal="center" vertical="center"/>
    </xf>
    <xf numFmtId="186" fontId="181" fillId="0" borderId="69" xfId="0" applyNumberFormat="1" applyFont="1" applyBorder="1" applyAlignment="1">
      <alignment horizontal="center" vertical="center"/>
    </xf>
    <xf numFmtId="175" fontId="183" fillId="0" borderId="84" xfId="0" applyNumberFormat="1" applyFont="1" applyBorder="1" applyAlignment="1">
      <alignment horizontal="center" vertical="center"/>
    </xf>
    <xf numFmtId="186" fontId="184" fillId="0" borderId="85" xfId="0" applyNumberFormat="1" applyFont="1" applyBorder="1" applyAlignment="1">
      <alignment horizontal="center" vertical="center"/>
    </xf>
    <xf numFmtId="186" fontId="181" fillId="0" borderId="85" xfId="0" applyNumberFormat="1" applyFont="1" applyBorder="1" applyAlignment="1">
      <alignment horizontal="center" vertical="center"/>
    </xf>
    <xf numFmtId="175" fontId="182" fillId="0" borderId="42" xfId="0" applyNumberFormat="1" applyFont="1" applyBorder="1" applyAlignment="1">
      <alignment horizontal="center" vertical="center"/>
    </xf>
    <xf numFmtId="3" fontId="83" fillId="23" borderId="21" xfId="0" applyNumberFormat="1" applyFont="1" applyFill="1" applyBorder="1" applyAlignment="1">
      <alignment horizontal="center" vertical="center"/>
    </xf>
    <xf numFmtId="3" fontId="83" fillId="23" borderId="14" xfId="0" applyNumberFormat="1" applyFont="1" applyFill="1" applyBorder="1" applyAlignment="1">
      <alignment horizontal="center" vertical="center"/>
    </xf>
    <xf numFmtId="182" fontId="140" fillId="0" borderId="0" xfId="17" applyNumberFormat="1" applyFont="1"/>
    <xf numFmtId="182" fontId="172" fillId="0" borderId="0" xfId="17" applyNumberFormat="1" applyFont="1"/>
    <xf numFmtId="0" fontId="57" fillId="2" borderId="0" xfId="0" applyFont="1" applyFill="1" applyAlignment="1">
      <alignment horizontal="center"/>
    </xf>
    <xf numFmtId="1" fontId="57" fillId="2" borderId="0" xfId="0" applyNumberFormat="1" applyFont="1" applyFill="1" applyAlignment="1">
      <alignment horizontal="center"/>
    </xf>
    <xf numFmtId="181" fontId="57" fillId="2" borderId="0" xfId="0" applyNumberFormat="1" applyFont="1" applyFill="1"/>
    <xf numFmtId="182" fontId="57" fillId="0" borderId="0" xfId="0" applyNumberFormat="1" applyFont="1"/>
    <xf numFmtId="182" fontId="64" fillId="2" borderId="0" xfId="0" applyNumberFormat="1" applyFont="1" applyFill="1" applyAlignment="1">
      <alignment horizontal="right"/>
    </xf>
    <xf numFmtId="0" fontId="101" fillId="26" borderId="81" xfId="0" applyFont="1" applyFill="1" applyBorder="1" applyAlignment="1" applyProtection="1">
      <alignment horizontal="center" vertical="center"/>
      <protection locked="0"/>
    </xf>
    <xf numFmtId="0" fontId="91" fillId="0" borderId="0" xfId="0" applyFont="1" applyAlignment="1">
      <alignment horizontal="left"/>
    </xf>
    <xf numFmtId="0" fontId="91" fillId="0" borderId="0" xfId="0" applyFont="1" applyAlignment="1">
      <alignment horizontal="right"/>
    </xf>
    <xf numFmtId="0" fontId="91" fillId="0" borderId="0" xfId="0" applyFont="1" applyProtection="1">
      <protection locked="0"/>
    </xf>
    <xf numFmtId="0" fontId="100" fillId="26" borderId="79" xfId="0" applyFont="1" applyFill="1" applyBorder="1" applyAlignment="1" applyProtection="1">
      <alignment vertical="center"/>
      <protection locked="0"/>
    </xf>
    <xf numFmtId="0" fontId="51" fillId="26" borderId="0" xfId="0" applyFont="1" applyFill="1" applyAlignment="1" applyProtection="1">
      <alignment horizontal="center" shrinkToFit="1"/>
      <protection locked="0"/>
    </xf>
    <xf numFmtId="0" fontId="16" fillId="2" borderId="0" xfId="0" applyFont="1" applyFill="1" applyAlignment="1">
      <alignment horizontal="right" vertical="center"/>
    </xf>
    <xf numFmtId="0" fontId="39" fillId="2" borderId="55" xfId="0" applyFont="1" applyFill="1" applyBorder="1" applyAlignment="1">
      <alignment horizontal="center" vertical="center"/>
    </xf>
    <xf numFmtId="0" fontId="39" fillId="2" borderId="56" xfId="0" applyFont="1" applyFill="1" applyBorder="1" applyAlignment="1">
      <alignment horizontal="center" vertical="center"/>
    </xf>
    <xf numFmtId="0" fontId="39" fillId="2" borderId="62" xfId="0" applyFont="1" applyFill="1" applyBorder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0" fontId="51" fillId="26" borderId="0" xfId="0" applyFont="1" applyFill="1" applyAlignment="1" applyProtection="1">
      <alignment horizontal="center"/>
      <protection locked="0"/>
    </xf>
    <xf numFmtId="189" fontId="70" fillId="26" borderId="14" xfId="0" applyNumberFormat="1" applyFont="1" applyFill="1" applyBorder="1" applyAlignment="1" applyProtection="1">
      <alignment horizontal="center" vertical="center"/>
      <protection locked="0"/>
    </xf>
    <xf numFmtId="0" fontId="102" fillId="30" borderId="0" xfId="0" applyFont="1" applyFill="1" applyAlignment="1">
      <alignment horizontal="center" vertical="center"/>
    </xf>
    <xf numFmtId="0" fontId="102" fillId="30" borderId="77" xfId="0" applyFont="1" applyFill="1" applyBorder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2" borderId="0" xfId="0" applyFont="1" applyFill="1" applyAlignment="1">
      <alignment horizontal="center" vertical="center"/>
    </xf>
    <xf numFmtId="180" fontId="70" fillId="26" borderId="14" xfId="0" applyNumberFormat="1" applyFont="1" applyFill="1" applyBorder="1" applyAlignment="1" applyProtection="1">
      <alignment horizontal="center" vertical="center"/>
      <protection locked="0"/>
    </xf>
    <xf numFmtId="175" fontId="70" fillId="26" borderId="14" xfId="0" applyNumberFormat="1" applyFont="1" applyFill="1" applyBorder="1" applyAlignment="1" applyProtection="1">
      <alignment horizontal="center" vertical="center"/>
      <protection locked="0"/>
    </xf>
    <xf numFmtId="180" fontId="72" fillId="30" borderId="14" xfId="0" applyNumberFormat="1" applyFont="1" applyFill="1" applyBorder="1" applyAlignment="1">
      <alignment horizontal="center" vertical="center"/>
    </xf>
    <xf numFmtId="175" fontId="72" fillId="30" borderId="14" xfId="0" applyNumberFormat="1" applyFont="1" applyFill="1" applyBorder="1" applyAlignment="1">
      <alignment horizontal="center" vertical="center"/>
    </xf>
    <xf numFmtId="0" fontId="100" fillId="26" borderId="79" xfId="0" applyFont="1" applyFill="1" applyBorder="1" applyAlignment="1" applyProtection="1">
      <alignment horizontal="center" vertical="center"/>
      <protection locked="0"/>
    </xf>
    <xf numFmtId="0" fontId="2" fillId="0" borderId="10" xfId="0" applyFont="1" applyBorder="1" applyAlignment="1">
      <alignment horizontal="center"/>
    </xf>
    <xf numFmtId="0" fontId="1" fillId="26" borderId="78" xfId="0" applyFont="1" applyFill="1" applyBorder="1" applyAlignment="1" applyProtection="1">
      <alignment horizontal="center" vertical="center"/>
      <protection locked="0"/>
    </xf>
    <xf numFmtId="0" fontId="101" fillId="26" borderId="81" xfId="0" applyFont="1" applyFill="1" applyBorder="1" applyAlignment="1" applyProtection="1">
      <alignment horizontal="center" vertical="center"/>
      <protection locked="0"/>
    </xf>
    <xf numFmtId="188" fontId="72" fillId="26" borderId="11" xfId="0" applyNumberFormat="1" applyFont="1" applyFill="1" applyBorder="1" applyAlignment="1" applyProtection="1">
      <alignment horizontal="center" vertical="center"/>
      <protection locked="0"/>
    </xf>
    <xf numFmtId="188" fontId="72" fillId="26" borderId="19" xfId="0" applyNumberFormat="1" applyFont="1" applyFill="1" applyBorder="1" applyAlignment="1" applyProtection="1">
      <alignment horizontal="center" vertical="center"/>
      <protection locked="0"/>
    </xf>
    <xf numFmtId="189" fontId="70" fillId="26" borderId="14" xfId="0" applyNumberFormat="1" applyFont="1" applyFill="1" applyBorder="1" applyAlignment="1">
      <alignment horizontal="center" vertical="center"/>
    </xf>
    <xf numFmtId="0" fontId="94" fillId="20" borderId="0" xfId="0" applyFont="1" applyFill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right" vertical="center"/>
      <protection hidden="1"/>
    </xf>
    <xf numFmtId="0" fontId="16" fillId="2" borderId="0" xfId="0" applyFont="1" applyFill="1" applyAlignment="1" applyProtection="1">
      <alignment horizontal="right" vertical="center"/>
      <protection hidden="1"/>
    </xf>
    <xf numFmtId="0" fontId="51" fillId="0" borderId="11" xfId="0" applyFont="1" applyBorder="1" applyAlignment="1">
      <alignment horizontal="center"/>
    </xf>
    <xf numFmtId="49" fontId="51" fillId="0" borderId="11" xfId="0" applyNumberFormat="1" applyFont="1" applyBorder="1" applyAlignment="1">
      <alignment horizontal="center" shrinkToFit="1"/>
    </xf>
    <xf numFmtId="0" fontId="18" fillId="2" borderId="0" xfId="0" applyFont="1" applyFill="1" applyAlignment="1" applyProtection="1">
      <alignment horizontal="center" vertical="center"/>
      <protection hidden="1"/>
    </xf>
    <xf numFmtId="0" fontId="18" fillId="2" borderId="0" xfId="0" applyFont="1" applyFill="1" applyAlignment="1" applyProtection="1">
      <alignment horizontal="center"/>
      <protection hidden="1"/>
    </xf>
    <xf numFmtId="0" fontId="48" fillId="26" borderId="56" xfId="0" applyFont="1" applyFill="1" applyBorder="1" applyAlignment="1" applyProtection="1">
      <alignment horizontal="center"/>
      <protection locked="0"/>
    </xf>
    <xf numFmtId="0" fontId="96" fillId="26" borderId="78" xfId="0" applyFont="1" applyFill="1" applyBorder="1" applyAlignment="1" applyProtection="1">
      <alignment horizontal="center" vertical="center"/>
      <protection locked="0"/>
    </xf>
    <xf numFmtId="175" fontId="41" fillId="26" borderId="0" xfId="0" applyNumberFormat="1" applyFont="1" applyFill="1" applyAlignment="1" applyProtection="1">
      <alignment horizontal="center" vertical="center"/>
      <protection locked="0" hidden="1"/>
    </xf>
    <xf numFmtId="175" fontId="41" fillId="23" borderId="0" xfId="0" applyNumberFormat="1" applyFont="1" applyFill="1" applyAlignment="1" applyProtection="1">
      <alignment horizontal="center" vertical="center"/>
      <protection hidden="1"/>
    </xf>
    <xf numFmtId="0" fontId="16" fillId="23" borderId="0" xfId="0" applyFont="1" applyFill="1" applyAlignment="1" applyProtection="1">
      <alignment horizontal="center" vertical="center"/>
      <protection hidden="1"/>
    </xf>
    <xf numFmtId="10" fontId="41" fillId="23" borderId="0" xfId="24" applyNumberFormat="1" applyFont="1" applyFill="1" applyBorder="1" applyAlignment="1" applyProtection="1">
      <alignment horizontal="center" vertical="center"/>
      <protection hidden="1"/>
    </xf>
    <xf numFmtId="0" fontId="18" fillId="0" borderId="59" xfId="0" applyFont="1" applyBorder="1" applyAlignment="1" applyProtection="1">
      <alignment horizontal="center" vertical="center"/>
      <protection hidden="1"/>
    </xf>
    <xf numFmtId="0" fontId="18" fillId="0" borderId="40" xfId="0" applyFont="1" applyBorder="1" applyAlignment="1" applyProtection="1">
      <alignment horizontal="center" vertical="center"/>
      <protection hidden="1"/>
    </xf>
    <xf numFmtId="0" fontId="18" fillId="0" borderId="62" xfId="0" applyFont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0" fontId="0" fillId="0" borderId="62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48" fillId="0" borderId="0" xfId="0" applyFont="1" applyAlignment="1" applyProtection="1">
      <alignment horizontal="center" vertical="center"/>
      <protection hidden="1"/>
    </xf>
    <xf numFmtId="0" fontId="48" fillId="0" borderId="61" xfId="0" applyFont="1" applyBorder="1" applyAlignment="1" applyProtection="1">
      <alignment horizontal="center" vertical="center"/>
      <protection hidden="1"/>
    </xf>
    <xf numFmtId="3" fontId="50" fillId="0" borderId="0" xfId="0" applyNumberFormat="1" applyFont="1" applyAlignment="1" applyProtection="1">
      <alignment horizontal="center" vertical="center"/>
      <protection hidden="1"/>
    </xf>
    <xf numFmtId="3" fontId="50" fillId="0" borderId="40" xfId="0" applyNumberFormat="1" applyFont="1" applyBorder="1" applyAlignment="1" applyProtection="1">
      <alignment horizontal="center" vertical="center"/>
      <protection hidden="1"/>
    </xf>
    <xf numFmtId="0" fontId="0" fillId="0" borderId="59" xfId="0" applyBorder="1" applyAlignment="1" applyProtection="1">
      <alignment horizontal="center" vertical="center"/>
      <protection hidden="1"/>
    </xf>
    <xf numFmtId="0" fontId="0" fillId="0" borderId="40" xfId="0" applyBorder="1" applyAlignment="1" applyProtection="1">
      <alignment horizontal="center" vertical="center"/>
      <protection hidden="1"/>
    </xf>
    <xf numFmtId="0" fontId="74" fillId="0" borderId="62" xfId="0" applyFont="1" applyBorder="1" applyAlignment="1" applyProtection="1">
      <alignment horizontal="center" vertical="center"/>
      <protection hidden="1"/>
    </xf>
    <xf numFmtId="0" fontId="74" fillId="0" borderId="0" xfId="0" applyFont="1" applyAlignment="1" applyProtection="1">
      <alignment horizontal="center" vertical="center"/>
      <protection hidden="1"/>
    </xf>
    <xf numFmtId="0" fontId="44" fillId="0" borderId="55" xfId="0" applyFont="1" applyBorder="1" applyAlignment="1" applyProtection="1">
      <alignment horizontal="center" vertical="center"/>
      <protection hidden="1"/>
    </xf>
    <xf numFmtId="0" fontId="44" fillId="0" borderId="56" xfId="0" applyFont="1" applyBorder="1" applyAlignment="1" applyProtection="1">
      <alignment horizontal="center" vertical="center"/>
      <protection hidden="1"/>
    </xf>
    <xf numFmtId="0" fontId="44" fillId="0" borderId="74" xfId="0" applyFont="1" applyBorder="1" applyAlignment="1" applyProtection="1">
      <alignment horizontal="center" vertical="center"/>
      <protection hidden="1"/>
    </xf>
    <xf numFmtId="0" fontId="44" fillId="0" borderId="62" xfId="0" applyFont="1" applyBorder="1" applyAlignment="1" applyProtection="1">
      <alignment horizontal="center" vertical="center"/>
      <protection hidden="1"/>
    </xf>
    <xf numFmtId="0" fontId="44" fillId="0" borderId="0" xfId="0" applyFont="1" applyAlignment="1" applyProtection="1">
      <alignment horizontal="center" vertical="center"/>
      <protection hidden="1"/>
    </xf>
    <xf numFmtId="0" fontId="44" fillId="0" borderId="61" xfId="0" applyFont="1" applyBorder="1" applyAlignment="1" applyProtection="1">
      <alignment horizontal="center" vertical="center"/>
      <protection hidden="1"/>
    </xf>
    <xf numFmtId="0" fontId="18" fillId="0" borderId="62" xfId="0" applyFont="1" applyBorder="1" applyAlignment="1" applyProtection="1">
      <alignment horizontal="right" vertical="center"/>
      <protection hidden="1"/>
    </xf>
    <xf numFmtId="0" fontId="18" fillId="0" borderId="0" xfId="0" applyFont="1" applyAlignment="1" applyProtection="1">
      <alignment horizontal="right" vertical="center"/>
      <protection hidden="1"/>
    </xf>
    <xf numFmtId="0" fontId="0" fillId="0" borderId="62" xfId="0" applyBorder="1" applyAlignment="1" applyProtection="1">
      <alignment horizontal="right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9" fillId="20" borderId="17" xfId="0" applyFont="1" applyFill="1" applyBorder="1" applyAlignment="1" applyProtection="1">
      <alignment horizontal="center" vertical="center"/>
      <protection hidden="1"/>
    </xf>
    <xf numFmtId="0" fontId="49" fillId="20" borderId="0" xfId="0" applyFont="1" applyFill="1" applyAlignment="1" applyProtection="1">
      <alignment horizontal="center" vertical="center"/>
      <protection hidden="1"/>
    </xf>
    <xf numFmtId="0" fontId="33" fillId="26" borderId="14" xfId="0" applyFont="1" applyFill="1" applyBorder="1" applyAlignment="1" applyProtection="1">
      <alignment horizontal="center" vertical="center"/>
      <protection locked="0"/>
    </xf>
    <xf numFmtId="0" fontId="33" fillId="26" borderId="52" xfId="0" applyFont="1" applyFill="1" applyBorder="1" applyAlignment="1" applyProtection="1">
      <alignment horizontal="center" vertical="center"/>
      <protection locked="0"/>
    </xf>
    <xf numFmtId="0" fontId="48" fillId="0" borderId="46" xfId="0" applyFont="1" applyBorder="1" applyAlignment="1" applyProtection="1">
      <alignment horizontal="center" vertical="center"/>
      <protection hidden="1"/>
    </xf>
    <xf numFmtId="2" fontId="15" fillId="0" borderId="14" xfId="0" applyNumberFormat="1" applyFont="1" applyBorder="1" applyAlignment="1" applyProtection="1">
      <alignment horizontal="center" vertical="center"/>
      <protection hidden="1"/>
    </xf>
    <xf numFmtId="0" fontId="33" fillId="26" borderId="18" xfId="0" applyFont="1" applyFill="1" applyBorder="1" applyAlignment="1" applyProtection="1">
      <alignment horizontal="center" vertical="center"/>
      <protection locked="0"/>
    </xf>
    <xf numFmtId="0" fontId="33" fillId="26" borderId="58" xfId="0" applyFont="1" applyFill="1" applyBorder="1" applyAlignment="1" applyProtection="1">
      <alignment horizontal="center" vertical="center"/>
      <protection locked="0"/>
    </xf>
    <xf numFmtId="0" fontId="15" fillId="0" borderId="48" xfId="0" applyFont="1" applyBorder="1" applyAlignment="1" applyProtection="1">
      <alignment horizontal="center" vertical="center"/>
      <protection hidden="1"/>
    </xf>
    <xf numFmtId="0" fontId="15" fillId="0" borderId="14" xfId="0" applyFont="1" applyBorder="1" applyAlignment="1" applyProtection="1">
      <alignment horizontal="center" vertical="center"/>
      <protection hidden="1"/>
    </xf>
    <xf numFmtId="2" fontId="15" fillId="20" borderId="0" xfId="0" applyNumberFormat="1" applyFont="1" applyFill="1" applyAlignment="1" applyProtection="1">
      <alignment horizontal="center" vertical="center"/>
      <protection hidden="1"/>
    </xf>
    <xf numFmtId="0" fontId="4" fillId="20" borderId="0" xfId="0" applyFont="1" applyFill="1" applyAlignment="1" applyProtection="1">
      <alignment horizontal="center" vertical="center" wrapText="1"/>
      <protection hidden="1"/>
    </xf>
    <xf numFmtId="0" fontId="15" fillId="20" borderId="0" xfId="0" applyFont="1" applyFill="1" applyAlignment="1" applyProtection="1">
      <alignment horizontal="center" vertical="center"/>
      <protection hidden="1"/>
    </xf>
    <xf numFmtId="0" fontId="46" fillId="9" borderId="55" xfId="0" applyFont="1" applyFill="1" applyBorder="1" applyAlignment="1" applyProtection="1">
      <alignment horizontal="center" vertical="center" wrapText="1"/>
      <protection hidden="1"/>
    </xf>
    <xf numFmtId="0" fontId="46" fillId="9" borderId="56" xfId="0" applyFont="1" applyFill="1" applyBorder="1" applyAlignment="1" applyProtection="1">
      <alignment horizontal="center" vertical="center" wrapText="1"/>
      <protection hidden="1"/>
    </xf>
    <xf numFmtId="0" fontId="46" fillId="9" borderId="59" xfId="0" applyFont="1" applyFill="1" applyBorder="1" applyAlignment="1" applyProtection="1">
      <alignment horizontal="center" vertical="center" wrapText="1"/>
      <protection hidden="1"/>
    </xf>
    <xf numFmtId="0" fontId="46" fillId="9" borderId="40" xfId="0" applyFont="1" applyFill="1" applyBorder="1" applyAlignment="1" applyProtection="1">
      <alignment horizontal="center" vertical="center" wrapText="1"/>
      <protection hidden="1"/>
    </xf>
    <xf numFmtId="0" fontId="5" fillId="2" borderId="47" xfId="0" applyFont="1" applyFill="1" applyBorder="1" applyAlignment="1" applyProtection="1">
      <alignment horizontal="center" vertical="center"/>
      <protection hidden="1"/>
    </xf>
    <xf numFmtId="0" fontId="5" fillId="2" borderId="46" xfId="0" applyFont="1" applyFill="1" applyBorder="1" applyAlignment="1" applyProtection="1">
      <alignment horizontal="center" vertical="center"/>
      <protection hidden="1"/>
    </xf>
    <xf numFmtId="0" fontId="15" fillId="0" borderId="39" xfId="0" applyFont="1" applyBorder="1" applyAlignment="1" applyProtection="1">
      <alignment horizontal="center" vertical="center"/>
      <protection hidden="1"/>
    </xf>
    <xf numFmtId="0" fontId="15" fillId="0" borderId="38" xfId="0" applyFont="1" applyBorder="1" applyAlignment="1" applyProtection="1">
      <alignment horizontal="center" vertical="center"/>
      <protection hidden="1"/>
    </xf>
    <xf numFmtId="2" fontId="15" fillId="0" borderId="38" xfId="0" applyNumberFormat="1" applyFont="1" applyBorder="1" applyAlignment="1" applyProtection="1">
      <alignment horizontal="center" vertical="center"/>
      <protection hidden="1"/>
    </xf>
    <xf numFmtId="0" fontId="33" fillId="26" borderId="38" xfId="0" applyFont="1" applyFill="1" applyBorder="1" applyAlignment="1" applyProtection="1">
      <alignment horizontal="center" vertical="center"/>
      <protection locked="0"/>
    </xf>
    <xf numFmtId="0" fontId="33" fillId="26" borderId="37" xfId="0" applyFont="1" applyFill="1" applyBorder="1" applyAlignment="1" applyProtection="1">
      <alignment horizontal="center" vertical="center"/>
      <protection locked="0"/>
    </xf>
    <xf numFmtId="175" fontId="114" fillId="0" borderId="62" xfId="0" applyNumberFormat="1" applyFont="1" applyBorder="1" applyAlignment="1" applyProtection="1">
      <alignment horizontal="center" vertical="center"/>
      <protection hidden="1"/>
    </xf>
    <xf numFmtId="175" fontId="114" fillId="0" borderId="0" xfId="0" applyNumberFormat="1" applyFont="1" applyAlignment="1" applyProtection="1">
      <alignment horizontal="center" vertical="center"/>
      <protection hidden="1"/>
    </xf>
    <xf numFmtId="0" fontId="0" fillId="0" borderId="55" xfId="0" applyBorder="1" applyAlignment="1" applyProtection="1">
      <alignment horizontal="center" vertical="center"/>
      <protection hidden="1"/>
    </xf>
    <xf numFmtId="0" fontId="0" fillId="0" borderId="56" xfId="0" applyBorder="1" applyAlignment="1" applyProtection="1">
      <alignment horizontal="center" vertical="center"/>
      <protection hidden="1"/>
    </xf>
    <xf numFmtId="0" fontId="0" fillId="0" borderId="74" xfId="0" applyBorder="1" applyAlignment="1" applyProtection="1">
      <alignment horizontal="center" vertical="center"/>
      <protection hidden="1"/>
    </xf>
    <xf numFmtId="0" fontId="0" fillId="0" borderId="61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61" xfId="0" applyBorder="1" applyAlignment="1" applyProtection="1">
      <alignment horizontal="center" vertical="center" wrapText="1"/>
      <protection hidden="1"/>
    </xf>
    <xf numFmtId="0" fontId="48" fillId="0" borderId="0" xfId="0" applyFont="1" applyAlignment="1" applyProtection="1">
      <alignment horizontal="center" vertical="center" wrapText="1"/>
      <protection hidden="1"/>
    </xf>
    <xf numFmtId="0" fontId="48" fillId="0" borderId="61" xfId="0" applyFont="1" applyBorder="1" applyAlignment="1" applyProtection="1">
      <alignment horizontal="center" vertical="center" wrapText="1"/>
      <protection hidden="1"/>
    </xf>
    <xf numFmtId="0" fontId="48" fillId="0" borderId="40" xfId="0" applyFont="1" applyBorder="1" applyAlignment="1" applyProtection="1">
      <alignment horizontal="center" vertical="center" wrapText="1"/>
      <protection hidden="1"/>
    </xf>
    <xf numFmtId="0" fontId="48" fillId="0" borderId="60" xfId="0" applyFont="1" applyBorder="1" applyAlignment="1" applyProtection="1">
      <alignment horizontal="center" vertical="center" wrapText="1"/>
      <protection hidden="1"/>
    </xf>
    <xf numFmtId="0" fontId="48" fillId="0" borderId="45" xfId="0" applyFont="1" applyBorder="1" applyAlignment="1" applyProtection="1">
      <alignment horizontal="center" vertical="center"/>
      <protection hidden="1"/>
    </xf>
    <xf numFmtId="188" fontId="72" fillId="0" borderId="0" xfId="0" applyNumberFormat="1" applyFont="1" applyAlignment="1">
      <alignment horizontal="center" vertical="center"/>
    </xf>
    <xf numFmtId="188" fontId="91" fillId="30" borderId="0" xfId="0" applyNumberFormat="1" applyFont="1" applyFill="1" applyAlignment="1">
      <alignment horizontal="center"/>
    </xf>
    <xf numFmtId="183" fontId="91" fillId="0" borderId="0" xfId="0" applyNumberFormat="1" applyFont="1" applyAlignment="1" applyProtection="1">
      <alignment horizontal="center"/>
      <protection locked="0"/>
    </xf>
    <xf numFmtId="0" fontId="91" fillId="2" borderId="0" xfId="0" applyFont="1" applyFill="1" applyAlignment="1">
      <alignment horizontal="left"/>
    </xf>
    <xf numFmtId="0" fontId="98" fillId="2" borderId="0" xfId="0" applyFont="1" applyFill="1" applyAlignment="1">
      <alignment horizontal="right"/>
    </xf>
    <xf numFmtId="0" fontId="64" fillId="2" borderId="0" xfId="0" applyFont="1" applyFill="1" applyAlignment="1">
      <alignment horizontal="right"/>
    </xf>
    <xf numFmtId="0" fontId="57" fillId="2" borderId="0" xfId="0" applyFont="1" applyFill="1" applyAlignment="1">
      <alignment horizontal="right"/>
    </xf>
    <xf numFmtId="0" fontId="55" fillId="2" borderId="0" xfId="0" applyFont="1" applyFill="1" applyAlignment="1">
      <alignment horizontal="center" vertical="top"/>
    </xf>
    <xf numFmtId="0" fontId="64" fillId="2" borderId="0" xfId="0" applyFont="1" applyFill="1" applyAlignment="1">
      <alignment horizontal="center"/>
    </xf>
    <xf numFmtId="175" fontId="64" fillId="2" borderId="0" xfId="0" applyNumberFormat="1" applyFont="1" applyFill="1" applyAlignment="1">
      <alignment horizontal="center"/>
    </xf>
    <xf numFmtId="0" fontId="70" fillId="0" borderId="19" xfId="0" applyFont="1" applyBorder="1" applyAlignment="1">
      <alignment horizontal="center"/>
    </xf>
    <xf numFmtId="15" fontId="91" fillId="0" borderId="0" xfId="0" applyNumberFormat="1" applyFont="1" applyAlignment="1" applyProtection="1">
      <alignment horizontal="center"/>
      <protection locked="0"/>
    </xf>
    <xf numFmtId="0" fontId="91" fillId="0" borderId="11" xfId="0" applyFont="1" applyBorder="1" applyAlignment="1">
      <alignment horizontal="center"/>
    </xf>
    <xf numFmtId="0" fontId="185" fillId="0" borderId="11" xfId="0" applyFont="1" applyFill="1" applyBorder="1" applyAlignment="1">
      <alignment horizontal="center"/>
    </xf>
    <xf numFmtId="0" fontId="185" fillId="0" borderId="19" xfId="0" applyFont="1" applyFill="1" applyBorder="1" applyAlignment="1">
      <alignment horizontal="center"/>
    </xf>
    <xf numFmtId="0" fontId="53" fillId="2" borderId="0" xfId="0" applyFont="1" applyFill="1" applyAlignment="1">
      <alignment horizontal="center" vertical="center" wrapText="1"/>
    </xf>
    <xf numFmtId="187" fontId="64" fillId="2" borderId="0" xfId="0" applyNumberFormat="1" applyFont="1" applyFill="1" applyAlignment="1">
      <alignment horizontal="center"/>
    </xf>
    <xf numFmtId="0" fontId="78" fillId="2" borderId="0" xfId="0" applyFont="1" applyFill="1" applyAlignment="1">
      <alignment horizontal="center" vertical="top"/>
    </xf>
    <xf numFmtId="0" fontId="64" fillId="0" borderId="0" xfId="0" applyFont="1" applyAlignment="1">
      <alignment horizontal="left"/>
    </xf>
    <xf numFmtId="0" fontId="64" fillId="0" borderId="0" xfId="0" applyFont="1" applyAlignment="1" applyProtection="1">
      <alignment horizontal="left"/>
      <protection locked="0"/>
    </xf>
    <xf numFmtId="0" fontId="64" fillId="26" borderId="0" xfId="0" applyFont="1" applyFill="1" applyAlignment="1" applyProtection="1">
      <alignment horizontal="left"/>
      <protection locked="0"/>
    </xf>
    <xf numFmtId="0" fontId="91" fillId="0" borderId="0" xfId="0" applyFont="1" applyAlignment="1">
      <alignment horizontal="center"/>
    </xf>
    <xf numFmtId="175" fontId="83" fillId="0" borderId="45" xfId="0" applyNumberFormat="1" applyFont="1" applyBorder="1" applyAlignment="1">
      <alignment horizontal="center" vertical="center" wrapText="1"/>
    </xf>
    <xf numFmtId="175" fontId="83" fillId="0" borderId="37" xfId="0" applyNumberFormat="1" applyFont="1" applyBorder="1" applyAlignment="1">
      <alignment horizontal="center" vertical="center" wrapText="1"/>
    </xf>
    <xf numFmtId="19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3" fillId="0" borderId="47" xfId="0" applyFont="1" applyBorder="1" applyAlignment="1">
      <alignment horizontal="center" vertical="center" wrapText="1"/>
    </xf>
    <xf numFmtId="0" fontId="83" fillId="0" borderId="39" xfId="0" applyFont="1" applyBorder="1" applyAlignment="1">
      <alignment horizontal="center" vertical="center" wrapText="1"/>
    </xf>
    <xf numFmtId="0" fontId="64" fillId="23" borderId="45" xfId="0" applyFont="1" applyFill="1" applyBorder="1" applyAlignment="1">
      <alignment horizontal="center" vertical="center" wrapText="1"/>
    </xf>
    <xf numFmtId="0" fontId="64" fillId="23" borderId="37" xfId="0" applyFont="1" applyFill="1" applyBorder="1" applyAlignment="1">
      <alignment horizontal="center" vertical="center" wrapText="1"/>
    </xf>
    <xf numFmtId="0" fontId="55" fillId="0" borderId="82" xfId="0" applyFont="1" applyBorder="1" applyAlignment="1">
      <alignment horizontal="center" vertical="center" wrapText="1"/>
    </xf>
    <xf numFmtId="0" fontId="55" fillId="0" borderId="86" xfId="0" applyFont="1" applyBorder="1" applyAlignment="1">
      <alignment horizontal="center" vertical="center" wrapText="1"/>
    </xf>
    <xf numFmtId="0" fontId="135" fillId="23" borderId="82" xfId="0" applyFont="1" applyFill="1" applyBorder="1" applyAlignment="1">
      <alignment horizontal="center" vertical="center" wrapText="1"/>
    </xf>
    <xf numFmtId="0" fontId="135" fillId="23" borderId="86" xfId="0" applyFont="1" applyFill="1" applyBorder="1" applyAlignment="1">
      <alignment horizontal="center" vertical="center" wrapText="1"/>
    </xf>
    <xf numFmtId="0" fontId="77" fillId="23" borderId="88" xfId="0" applyFont="1" applyFill="1" applyBorder="1" applyAlignment="1">
      <alignment horizontal="center" vertical="center" wrapText="1"/>
    </xf>
    <xf numFmtId="0" fontId="77" fillId="23" borderId="104" xfId="0" applyFont="1" applyFill="1" applyBorder="1" applyAlignment="1">
      <alignment horizontal="center" vertical="center" wrapText="1"/>
    </xf>
    <xf numFmtId="0" fontId="64" fillId="23" borderId="82" xfId="0" applyFont="1" applyFill="1" applyBorder="1" applyAlignment="1">
      <alignment horizontal="center" vertical="center" wrapText="1"/>
    </xf>
    <xf numFmtId="0" fontId="64" fillId="23" borderId="86" xfId="0" applyFont="1" applyFill="1" applyBorder="1" applyAlignment="1">
      <alignment horizontal="center" vertical="center" wrapText="1"/>
    </xf>
    <xf numFmtId="193" fontId="169" fillId="0" borderId="51" xfId="0" applyNumberFormat="1" applyFont="1" applyBorder="1" applyAlignment="1">
      <alignment horizontal="center" vertical="center" shrinkToFit="1"/>
    </xf>
    <xf numFmtId="193" fontId="169" fillId="0" borderId="20" xfId="0" applyNumberFormat="1" applyFont="1" applyBorder="1" applyAlignment="1">
      <alignment horizontal="center" vertical="center" shrinkToFit="1"/>
    </xf>
    <xf numFmtId="0" fontId="167" fillId="31" borderId="42" xfId="0" applyFont="1" applyFill="1" applyBorder="1" applyAlignment="1">
      <alignment horizontal="center" vertical="center"/>
    </xf>
    <xf numFmtId="0" fontId="167" fillId="31" borderId="73" xfId="0" applyFont="1" applyFill="1" applyBorder="1" applyAlignment="1">
      <alignment horizontal="center" vertical="center"/>
    </xf>
    <xf numFmtId="0" fontId="167" fillId="31" borderId="71" xfId="0" applyFont="1" applyFill="1" applyBorder="1" applyAlignment="1">
      <alignment horizontal="center" vertical="center"/>
    </xf>
    <xf numFmtId="0" fontId="168" fillId="0" borderId="57" xfId="0" applyFont="1" applyBorder="1" applyAlignment="1">
      <alignment horizontal="center" vertical="center"/>
    </xf>
    <xf numFmtId="0" fontId="168" fillId="0" borderId="66" xfId="0" applyFont="1" applyBorder="1" applyAlignment="1">
      <alignment horizontal="center" vertical="center"/>
    </xf>
    <xf numFmtId="0" fontId="168" fillId="0" borderId="67" xfId="0" applyFont="1" applyBorder="1" applyAlignment="1">
      <alignment horizontal="center" vertical="center"/>
    </xf>
    <xf numFmtId="0" fontId="150" fillId="0" borderId="67" xfId="0" applyFont="1" applyBorder="1" applyAlignment="1">
      <alignment horizontal="center" vertical="center"/>
    </xf>
    <xf numFmtId="0" fontId="150" fillId="0" borderId="66" xfId="0" applyFont="1" applyBorder="1" applyAlignment="1">
      <alignment horizontal="center" vertical="center"/>
    </xf>
    <xf numFmtId="0" fontId="168" fillId="0" borderId="68" xfId="0" applyFont="1" applyBorder="1" applyAlignment="1">
      <alignment horizontal="center" vertical="center"/>
    </xf>
    <xf numFmtId="193" fontId="168" fillId="26" borderId="51" xfId="0" applyNumberFormat="1" applyFont="1" applyFill="1" applyBorder="1" applyAlignment="1">
      <alignment horizontal="center" vertical="center" shrinkToFit="1"/>
    </xf>
    <xf numFmtId="193" fontId="168" fillId="26" borderId="20" xfId="0" applyNumberFormat="1" applyFont="1" applyFill="1" applyBorder="1" applyAlignment="1">
      <alignment horizontal="center" vertical="center" shrinkToFit="1"/>
    </xf>
    <xf numFmtId="194" fontId="169" fillId="0" borderId="18" xfId="0" applyNumberFormat="1" applyFont="1" applyBorder="1" applyAlignment="1">
      <alignment horizontal="center" vertical="center" shrinkToFit="1"/>
    </xf>
    <xf numFmtId="194" fontId="169" fillId="0" borderId="20" xfId="0" applyNumberFormat="1" applyFont="1" applyBorder="1" applyAlignment="1">
      <alignment horizontal="center" vertical="center" shrinkToFit="1"/>
    </xf>
    <xf numFmtId="194" fontId="150" fillId="0" borderId="18" xfId="0" applyNumberFormat="1" applyFont="1" applyBorder="1" applyAlignment="1">
      <alignment horizontal="center" vertical="center" shrinkToFit="1"/>
    </xf>
    <xf numFmtId="194" fontId="150" fillId="0" borderId="20" xfId="0" applyNumberFormat="1" applyFont="1" applyBorder="1" applyAlignment="1">
      <alignment horizontal="center" vertical="center" shrinkToFit="1"/>
    </xf>
    <xf numFmtId="194" fontId="169" fillId="0" borderId="58" xfId="0" applyNumberFormat="1" applyFont="1" applyBorder="1" applyAlignment="1">
      <alignment horizontal="center" vertical="center" shrinkToFit="1"/>
    </xf>
    <xf numFmtId="0" fontId="86" fillId="23" borderId="105" xfId="0" applyFont="1" applyFill="1" applyBorder="1" applyAlignment="1">
      <alignment horizontal="center" vertical="center" wrapText="1"/>
    </xf>
    <xf numFmtId="0" fontId="86" fillId="23" borderId="74" xfId="0" applyFont="1" applyFill="1" applyBorder="1" applyAlignment="1">
      <alignment horizontal="center" vertical="center" wrapText="1"/>
    </xf>
    <xf numFmtId="194" fontId="168" fillId="26" borderId="18" xfId="0" applyNumberFormat="1" applyFont="1" applyFill="1" applyBorder="1" applyAlignment="1">
      <alignment horizontal="center" vertical="center" shrinkToFit="1"/>
    </xf>
    <xf numFmtId="194" fontId="168" fillId="26" borderId="20" xfId="0" applyNumberFormat="1" applyFont="1" applyFill="1" applyBorder="1" applyAlignment="1">
      <alignment horizontal="center" vertical="center" shrinkToFit="1"/>
    </xf>
    <xf numFmtId="0" fontId="170" fillId="0" borderId="51" xfId="0" applyFont="1" applyBorder="1" applyAlignment="1">
      <alignment horizontal="center" vertical="center"/>
    </xf>
    <xf numFmtId="0" fontId="170" fillId="0" borderId="19" xfId="0" applyFont="1" applyBorder="1" applyAlignment="1">
      <alignment horizontal="center" vertical="center"/>
    </xf>
    <xf numFmtId="0" fontId="170" fillId="0" borderId="58" xfId="0" applyFont="1" applyBorder="1" applyAlignment="1">
      <alignment horizontal="center" vertical="center"/>
    </xf>
    <xf numFmtId="0" fontId="168" fillId="0" borderId="64" xfId="0" applyFont="1" applyBorder="1" applyAlignment="1">
      <alignment horizontal="center" vertical="center"/>
    </xf>
    <xf numFmtId="0" fontId="168" fillId="0" borderId="10" xfId="0" applyFont="1" applyBorder="1" applyAlignment="1">
      <alignment horizontal="center" vertical="center"/>
    </xf>
    <xf numFmtId="0" fontId="168" fillId="0" borderId="59" xfId="0" applyFont="1" applyBorder="1" applyAlignment="1">
      <alignment horizontal="center" vertical="center"/>
    </xf>
    <xf numFmtId="0" fontId="168" fillId="0" borderId="40" xfId="0" applyFont="1" applyBorder="1" applyAlignment="1">
      <alignment horizontal="center" vertical="center"/>
    </xf>
    <xf numFmtId="194" fontId="150" fillId="26" borderId="18" xfId="0" applyNumberFormat="1" applyFont="1" applyFill="1" applyBorder="1" applyAlignment="1">
      <alignment horizontal="center" vertical="center" shrinkToFit="1"/>
    </xf>
    <xf numFmtId="194" fontId="150" fillId="26" borderId="20" xfId="0" applyNumberFormat="1" applyFont="1" applyFill="1" applyBorder="1" applyAlignment="1">
      <alignment horizontal="center" vertical="center" shrinkToFit="1"/>
    </xf>
    <xf numFmtId="194" fontId="168" fillId="26" borderId="58" xfId="0" applyNumberFormat="1" applyFont="1" applyFill="1" applyBorder="1" applyAlignment="1">
      <alignment horizontal="center" vertical="center" shrinkToFit="1"/>
    </xf>
    <xf numFmtId="0" fontId="171" fillId="28" borderId="55" xfId="0" applyFont="1" applyFill="1" applyBorder="1" applyAlignment="1">
      <alignment horizontal="center" vertical="center"/>
    </xf>
    <xf numFmtId="0" fontId="171" fillId="28" borderId="74" xfId="0" applyFont="1" applyFill="1" applyBorder="1" applyAlignment="1">
      <alignment horizontal="center" vertical="center"/>
    </xf>
    <xf numFmtId="0" fontId="110" fillId="23" borderId="59" xfId="0" applyFont="1" applyFill="1" applyBorder="1" applyAlignment="1">
      <alignment horizontal="center" vertical="center"/>
    </xf>
    <xf numFmtId="0" fontId="110" fillId="23" borderId="60" xfId="0" applyFont="1" applyFill="1" applyBorder="1" applyAlignment="1">
      <alignment horizontal="center" vertical="center"/>
    </xf>
    <xf numFmtId="0" fontId="88" fillId="23" borderId="55" xfId="0" applyFont="1" applyFill="1" applyBorder="1" applyAlignment="1">
      <alignment horizontal="center" vertical="center"/>
    </xf>
    <xf numFmtId="0" fontId="88" fillId="23" borderId="56" xfId="0" applyFont="1" applyFill="1" applyBorder="1" applyAlignment="1">
      <alignment horizontal="center" vertical="center"/>
    </xf>
    <xf numFmtId="0" fontId="88" fillId="23" borderId="74" xfId="0" applyFont="1" applyFill="1" applyBorder="1" applyAlignment="1">
      <alignment horizontal="center" vertical="center"/>
    </xf>
    <xf numFmtId="200" fontId="164" fillId="26" borderId="73" xfId="0" applyNumberFormat="1" applyFont="1" applyFill="1" applyBorder="1" applyAlignment="1" applyProtection="1">
      <alignment horizontal="center" vertical="center"/>
      <protection locked="0"/>
    </xf>
    <xf numFmtId="0" fontId="134" fillId="26" borderId="73" xfId="0" applyFont="1" applyFill="1" applyBorder="1" applyAlignment="1" applyProtection="1">
      <alignment horizontal="center" vertical="center"/>
      <protection locked="0"/>
    </xf>
    <xf numFmtId="0" fontId="142" fillId="30" borderId="73" xfId="0" applyFont="1" applyFill="1" applyBorder="1" applyAlignment="1">
      <alignment horizontal="center" vertical="center"/>
    </xf>
    <xf numFmtId="15" fontId="134" fillId="26" borderId="73" xfId="0" applyNumberFormat="1" applyFont="1" applyFill="1" applyBorder="1" applyAlignment="1" applyProtection="1">
      <alignment horizontal="center" vertical="center"/>
      <protection locked="0"/>
    </xf>
    <xf numFmtId="0" fontId="141" fillId="30" borderId="73" xfId="0" applyFont="1" applyFill="1" applyBorder="1" applyAlignment="1">
      <alignment horizontal="center" vertical="center"/>
    </xf>
    <xf numFmtId="0" fontId="141" fillId="26" borderId="73" xfId="0" applyFont="1" applyFill="1" applyBorder="1" applyAlignment="1" applyProtection="1">
      <alignment horizontal="center" vertical="center"/>
      <protection locked="0"/>
    </xf>
    <xf numFmtId="0" fontId="141" fillId="26" borderId="71" xfId="0" applyFont="1" applyFill="1" applyBorder="1" applyAlignment="1" applyProtection="1">
      <alignment horizontal="center" vertical="center"/>
      <protection locked="0"/>
    </xf>
    <xf numFmtId="0" fontId="64" fillId="23" borderId="47" xfId="0" applyFont="1" applyFill="1" applyBorder="1" applyAlignment="1">
      <alignment horizontal="center" vertical="center" wrapText="1"/>
    </xf>
    <xf numFmtId="0" fontId="64" fillId="23" borderId="39" xfId="0" applyFont="1" applyFill="1" applyBorder="1" applyAlignment="1">
      <alignment horizontal="center" vertical="center" wrapText="1"/>
    </xf>
    <xf numFmtId="0" fontId="87" fillId="23" borderId="46" xfId="0" applyFont="1" applyFill="1" applyBorder="1" applyAlignment="1">
      <alignment horizontal="center" vertical="center" wrapText="1"/>
    </xf>
    <xf numFmtId="0" fontId="87" fillId="23" borderId="38" xfId="0" applyFont="1" applyFill="1" applyBorder="1" applyAlignment="1">
      <alignment horizontal="center" vertical="center" wrapText="1"/>
    </xf>
    <xf numFmtId="0" fontId="64" fillId="23" borderId="46" xfId="0" applyFont="1" applyFill="1" applyBorder="1" applyAlignment="1">
      <alignment horizontal="center" vertical="center" wrapText="1"/>
    </xf>
    <xf numFmtId="0" fontId="64" fillId="23" borderId="38" xfId="0" applyFont="1" applyFill="1" applyBorder="1" applyAlignment="1">
      <alignment horizontal="center" vertical="center" wrapText="1"/>
    </xf>
    <xf numFmtId="184" fontId="87" fillId="23" borderId="56" xfId="0" applyNumberFormat="1" applyFont="1" applyFill="1" applyBorder="1" applyAlignment="1">
      <alignment horizontal="center" vertical="center" wrapText="1"/>
    </xf>
    <xf numFmtId="184" fontId="87" fillId="23" borderId="40" xfId="0" applyNumberFormat="1" applyFont="1" applyFill="1" applyBorder="1" applyAlignment="1">
      <alignment horizontal="center" vertical="center" wrapText="1"/>
    </xf>
    <xf numFmtId="184" fontId="151" fillId="23" borderId="56" xfId="0" applyNumberFormat="1" applyFont="1" applyFill="1" applyBorder="1" applyAlignment="1">
      <alignment horizontal="center" vertical="center"/>
    </xf>
    <xf numFmtId="184" fontId="151" fillId="23" borderId="74" xfId="0" applyNumberFormat="1" applyFont="1" applyFill="1" applyBorder="1" applyAlignment="1">
      <alignment horizontal="center" vertical="center"/>
    </xf>
    <xf numFmtId="184" fontId="151" fillId="23" borderId="40" xfId="0" applyNumberFormat="1" applyFont="1" applyFill="1" applyBorder="1" applyAlignment="1">
      <alignment horizontal="center" vertical="center"/>
    </xf>
    <xf numFmtId="184" fontId="151" fillId="23" borderId="60" xfId="0" applyNumberFormat="1" applyFont="1" applyFill="1" applyBorder="1" applyAlignment="1">
      <alignment horizontal="center" vertical="center"/>
    </xf>
    <xf numFmtId="10" fontId="152" fillId="23" borderId="55" xfId="0" applyNumberFormat="1" applyFont="1" applyFill="1" applyBorder="1" applyAlignment="1">
      <alignment horizontal="center" vertical="center"/>
    </xf>
    <xf numFmtId="10" fontId="152" fillId="23" borderId="56" xfId="0" applyNumberFormat="1" applyFont="1" applyFill="1" applyBorder="1" applyAlignment="1">
      <alignment horizontal="center" vertical="center"/>
    </xf>
    <xf numFmtId="10" fontId="152" fillId="23" borderId="59" xfId="0" applyNumberFormat="1" applyFont="1" applyFill="1" applyBorder="1" applyAlignment="1">
      <alignment horizontal="center" vertical="center"/>
    </xf>
    <xf numFmtId="10" fontId="152" fillId="23" borderId="40" xfId="0" applyNumberFormat="1" applyFont="1" applyFill="1" applyBorder="1" applyAlignment="1">
      <alignment horizontal="center" vertical="center"/>
    </xf>
    <xf numFmtId="0" fontId="64" fillId="23" borderId="57" xfId="0" applyFont="1" applyFill="1" applyBorder="1" applyAlignment="1">
      <alignment horizontal="center" vertical="center" wrapText="1"/>
    </xf>
    <xf numFmtId="0" fontId="64" fillId="23" borderId="66" xfId="0" applyFont="1" applyFill="1" applyBorder="1" applyAlignment="1">
      <alignment horizontal="center" vertical="center" wrapText="1"/>
    </xf>
    <xf numFmtId="0" fontId="153" fillId="23" borderId="39" xfId="0" applyFont="1" applyFill="1" applyBorder="1" applyAlignment="1">
      <alignment horizontal="center" vertical="center"/>
    </xf>
    <xf numFmtId="0" fontId="153" fillId="23" borderId="38" xfId="0" applyFont="1" applyFill="1" applyBorder="1" applyAlignment="1">
      <alignment horizontal="center" vertical="center"/>
    </xf>
    <xf numFmtId="0" fontId="156" fillId="23" borderId="42" xfId="0" applyFont="1" applyFill="1" applyBorder="1" applyAlignment="1">
      <alignment horizontal="center" vertical="center"/>
    </xf>
    <xf numFmtId="0" fontId="156" fillId="23" borderId="73" xfId="0" applyFont="1" applyFill="1" applyBorder="1" applyAlignment="1">
      <alignment horizontal="center" vertical="center"/>
    </xf>
    <xf numFmtId="0" fontId="156" fillId="23" borderId="71" xfId="0" applyFont="1" applyFill="1" applyBorder="1" applyAlignment="1">
      <alignment horizontal="center" vertical="center"/>
    </xf>
    <xf numFmtId="0" fontId="64" fillId="23" borderId="55" xfId="0" applyFont="1" applyFill="1" applyBorder="1" applyAlignment="1">
      <alignment horizontal="center" vertical="center" wrapText="1"/>
    </xf>
    <xf numFmtId="0" fontId="64" fillId="23" borderId="74" xfId="0" applyFont="1" applyFill="1" applyBorder="1" applyAlignment="1">
      <alignment horizontal="center" vertical="center" wrapText="1"/>
    </xf>
    <xf numFmtId="0" fontId="64" fillId="23" borderId="59" xfId="0" applyFont="1" applyFill="1" applyBorder="1" applyAlignment="1">
      <alignment horizontal="center" vertical="center" wrapText="1"/>
    </xf>
    <xf numFmtId="0" fontId="64" fillId="23" borderId="60" xfId="0" applyFont="1" applyFill="1" applyBorder="1" applyAlignment="1">
      <alignment horizontal="center" vertical="center" wrapText="1"/>
    </xf>
    <xf numFmtId="0" fontId="64" fillId="23" borderId="108" xfId="0" applyFont="1" applyFill="1" applyBorder="1" applyAlignment="1">
      <alignment horizontal="center" vertical="center" wrapText="1"/>
    </xf>
    <xf numFmtId="0" fontId="64" fillId="23" borderId="109" xfId="0" applyFont="1" applyFill="1" applyBorder="1" applyAlignment="1">
      <alignment horizontal="center" vertical="center" wrapText="1"/>
    </xf>
    <xf numFmtId="0" fontId="75" fillId="23" borderId="105" xfId="0" applyFont="1" applyFill="1" applyBorder="1" applyAlignment="1">
      <alignment horizontal="center" vertical="center" wrapText="1"/>
    </xf>
    <xf numFmtId="0" fontId="75" fillId="23" borderId="108" xfId="0" applyFont="1" applyFill="1" applyBorder="1" applyAlignment="1">
      <alignment horizontal="center" vertical="center" wrapText="1"/>
    </xf>
    <xf numFmtId="0" fontId="75" fillId="23" borderId="106" xfId="0" applyFont="1" applyFill="1" applyBorder="1" applyAlignment="1">
      <alignment horizontal="center" vertical="center" wrapText="1"/>
    </xf>
    <xf numFmtId="0" fontId="75" fillId="23" borderId="109" xfId="0" applyFont="1" applyFill="1" applyBorder="1" applyAlignment="1">
      <alignment horizontal="center" vertical="center" wrapText="1"/>
    </xf>
    <xf numFmtId="3" fontId="159" fillId="0" borderId="83" xfId="0" applyNumberFormat="1" applyFont="1" applyBorder="1" applyAlignment="1">
      <alignment horizontal="center" vertical="center"/>
    </xf>
    <xf numFmtId="3" fontId="159" fillId="0" borderId="92" xfId="0" applyNumberFormat="1" applyFont="1" applyBorder="1" applyAlignment="1">
      <alignment horizontal="center" vertical="center"/>
    </xf>
    <xf numFmtId="3" fontId="159" fillId="0" borderId="97" xfId="0" applyNumberFormat="1" applyFont="1" applyBorder="1" applyAlignment="1">
      <alignment horizontal="center" vertical="center"/>
    </xf>
    <xf numFmtId="3" fontId="159" fillId="0" borderId="89" xfId="0" applyNumberFormat="1" applyFont="1" applyBorder="1" applyAlignment="1">
      <alignment horizontal="center" vertical="center"/>
    </xf>
    <xf numFmtId="3" fontId="159" fillId="0" borderId="93" xfId="0" applyNumberFormat="1" applyFont="1" applyBorder="1" applyAlignment="1">
      <alignment horizontal="center" vertical="center"/>
    </xf>
    <xf numFmtId="3" fontId="159" fillId="0" borderId="112" xfId="0" applyNumberFormat="1" applyFont="1" applyBorder="1" applyAlignment="1">
      <alignment horizontal="center" vertical="center"/>
    </xf>
    <xf numFmtId="175" fontId="158" fillId="23" borderId="42" xfId="0" applyNumberFormat="1" applyFont="1" applyFill="1" applyBorder="1" applyAlignment="1">
      <alignment horizontal="center" vertical="center" shrinkToFit="1"/>
    </xf>
    <xf numFmtId="175" fontId="158" fillId="23" borderId="73" xfId="0" applyNumberFormat="1" applyFont="1" applyFill="1" applyBorder="1" applyAlignment="1">
      <alignment horizontal="center" vertical="center" shrinkToFit="1"/>
    </xf>
    <xf numFmtId="175" fontId="158" fillId="23" borderId="71" xfId="0" applyNumberFormat="1" applyFont="1" applyFill="1" applyBorder="1" applyAlignment="1">
      <alignment horizontal="center" vertical="center" shrinkToFit="1"/>
    </xf>
    <xf numFmtId="175" fontId="156" fillId="26" borderId="42" xfId="0" applyNumberFormat="1" applyFont="1" applyFill="1" applyBorder="1" applyAlignment="1" applyProtection="1">
      <alignment horizontal="center" vertical="center" shrinkToFit="1"/>
      <protection locked="0"/>
    </xf>
    <xf numFmtId="175" fontId="156" fillId="26" borderId="73" xfId="0" applyNumberFormat="1" applyFont="1" applyFill="1" applyBorder="1" applyAlignment="1" applyProtection="1">
      <alignment horizontal="center" vertical="center" shrinkToFit="1"/>
      <protection locked="0"/>
    </xf>
    <xf numFmtId="175" fontId="156" fillId="26" borderId="71" xfId="0" applyNumberFormat="1" applyFont="1" applyFill="1" applyBorder="1" applyAlignment="1" applyProtection="1">
      <alignment horizontal="center" vertical="center" shrinkToFit="1"/>
      <protection locked="0"/>
    </xf>
    <xf numFmtId="0" fontId="75" fillId="23" borderId="110" xfId="0" applyFont="1" applyFill="1" applyBorder="1" applyAlignment="1">
      <alignment horizontal="center" vertical="center" wrapText="1"/>
    </xf>
    <xf numFmtId="0" fontId="75" fillId="23" borderId="115" xfId="0" applyFont="1" applyFill="1" applyBorder="1" applyAlignment="1">
      <alignment horizontal="center" vertical="center" wrapText="1"/>
    </xf>
    <xf numFmtId="0" fontId="75" fillId="23" borderId="82" xfId="0" applyFont="1" applyFill="1" applyBorder="1" applyAlignment="1">
      <alignment horizontal="center" vertical="center" wrapText="1"/>
    </xf>
    <xf numFmtId="0" fontId="75" fillId="23" borderId="86" xfId="0" applyFont="1" applyFill="1" applyBorder="1" applyAlignment="1">
      <alignment horizontal="center" vertical="center" wrapText="1"/>
    </xf>
    <xf numFmtId="0" fontId="84" fillId="23" borderId="82" xfId="0" applyFont="1" applyFill="1" applyBorder="1" applyAlignment="1">
      <alignment horizontal="center" vertical="center" wrapText="1"/>
    </xf>
    <xf numFmtId="0" fontId="84" fillId="23" borderId="86" xfId="0" applyFont="1" applyFill="1" applyBorder="1" applyAlignment="1">
      <alignment horizontal="center" vertical="center" wrapText="1"/>
    </xf>
    <xf numFmtId="0" fontId="56" fillId="23" borderId="111" xfId="0" applyFont="1" applyFill="1" applyBorder="1" applyAlignment="1">
      <alignment horizontal="center" vertical="center" wrapText="1"/>
    </xf>
    <xf numFmtId="0" fontId="56" fillId="23" borderId="114" xfId="0" applyFont="1" applyFill="1" applyBorder="1" applyAlignment="1">
      <alignment horizontal="center" vertical="center" wrapText="1"/>
    </xf>
    <xf numFmtId="0" fontId="64" fillId="23" borderId="67" xfId="0" applyFont="1" applyFill="1" applyBorder="1" applyAlignment="1">
      <alignment horizontal="center" vertical="center" wrapText="1"/>
    </xf>
    <xf numFmtId="0" fontId="53" fillId="23" borderId="57" xfId="0" applyFont="1" applyFill="1" applyBorder="1" applyAlignment="1">
      <alignment horizontal="center" vertical="center" wrapText="1"/>
    </xf>
    <xf numFmtId="0" fontId="53" fillId="23" borderId="66" xfId="0" applyFont="1" applyFill="1" applyBorder="1" applyAlignment="1">
      <alignment horizontal="center" vertical="center" wrapText="1"/>
    </xf>
    <xf numFmtId="175" fontId="84" fillId="0" borderId="51" xfId="0" applyNumberFormat="1" applyFont="1" applyBorder="1" applyAlignment="1">
      <alignment horizontal="center" vertical="center"/>
    </xf>
    <xf numFmtId="175" fontId="84" fillId="0" borderId="20" xfId="0" applyNumberFormat="1" applyFont="1" applyBorder="1" applyAlignment="1">
      <alignment horizontal="center" vertical="center"/>
    </xf>
    <xf numFmtId="175" fontId="79" fillId="0" borderId="51" xfId="0" applyNumberFormat="1" applyFont="1" applyBorder="1" applyAlignment="1">
      <alignment horizontal="center" vertical="center"/>
    </xf>
    <xf numFmtId="175" fontId="79" fillId="0" borderId="20" xfId="0" applyNumberFormat="1" applyFont="1" applyBorder="1" applyAlignment="1">
      <alignment horizontal="center" vertical="center"/>
    </xf>
    <xf numFmtId="175" fontId="79" fillId="0" borderId="75" xfId="0" applyNumberFormat="1" applyFont="1" applyBorder="1" applyAlignment="1">
      <alignment horizontal="center" vertical="center"/>
    </xf>
    <xf numFmtId="175" fontId="79" fillId="0" borderId="43" xfId="0" applyNumberFormat="1" applyFont="1" applyBorder="1" applyAlignment="1">
      <alignment horizontal="center" vertical="center"/>
    </xf>
    <xf numFmtId="0" fontId="64" fillId="23" borderId="68" xfId="0" applyFont="1" applyFill="1" applyBorder="1" applyAlignment="1">
      <alignment horizontal="center" vertical="center" wrapText="1"/>
    </xf>
    <xf numFmtId="0" fontId="90" fillId="23" borderId="57" xfId="0" applyFont="1" applyFill="1" applyBorder="1" applyAlignment="1">
      <alignment horizontal="center" vertical="center" wrapText="1"/>
    </xf>
    <xf numFmtId="0" fontId="90" fillId="23" borderId="68" xfId="0" applyFont="1" applyFill="1" applyBorder="1" applyAlignment="1">
      <alignment horizontal="center" vertical="center" wrapText="1"/>
    </xf>
    <xf numFmtId="175" fontId="177" fillId="0" borderId="18" xfId="0" applyNumberFormat="1" applyFont="1" applyBorder="1" applyAlignment="1">
      <alignment horizontal="center" vertical="center"/>
    </xf>
    <xf numFmtId="175" fontId="177" fillId="0" borderId="58" xfId="0" applyNumberFormat="1" applyFont="1" applyBorder="1" applyAlignment="1">
      <alignment horizontal="center" vertical="center"/>
    </xf>
    <xf numFmtId="0" fontId="155" fillId="23" borderId="57" xfId="0" applyFont="1" applyFill="1" applyBorder="1" applyAlignment="1">
      <alignment horizontal="center" vertical="center" wrapText="1"/>
    </xf>
    <xf numFmtId="0" fontId="155" fillId="23" borderId="68" xfId="0" applyFont="1" applyFill="1" applyBorder="1" applyAlignment="1">
      <alignment horizontal="center" vertical="center" wrapText="1"/>
    </xf>
    <xf numFmtId="175" fontId="78" fillId="26" borderId="18" xfId="0" applyNumberFormat="1" applyFont="1" applyFill="1" applyBorder="1" applyAlignment="1" applyProtection="1">
      <alignment horizontal="center" vertical="center"/>
      <protection locked="0"/>
    </xf>
    <xf numFmtId="175" fontId="78" fillId="26" borderId="20" xfId="0" applyNumberFormat="1" applyFont="1" applyFill="1" applyBorder="1" applyAlignment="1" applyProtection="1">
      <alignment horizontal="center" vertical="center"/>
      <protection locked="0"/>
    </xf>
    <xf numFmtId="0" fontId="175" fillId="0" borderId="56" xfId="0" applyFont="1" applyBorder="1" applyAlignment="1">
      <alignment horizontal="center" vertical="center"/>
    </xf>
    <xf numFmtId="3" fontId="174" fillId="0" borderId="56" xfId="0" applyNumberFormat="1" applyFont="1" applyBorder="1" applyAlignment="1">
      <alignment horizontal="center" vertical="center"/>
    </xf>
    <xf numFmtId="0" fontId="174" fillId="0" borderId="56" xfId="0" applyFont="1" applyBorder="1" applyAlignment="1">
      <alignment horizontal="center" vertical="center"/>
    </xf>
    <xf numFmtId="0" fontId="153" fillId="26" borderId="51" xfId="0" applyFont="1" applyFill="1" applyBorder="1" applyAlignment="1" applyProtection="1">
      <alignment horizontal="center" vertical="center" wrapText="1"/>
      <protection locked="0"/>
    </xf>
    <xf numFmtId="0" fontId="153" fillId="26" borderId="20" xfId="0" applyFont="1" applyFill="1" applyBorder="1" applyAlignment="1" applyProtection="1">
      <alignment horizontal="center" vertical="center" wrapText="1"/>
      <protection locked="0"/>
    </xf>
    <xf numFmtId="0" fontId="154" fillId="0" borderId="55" xfId="0" applyFont="1" applyBorder="1" applyAlignment="1">
      <alignment horizontal="center" vertical="center"/>
    </xf>
    <xf numFmtId="0" fontId="154" fillId="0" borderId="56" xfId="0" applyFont="1" applyBorder="1" applyAlignment="1">
      <alignment horizontal="center" vertical="center"/>
    </xf>
    <xf numFmtId="175" fontId="178" fillId="0" borderId="18" xfId="0" applyNumberFormat="1" applyFont="1" applyBorder="1" applyAlignment="1">
      <alignment horizontal="center" vertical="center"/>
    </xf>
    <xf numFmtId="175" fontId="178" fillId="0" borderId="58" xfId="0" applyNumberFormat="1" applyFont="1" applyBorder="1" applyAlignment="1">
      <alignment horizontal="center" vertical="center"/>
    </xf>
    <xf numFmtId="0" fontId="180" fillId="26" borderId="118" xfId="0" applyFont="1" applyFill="1" applyBorder="1" applyAlignment="1" applyProtection="1">
      <alignment horizontal="center"/>
      <protection locked="0"/>
    </xf>
    <xf numFmtId="0" fontId="180" fillId="26" borderId="119" xfId="0" applyFont="1" applyFill="1" applyBorder="1" applyAlignment="1" applyProtection="1">
      <alignment horizontal="center"/>
      <protection locked="0"/>
    </xf>
    <xf numFmtId="175" fontId="181" fillId="0" borderId="69" xfId="0" applyNumberFormat="1" applyFont="1" applyBorder="1" applyAlignment="1">
      <alignment horizontal="center" vertical="center"/>
    </xf>
    <xf numFmtId="175" fontId="181" fillId="0" borderId="41" xfId="0" applyNumberFormat="1" applyFont="1" applyBorder="1" applyAlignment="1">
      <alignment horizontal="center" vertical="center"/>
    </xf>
    <xf numFmtId="0" fontId="179" fillId="0" borderId="42" xfId="0" applyFont="1" applyBorder="1" applyAlignment="1">
      <alignment horizontal="center" vertical="center"/>
    </xf>
    <xf numFmtId="0" fontId="179" fillId="0" borderId="41" xfId="0" applyFont="1" applyBorder="1" applyAlignment="1">
      <alignment horizontal="center" vertical="center"/>
    </xf>
    <xf numFmtId="0" fontId="180" fillId="26" borderId="117" xfId="0" applyFont="1" applyFill="1" applyBorder="1" applyAlignment="1" applyProtection="1">
      <alignment horizontal="center"/>
      <protection locked="0"/>
    </xf>
    <xf numFmtId="0" fontId="180" fillId="26" borderId="79" xfId="0" applyFont="1" applyFill="1" applyBorder="1" applyAlignment="1" applyProtection="1">
      <alignment horizontal="center"/>
      <protection locked="0"/>
    </xf>
    <xf numFmtId="0" fontId="180" fillId="26" borderId="116" xfId="0" applyFont="1" applyFill="1" applyBorder="1" applyAlignment="1" applyProtection="1">
      <alignment horizontal="center"/>
      <protection locked="0"/>
    </xf>
    <xf numFmtId="0" fontId="180" fillId="26" borderId="120" xfId="0" applyFont="1" applyFill="1" applyBorder="1" applyAlignment="1" applyProtection="1">
      <alignment horizontal="center"/>
      <protection locked="0"/>
    </xf>
    <xf numFmtId="0" fontId="180" fillId="26" borderId="121" xfId="0" applyFont="1" applyFill="1" applyBorder="1" applyAlignment="1" applyProtection="1">
      <alignment horizontal="center"/>
      <protection locked="0"/>
    </xf>
    <xf numFmtId="0" fontId="180" fillId="26" borderId="122" xfId="0" applyFont="1" applyFill="1" applyBorder="1" applyAlignment="1" applyProtection="1">
      <alignment horizontal="center"/>
      <protection locked="0"/>
    </xf>
    <xf numFmtId="175" fontId="179" fillId="0" borderId="42" xfId="0" applyNumberFormat="1" applyFont="1" applyBorder="1" applyAlignment="1">
      <alignment horizontal="center" vertical="center"/>
    </xf>
    <xf numFmtId="175" fontId="179" fillId="0" borderId="73" xfId="0" applyNumberFormat="1" applyFont="1" applyBorder="1" applyAlignment="1">
      <alignment horizontal="center" vertical="center"/>
    </xf>
    <xf numFmtId="175" fontId="179" fillId="0" borderId="71" xfId="0" applyNumberFormat="1" applyFont="1" applyBorder="1" applyAlignment="1">
      <alignment horizontal="center" vertical="center"/>
    </xf>
    <xf numFmtId="0" fontId="9" fillId="0" borderId="0" xfId="17" applyFont="1" applyAlignment="1" applyProtection="1">
      <alignment horizontal="left" vertical="center" shrinkToFit="1"/>
      <protection locked="0"/>
    </xf>
    <xf numFmtId="0" fontId="9" fillId="0" borderId="61" xfId="17" applyFont="1" applyBorder="1" applyAlignment="1" applyProtection="1">
      <alignment horizontal="left" vertical="center" shrinkToFit="1"/>
      <protection locked="0"/>
    </xf>
    <xf numFmtId="0" fontId="138" fillId="0" borderId="62" xfId="17" applyFont="1" applyBorder="1" applyAlignment="1">
      <alignment horizontal="center" vertical="center"/>
    </xf>
    <xf numFmtId="0" fontId="138" fillId="0" borderId="0" xfId="17" applyFont="1" applyAlignment="1">
      <alignment horizontal="center" vertical="center"/>
    </xf>
    <xf numFmtId="0" fontId="138" fillId="0" borderId="61" xfId="17" applyFont="1" applyBorder="1" applyAlignment="1">
      <alignment horizontal="center" vertical="center"/>
    </xf>
    <xf numFmtId="0" fontId="8" fillId="0" borderId="0" xfId="17" applyFont="1" applyAlignment="1">
      <alignment horizontal="center" vertical="center"/>
    </xf>
    <xf numFmtId="190" fontId="8" fillId="0" borderId="0" xfId="17" applyNumberFormat="1" applyFont="1" applyAlignment="1" applyProtection="1">
      <alignment horizontal="center" vertical="center" wrapText="1"/>
      <protection locked="0"/>
    </xf>
    <xf numFmtId="0" fontId="8" fillId="0" borderId="62" xfId="17" applyFont="1" applyBorder="1" applyAlignment="1">
      <alignment horizontal="right" vertical="center"/>
    </xf>
    <xf numFmtId="0" fontId="8" fillId="0" borderId="0" xfId="17" applyFont="1" applyAlignment="1">
      <alignment horizontal="right" vertical="center"/>
    </xf>
    <xf numFmtId="0" fontId="137" fillId="0" borderId="62" xfId="17" applyFont="1" applyBorder="1" applyAlignment="1">
      <alignment horizontal="center"/>
    </xf>
    <xf numFmtId="0" fontId="137" fillId="0" borderId="0" xfId="17" applyFont="1" applyAlignment="1">
      <alignment horizontal="center"/>
    </xf>
    <xf numFmtId="0" fontId="137" fillId="0" borderId="61" xfId="17" applyFont="1" applyBorder="1" applyAlignment="1">
      <alignment horizontal="center"/>
    </xf>
    <xf numFmtId="0" fontId="136" fillId="0" borderId="62" xfId="17" applyFont="1" applyBorder="1" applyAlignment="1">
      <alignment horizontal="center"/>
    </xf>
    <xf numFmtId="0" fontId="136" fillId="0" borderId="0" xfId="17" applyFont="1" applyAlignment="1">
      <alignment horizontal="center"/>
    </xf>
    <xf numFmtId="0" fontId="136" fillId="0" borderId="61" xfId="17" applyFont="1" applyBorder="1" applyAlignment="1">
      <alignment horizontal="center"/>
    </xf>
    <xf numFmtId="0" fontId="8" fillId="0" borderId="0" xfId="17" applyFont="1" applyAlignment="1" applyProtection="1">
      <alignment horizontal="center" vertical="center"/>
      <protection locked="0"/>
    </xf>
    <xf numFmtId="182" fontId="9" fillId="0" borderId="0" xfId="17" applyNumberFormat="1" applyFont="1" applyAlignment="1">
      <alignment horizontal="center" vertical="center"/>
    </xf>
    <xf numFmtId="182" fontId="9" fillId="0" borderId="8" xfId="17" applyNumberFormat="1" applyFont="1" applyBorder="1" applyAlignment="1">
      <alignment horizontal="center" vertical="center"/>
    </xf>
    <xf numFmtId="0" fontId="9" fillId="0" borderId="11" xfId="17" applyFont="1" applyBorder="1" applyAlignment="1">
      <alignment horizontal="center" vertical="top"/>
    </xf>
    <xf numFmtId="182" fontId="9" fillId="0" borderId="17" xfId="17" applyNumberFormat="1" applyFont="1" applyBorder="1" applyAlignment="1">
      <alignment horizontal="center" vertical="center"/>
    </xf>
    <xf numFmtId="182" fontId="9" fillId="0" borderId="17" xfId="31" applyNumberFormat="1" applyFont="1" applyBorder="1" applyAlignment="1" applyProtection="1">
      <alignment horizontal="center" vertical="center"/>
    </xf>
    <xf numFmtId="182" fontId="9" fillId="0" borderId="0" xfId="31" applyNumberFormat="1" applyFont="1" applyBorder="1" applyAlignment="1" applyProtection="1">
      <alignment horizontal="center" vertical="center"/>
    </xf>
    <xf numFmtId="0" fontId="21" fillId="0" borderId="17" xfId="17" applyFont="1" applyBorder="1" applyAlignment="1">
      <alignment horizontal="center"/>
    </xf>
    <xf numFmtId="0" fontId="21" fillId="0" borderId="0" xfId="17" applyFont="1" applyAlignment="1">
      <alignment horizontal="center"/>
    </xf>
    <xf numFmtId="0" fontId="21" fillId="0" borderId="8" xfId="17" applyFont="1" applyBorder="1" applyAlignment="1">
      <alignment horizontal="center"/>
    </xf>
    <xf numFmtId="182" fontId="9" fillId="34" borderId="17" xfId="17" applyNumberFormat="1" applyFont="1" applyFill="1" applyBorder="1" applyAlignment="1">
      <alignment horizontal="center" vertical="top" wrapText="1"/>
    </xf>
    <xf numFmtId="182" fontId="9" fillId="34" borderId="0" xfId="17" applyNumberFormat="1" applyFont="1" applyFill="1" applyAlignment="1">
      <alignment horizontal="center" vertical="top" wrapText="1"/>
    </xf>
    <xf numFmtId="182" fontId="9" fillId="34" borderId="8" xfId="17" applyNumberFormat="1" applyFont="1" applyFill="1" applyBorder="1" applyAlignment="1">
      <alignment horizontal="center" vertical="top" wrapText="1"/>
    </xf>
    <xf numFmtId="182" fontId="9" fillId="34" borderId="16" xfId="17" applyNumberFormat="1" applyFont="1" applyFill="1" applyBorder="1" applyAlignment="1">
      <alignment horizontal="center" vertical="top" wrapText="1"/>
    </xf>
    <xf numFmtId="182" fontId="9" fillId="34" borderId="11" xfId="17" applyNumberFormat="1" applyFont="1" applyFill="1" applyBorder="1" applyAlignment="1">
      <alignment horizontal="center" vertical="top" wrapText="1"/>
    </xf>
    <xf numFmtId="182" fontId="9" fillId="34" borderId="13" xfId="17" applyNumberFormat="1" applyFont="1" applyFill="1" applyBorder="1" applyAlignment="1">
      <alignment horizontal="center" vertical="top" wrapText="1"/>
    </xf>
    <xf numFmtId="0" fontId="15" fillId="0" borderId="17" xfId="17" applyFont="1" applyBorder="1" applyAlignment="1">
      <alignment horizontal="left"/>
    </xf>
    <xf numFmtId="0" fontId="15" fillId="0" borderId="0" xfId="17" applyFont="1" applyAlignment="1">
      <alignment horizontal="left"/>
    </xf>
    <xf numFmtId="182" fontId="130" fillId="0" borderId="17" xfId="17" applyNumberFormat="1" applyFont="1" applyBorder="1" applyAlignment="1">
      <alignment horizontal="left"/>
    </xf>
    <xf numFmtId="182" fontId="130" fillId="0" borderId="0" xfId="17" applyNumberFormat="1" applyFont="1" applyAlignment="1">
      <alignment horizontal="left"/>
    </xf>
    <xf numFmtId="0" fontId="8" fillId="0" borderId="0" xfId="17" applyFont="1" applyAlignment="1">
      <alignment horizontal="right"/>
    </xf>
    <xf numFmtId="182" fontId="8" fillId="0" borderId="0" xfId="17" applyNumberFormat="1" applyFont="1" applyAlignment="1">
      <alignment horizontal="center"/>
    </xf>
    <xf numFmtId="0" fontId="8" fillId="0" borderId="0" xfId="17" applyFont="1" applyAlignment="1">
      <alignment horizontal="center"/>
    </xf>
    <xf numFmtId="38" fontId="139" fillId="0" borderId="11" xfId="31" applyNumberFormat="1" applyFont="1" applyBorder="1" applyAlignment="1" applyProtection="1">
      <alignment horizontal="center" vertical="center"/>
    </xf>
    <xf numFmtId="0" fontId="140" fillId="0" borderId="0" xfId="17" applyFont="1" applyAlignment="1">
      <alignment horizontal="right"/>
    </xf>
    <xf numFmtId="182" fontId="140" fillId="0" borderId="0" xfId="17" applyNumberFormat="1" applyFont="1" applyAlignment="1">
      <alignment horizontal="right"/>
    </xf>
    <xf numFmtId="182" fontId="140" fillId="0" borderId="0" xfId="17" applyNumberFormat="1" applyFont="1" applyAlignment="1">
      <alignment horizontal="center"/>
    </xf>
    <xf numFmtId="182" fontId="140" fillId="0" borderId="40" xfId="17" applyNumberFormat="1" applyFont="1" applyBorder="1" applyAlignment="1">
      <alignment horizontal="center"/>
    </xf>
    <xf numFmtId="182" fontId="173" fillId="0" borderId="56" xfId="17" applyNumberFormat="1" applyFont="1" applyBorder="1" applyAlignment="1">
      <alignment horizontal="center"/>
    </xf>
    <xf numFmtId="38" fontId="139" fillId="0" borderId="0" xfId="31" applyNumberFormat="1" applyFont="1" applyBorder="1" applyAlignment="1" applyProtection="1">
      <alignment horizontal="center" vertical="top"/>
    </xf>
    <xf numFmtId="182" fontId="6" fillId="0" borderId="0" xfId="17" applyNumberFormat="1" applyFont="1" applyAlignment="1">
      <alignment horizontal="right"/>
    </xf>
    <xf numFmtId="0" fontId="6" fillId="0" borderId="0" xfId="17" applyFont="1" applyAlignment="1">
      <alignment horizontal="right"/>
    </xf>
    <xf numFmtId="182" fontId="122" fillId="0" borderId="0" xfId="17" applyNumberFormat="1" applyFont="1" applyAlignment="1">
      <alignment horizontal="center" vertical="center"/>
    </xf>
    <xf numFmtId="0" fontId="15" fillId="0" borderId="0" xfId="17" applyFont="1" applyAlignment="1">
      <alignment horizontal="center"/>
    </xf>
    <xf numFmtId="0" fontId="173" fillId="0" borderId="0" xfId="17" applyFont="1" applyAlignment="1">
      <alignment horizontal="right" vertical="center"/>
    </xf>
    <xf numFmtId="0" fontId="16" fillId="0" borderId="0" xfId="17" applyFont="1" applyAlignment="1">
      <alignment horizontal="center"/>
    </xf>
    <xf numFmtId="0" fontId="133" fillId="0" borderId="0" xfId="17" applyFont="1" applyAlignment="1">
      <alignment horizontal="center"/>
    </xf>
    <xf numFmtId="0" fontId="81" fillId="0" borderId="55" xfId="9" applyFont="1" applyBorder="1" applyAlignment="1">
      <alignment horizontal="center" vertical="center"/>
    </xf>
    <xf numFmtId="0" fontId="81" fillId="0" borderId="56" xfId="9" applyFont="1" applyBorder="1" applyAlignment="1">
      <alignment horizontal="center" vertical="center"/>
    </xf>
    <xf numFmtId="0" fontId="81" fillId="0" borderId="74" xfId="9" applyFont="1" applyBorder="1" applyAlignment="1">
      <alignment horizontal="center" vertical="center"/>
    </xf>
    <xf numFmtId="176" fontId="64" fillId="26" borderId="14" xfId="13" applyNumberFormat="1" applyFont="1" applyFill="1" applyBorder="1" applyAlignment="1" applyProtection="1">
      <alignment horizontal="center" vertical="center"/>
      <protection locked="0"/>
    </xf>
    <xf numFmtId="176" fontId="65" fillId="23" borderId="14" xfId="13" applyNumberFormat="1" applyFont="1" applyFill="1" applyBorder="1" applyAlignment="1">
      <alignment horizontal="center" vertical="center"/>
    </xf>
    <xf numFmtId="0" fontId="55" fillId="23" borderId="9" xfId="13" applyFont="1" applyFill="1" applyBorder="1" applyAlignment="1">
      <alignment horizontal="center" vertical="center"/>
    </xf>
    <xf numFmtId="0" fontId="55" fillId="23" borderId="10" xfId="13" applyFont="1" applyFill="1" applyBorder="1" applyAlignment="1">
      <alignment horizontal="center" vertical="center"/>
    </xf>
    <xf numFmtId="0" fontId="55" fillId="23" borderId="12" xfId="13" applyFont="1" applyFill="1" applyBorder="1" applyAlignment="1">
      <alignment horizontal="center" vertical="center"/>
    </xf>
    <xf numFmtId="0" fontId="55" fillId="23" borderId="16" xfId="13" applyFont="1" applyFill="1" applyBorder="1" applyAlignment="1">
      <alignment horizontal="center" vertical="center"/>
    </xf>
    <xf numFmtId="0" fontId="55" fillId="23" borderId="11" xfId="13" applyFont="1" applyFill="1" applyBorder="1" applyAlignment="1">
      <alignment horizontal="center" vertical="center"/>
    </xf>
    <xf numFmtId="0" fontId="55" fillId="23" borderId="13" xfId="13" applyFont="1" applyFill="1" applyBorder="1" applyAlignment="1">
      <alignment horizontal="center" vertical="center"/>
    </xf>
    <xf numFmtId="0" fontId="53" fillId="23" borderId="16" xfId="13" applyFont="1" applyFill="1" applyBorder="1" applyAlignment="1">
      <alignment horizontal="center" vertical="center"/>
    </xf>
    <xf numFmtId="0" fontId="53" fillId="23" borderId="11" xfId="13" applyFont="1" applyFill="1" applyBorder="1" applyAlignment="1">
      <alignment horizontal="center" vertical="center"/>
    </xf>
    <xf numFmtId="0" fontId="53" fillId="23" borderId="13" xfId="13" applyFont="1" applyFill="1" applyBorder="1" applyAlignment="1">
      <alignment horizontal="center" vertical="center"/>
    </xf>
    <xf numFmtId="0" fontId="52" fillId="23" borderId="9" xfId="13" applyFont="1" applyFill="1" applyBorder="1" applyAlignment="1">
      <alignment horizontal="center" vertical="center"/>
    </xf>
    <xf numFmtId="0" fontId="52" fillId="23" borderId="12" xfId="13" applyFont="1" applyFill="1" applyBorder="1" applyAlignment="1">
      <alignment horizontal="center" vertical="center"/>
    </xf>
    <xf numFmtId="0" fontId="52" fillId="23" borderId="16" xfId="13" applyFont="1" applyFill="1" applyBorder="1" applyAlignment="1">
      <alignment horizontal="center" vertical="center"/>
    </xf>
    <xf numFmtId="0" fontId="52" fillId="23" borderId="13" xfId="13" applyFont="1" applyFill="1" applyBorder="1" applyAlignment="1">
      <alignment horizontal="center" vertical="center"/>
    </xf>
    <xf numFmtId="0" fontId="64" fillId="23" borderId="14" xfId="13" applyFont="1" applyFill="1" applyBorder="1" applyAlignment="1">
      <alignment horizontal="center" vertical="center"/>
    </xf>
    <xf numFmtId="169" fontId="64" fillId="23" borderId="14" xfId="13" applyNumberFormat="1" applyFont="1" applyFill="1" applyBorder="1" applyAlignment="1">
      <alignment horizontal="center" vertical="center"/>
    </xf>
    <xf numFmtId="0" fontId="69" fillId="23" borderId="18" xfId="13" applyFont="1" applyFill="1" applyBorder="1" applyAlignment="1">
      <alignment horizontal="center" vertical="center"/>
    </xf>
    <xf numFmtId="0" fontId="69" fillId="23" borderId="20" xfId="13" applyFont="1" applyFill="1" applyBorder="1" applyAlignment="1">
      <alignment horizontal="center" vertical="center"/>
    </xf>
    <xf numFmtId="176" fontId="69" fillId="23" borderId="18" xfId="13" applyNumberFormat="1" applyFont="1" applyFill="1" applyBorder="1" applyAlignment="1">
      <alignment horizontal="center" vertical="center"/>
    </xf>
    <xf numFmtId="176" fontId="69" fillId="23" borderId="20" xfId="13" applyNumberFormat="1" applyFont="1" applyFill="1" applyBorder="1" applyAlignment="1">
      <alignment horizontal="center" vertical="center"/>
    </xf>
    <xf numFmtId="176" fontId="64" fillId="23" borderId="14" xfId="13" applyNumberFormat="1" applyFont="1" applyFill="1" applyBorder="1" applyAlignment="1">
      <alignment horizontal="center" vertical="center"/>
    </xf>
    <xf numFmtId="0" fontId="60" fillId="0" borderId="83" xfId="9" applyFont="1" applyBorder="1" applyAlignment="1">
      <alignment horizontal="center" vertical="center" wrapText="1"/>
    </xf>
    <xf numFmtId="0" fontId="60" fillId="0" borderId="92" xfId="9" applyFont="1" applyBorder="1" applyAlignment="1">
      <alignment horizontal="center" vertical="center" wrapText="1"/>
    </xf>
    <xf numFmtId="0" fontId="148" fillId="0" borderId="18" xfId="9" applyFont="1" applyBorder="1" applyAlignment="1">
      <alignment horizontal="center" vertical="center"/>
    </xf>
    <xf numFmtId="0" fontId="148" fillId="0" borderId="20" xfId="9" applyFont="1" applyBorder="1" applyAlignment="1">
      <alignment horizontal="center" vertical="center"/>
    </xf>
    <xf numFmtId="0" fontId="146" fillId="0" borderId="0" xfId="9" applyFont="1" applyAlignment="1">
      <alignment horizontal="center" vertical="center"/>
    </xf>
    <xf numFmtId="0" fontId="83" fillId="0" borderId="55" xfId="9" applyFont="1" applyBorder="1" applyAlignment="1">
      <alignment horizontal="right" vertical="center"/>
    </xf>
    <xf numFmtId="0" fontId="83" fillId="0" borderId="56" xfId="9" applyFont="1" applyBorder="1" applyAlignment="1">
      <alignment horizontal="right" vertical="center"/>
    </xf>
    <xf numFmtId="0" fontId="83" fillId="0" borderId="54" xfId="9" applyFont="1" applyBorder="1" applyAlignment="1">
      <alignment horizontal="right" vertical="center"/>
    </xf>
    <xf numFmtId="0" fontId="83" fillId="0" borderId="11" xfId="9" applyFont="1" applyBorder="1" applyAlignment="1">
      <alignment horizontal="right" vertical="center"/>
    </xf>
    <xf numFmtId="196" fontId="79" fillId="26" borderId="56" xfId="9" applyNumberFormat="1" applyFont="1" applyFill="1" applyBorder="1" applyAlignment="1" applyProtection="1">
      <alignment horizontal="center" vertical="center"/>
      <protection locked="0"/>
    </xf>
    <xf numFmtId="196" fontId="79" fillId="26" borderId="98" xfId="9" applyNumberFormat="1" applyFont="1" applyFill="1" applyBorder="1" applyAlignment="1" applyProtection="1">
      <alignment horizontal="center" vertical="center"/>
      <protection locked="0"/>
    </xf>
    <xf numFmtId="196" fontId="79" fillId="26" borderId="11" xfId="9" applyNumberFormat="1" applyFont="1" applyFill="1" applyBorder="1" applyAlignment="1" applyProtection="1">
      <alignment horizontal="center" vertical="center"/>
      <protection locked="0"/>
    </xf>
    <xf numFmtId="196" fontId="79" fillId="26" borderId="13" xfId="9" applyNumberFormat="1" applyFont="1" applyFill="1" applyBorder="1" applyAlignment="1" applyProtection="1">
      <alignment horizontal="center" vertical="center"/>
      <protection locked="0"/>
    </xf>
    <xf numFmtId="0" fontId="83" fillId="0" borderId="100" xfId="9" applyFont="1" applyBorder="1" applyAlignment="1">
      <alignment horizontal="right" vertical="center"/>
    </xf>
    <xf numFmtId="0" fontId="83" fillId="0" borderId="16" xfId="9" applyFont="1" applyBorder="1" applyAlignment="1">
      <alignment horizontal="right" vertical="center"/>
    </xf>
    <xf numFmtId="0" fontId="84" fillId="26" borderId="56" xfId="9" applyFont="1" applyFill="1" applyBorder="1" applyAlignment="1" applyProtection="1">
      <alignment horizontal="center" vertical="center"/>
      <protection locked="0"/>
    </xf>
    <xf numFmtId="0" fontId="84" fillId="26" borderId="98" xfId="9" applyFont="1" applyFill="1" applyBorder="1" applyAlignment="1" applyProtection="1">
      <alignment horizontal="center" vertical="center"/>
      <protection locked="0"/>
    </xf>
    <xf numFmtId="0" fontId="84" fillId="26" borderId="11" xfId="9" applyFont="1" applyFill="1" applyBorder="1" applyAlignment="1" applyProtection="1">
      <alignment horizontal="center" vertical="center"/>
      <protection locked="0"/>
    </xf>
    <xf numFmtId="0" fontId="84" fillId="26" borderId="13" xfId="9" applyFont="1" applyFill="1" applyBorder="1" applyAlignment="1" applyProtection="1">
      <alignment horizontal="center" vertical="center"/>
      <protection locked="0"/>
    </xf>
    <xf numFmtId="0" fontId="84" fillId="0" borderId="100" xfId="9" applyFont="1" applyBorder="1" applyAlignment="1">
      <alignment horizontal="right" vertical="center"/>
    </xf>
    <xf numFmtId="0" fontId="84" fillId="0" borderId="56" xfId="9" applyFont="1" applyBorder="1" applyAlignment="1">
      <alignment horizontal="right" vertical="center"/>
    </xf>
    <xf numFmtId="0" fontId="84" fillId="0" borderId="16" xfId="9" applyFont="1" applyBorder="1" applyAlignment="1">
      <alignment horizontal="right" vertical="center"/>
    </xf>
    <xf numFmtId="0" fontId="84" fillId="0" borderId="11" xfId="9" applyFont="1" applyBorder="1" applyAlignment="1">
      <alignment horizontal="right" vertical="center"/>
    </xf>
    <xf numFmtId="0" fontId="83" fillId="26" borderId="56" xfId="9" applyFont="1" applyFill="1" applyBorder="1" applyAlignment="1" applyProtection="1">
      <alignment horizontal="center" vertical="center"/>
      <protection locked="0"/>
    </xf>
    <xf numFmtId="0" fontId="83" fillId="26" borderId="11" xfId="9" applyFont="1" applyFill="1" applyBorder="1" applyAlignment="1" applyProtection="1">
      <alignment horizontal="center" vertical="center"/>
      <protection locked="0"/>
    </xf>
    <xf numFmtId="176" fontId="84" fillId="26" borderId="56" xfId="9" applyNumberFormat="1" applyFont="1" applyFill="1" applyBorder="1" applyAlignment="1" applyProtection="1">
      <alignment horizontal="center" vertical="center"/>
      <protection locked="0"/>
    </xf>
    <xf numFmtId="176" fontId="84" fillId="26" borderId="74" xfId="9" applyNumberFormat="1" applyFont="1" applyFill="1" applyBorder="1" applyAlignment="1" applyProtection="1">
      <alignment horizontal="center" vertical="center"/>
      <protection locked="0"/>
    </xf>
    <xf numFmtId="176" fontId="84" fillId="26" borderId="11" xfId="9" applyNumberFormat="1" applyFont="1" applyFill="1" applyBorder="1" applyAlignment="1" applyProtection="1">
      <alignment horizontal="center" vertical="center"/>
      <protection locked="0"/>
    </xf>
    <xf numFmtId="176" fontId="84" fillId="26" borderId="94" xfId="9" applyNumberFormat="1" applyFont="1" applyFill="1" applyBorder="1" applyAlignment="1" applyProtection="1">
      <alignment horizontal="center" vertical="center"/>
      <protection locked="0"/>
    </xf>
    <xf numFmtId="0" fontId="76" fillId="0" borderId="9" xfId="9" applyFont="1" applyBorder="1" applyAlignment="1">
      <alignment horizontal="center" vertical="center"/>
    </xf>
    <xf numFmtId="0" fontId="76" fillId="0" borderId="10" xfId="9" applyFont="1" applyBorder="1" applyAlignment="1">
      <alignment horizontal="center" vertical="center"/>
    </xf>
    <xf numFmtId="0" fontId="76" fillId="0" borderId="12" xfId="9" applyFont="1" applyBorder="1" applyAlignment="1">
      <alignment horizontal="center" vertical="center"/>
    </xf>
    <xf numFmtId="0" fontId="75" fillId="0" borderId="14" xfId="9" applyFont="1" applyBorder="1" applyAlignment="1">
      <alignment horizontal="center" vertical="center" wrapText="1"/>
    </xf>
    <xf numFmtId="0" fontId="81" fillId="0" borderId="18" xfId="9" applyFont="1" applyBorder="1" applyAlignment="1">
      <alignment horizontal="center" vertical="center"/>
    </xf>
    <xf numFmtId="0" fontId="81" fillId="0" borderId="19" xfId="9" applyFont="1" applyBorder="1" applyAlignment="1">
      <alignment horizontal="center" vertical="center"/>
    </xf>
    <xf numFmtId="0" fontId="81" fillId="0" borderId="20" xfId="9" applyFont="1" applyBorder="1" applyAlignment="1">
      <alignment horizontal="center" vertical="center"/>
    </xf>
    <xf numFmtId="0" fontId="81" fillId="0" borderId="9" xfId="9" applyFont="1" applyBorder="1" applyAlignment="1">
      <alignment horizontal="center" vertical="center" wrapText="1"/>
    </xf>
    <xf numFmtId="0" fontId="81" fillId="0" borderId="12" xfId="9" applyFont="1" applyBorder="1" applyAlignment="1">
      <alignment horizontal="center" vertical="center" wrapText="1"/>
    </xf>
    <xf numFmtId="0" fontId="81" fillId="0" borderId="16" xfId="9" applyFont="1" applyBorder="1" applyAlignment="1">
      <alignment horizontal="center" vertical="center" wrapText="1"/>
    </xf>
    <xf numFmtId="0" fontId="81" fillId="0" borderId="13" xfId="9" applyFont="1" applyBorder="1" applyAlignment="1">
      <alignment horizontal="center" vertical="center" wrapText="1"/>
    </xf>
    <xf numFmtId="0" fontId="56" fillId="0" borderId="14" xfId="9" applyFont="1" applyBorder="1" applyAlignment="1">
      <alignment horizontal="center" vertical="center" wrapText="1"/>
    </xf>
    <xf numFmtId="3" fontId="64" fillId="0" borderId="36" xfId="9" applyNumberFormat="1" applyFont="1" applyBorder="1" applyAlignment="1">
      <alignment horizontal="center" vertical="center"/>
    </xf>
    <xf numFmtId="3" fontId="64" fillId="0" borderId="21" xfId="9" applyNumberFormat="1" applyFont="1" applyBorder="1" applyAlignment="1">
      <alignment horizontal="center" vertical="center"/>
    </xf>
    <xf numFmtId="3" fontId="83" fillId="0" borderId="36" xfId="9" applyNumberFormat="1" applyFont="1" applyBorder="1" applyAlignment="1">
      <alignment horizontal="center" vertical="center"/>
    </xf>
    <xf numFmtId="3" fontId="83" fillId="0" borderId="21" xfId="9" applyNumberFormat="1" applyFont="1" applyBorder="1" applyAlignment="1">
      <alignment horizontal="center" vertical="center"/>
    </xf>
    <xf numFmtId="3" fontId="64" fillId="0" borderId="101" xfId="9" applyNumberFormat="1" applyFont="1" applyBorder="1" applyAlignment="1">
      <alignment horizontal="center" vertical="center"/>
    </xf>
    <xf numFmtId="3" fontId="83" fillId="0" borderId="101" xfId="9" applyNumberFormat="1" applyFont="1" applyBorder="1" applyAlignment="1">
      <alignment horizontal="center" vertical="center"/>
    </xf>
    <xf numFmtId="3" fontId="148" fillId="0" borderId="70" xfId="9" applyNumberFormat="1" applyFont="1" applyBorder="1" applyAlignment="1">
      <alignment horizontal="center" vertical="center"/>
    </xf>
    <xf numFmtId="3" fontId="64" fillId="0" borderId="70" xfId="9" applyNumberFormat="1" applyFont="1" applyBorder="1" applyAlignment="1">
      <alignment horizontal="center" vertical="center"/>
    </xf>
    <xf numFmtId="3" fontId="57" fillId="0" borderId="73" xfId="9" applyNumberFormat="1" applyFont="1" applyBorder="1" applyAlignment="1">
      <alignment horizontal="center" vertical="center"/>
    </xf>
    <xf numFmtId="3" fontId="57" fillId="0" borderId="41" xfId="9" applyNumberFormat="1" applyFont="1" applyBorder="1" applyAlignment="1">
      <alignment horizontal="center" vertical="center"/>
    </xf>
    <xf numFmtId="10" fontId="149" fillId="0" borderId="55" xfId="9" applyNumberFormat="1" applyFont="1" applyBorder="1" applyAlignment="1">
      <alignment horizontal="left" vertical="center"/>
    </xf>
    <xf numFmtId="10" fontId="149" fillId="0" borderId="56" xfId="9" applyNumberFormat="1" applyFont="1" applyBorder="1" applyAlignment="1">
      <alignment horizontal="left" vertical="center"/>
    </xf>
    <xf numFmtId="10" fontId="149" fillId="0" borderId="98" xfId="9" applyNumberFormat="1" applyFont="1" applyBorder="1" applyAlignment="1">
      <alignment horizontal="left" vertical="center"/>
    </xf>
    <xf numFmtId="0" fontId="79" fillId="0" borderId="100" xfId="9" applyFont="1" applyBorder="1" applyAlignment="1">
      <alignment horizontal="right" vertical="center"/>
    </xf>
    <xf numFmtId="0" fontId="79" fillId="0" borderId="56" xfId="9" applyFont="1" applyBorder="1" applyAlignment="1">
      <alignment horizontal="right" vertical="center"/>
    </xf>
    <xf numFmtId="175" fontId="79" fillId="23" borderId="46" xfId="9" applyNumberFormat="1" applyFont="1" applyFill="1" applyBorder="1" applyAlignment="1">
      <alignment horizontal="center" vertical="center"/>
    </xf>
    <xf numFmtId="175" fontId="79" fillId="23" borderId="45" xfId="9" applyNumberFormat="1" applyFont="1" applyFill="1" applyBorder="1" applyAlignment="1">
      <alignment horizontal="center" vertical="center"/>
    </xf>
    <xf numFmtId="10" fontId="150" fillId="0" borderId="62" xfId="9" applyNumberFormat="1" applyFont="1" applyBorder="1" applyAlignment="1" applyProtection="1">
      <alignment horizontal="center" vertical="center"/>
      <protection locked="0"/>
    </xf>
    <xf numFmtId="10" fontId="150" fillId="0" borderId="0" xfId="9" applyNumberFormat="1" applyFont="1" applyAlignment="1" applyProtection="1">
      <alignment horizontal="center" vertical="center"/>
      <protection locked="0"/>
    </xf>
    <xf numFmtId="10" fontId="150" fillId="0" borderId="8" xfId="9" applyNumberFormat="1" applyFont="1" applyBorder="1" applyAlignment="1" applyProtection="1">
      <alignment horizontal="center" vertical="center"/>
      <protection locked="0"/>
    </xf>
    <xf numFmtId="0" fontId="79" fillId="0" borderId="9" xfId="9" applyFont="1" applyBorder="1" applyAlignment="1">
      <alignment horizontal="right" vertical="center"/>
    </xf>
    <xf numFmtId="0" fontId="79" fillId="0" borderId="10" xfId="9" applyFont="1" applyBorder="1" applyAlignment="1">
      <alignment horizontal="right" vertical="center"/>
    </xf>
    <xf numFmtId="197" fontId="79" fillId="25" borderId="14" xfId="9" applyNumberFormat="1" applyFont="1" applyFill="1" applyBorder="1" applyAlignment="1" applyProtection="1">
      <alignment horizontal="center" vertical="center"/>
      <protection locked="0"/>
    </xf>
    <xf numFmtId="197" fontId="79" fillId="25" borderId="52" xfId="9" applyNumberFormat="1" applyFont="1" applyFill="1" applyBorder="1" applyAlignment="1" applyProtection="1">
      <alignment horizontal="center" vertical="center"/>
      <protection locked="0"/>
    </xf>
    <xf numFmtId="198" fontId="79" fillId="0" borderId="14" xfId="9" applyNumberFormat="1" applyFont="1" applyBorder="1" applyAlignment="1">
      <alignment horizontal="center" vertical="center"/>
    </xf>
    <xf numFmtId="198" fontId="79" fillId="0" borderId="52" xfId="9" applyNumberFormat="1" applyFont="1" applyBorder="1" applyAlignment="1">
      <alignment horizontal="center" vertical="center"/>
    </xf>
    <xf numFmtId="196" fontId="79" fillId="25" borderId="14" xfId="9" applyNumberFormat="1" applyFont="1" applyFill="1" applyBorder="1" applyAlignment="1" applyProtection="1">
      <alignment horizontal="center" vertical="center"/>
      <protection locked="0"/>
    </xf>
    <xf numFmtId="196" fontId="79" fillId="25" borderId="52" xfId="9" applyNumberFormat="1" applyFont="1" applyFill="1" applyBorder="1" applyAlignment="1" applyProtection="1">
      <alignment horizontal="center" vertical="center"/>
      <protection locked="0"/>
    </xf>
    <xf numFmtId="196" fontId="79" fillId="0" borderId="14" xfId="9" applyNumberFormat="1" applyFont="1" applyBorder="1" applyAlignment="1">
      <alignment horizontal="center" vertical="center"/>
    </xf>
    <xf numFmtId="196" fontId="79" fillId="0" borderId="52" xfId="9" applyNumberFormat="1" applyFont="1" applyBorder="1" applyAlignment="1">
      <alignment horizontal="center" vertical="center"/>
    </xf>
    <xf numFmtId="0" fontId="79" fillId="0" borderId="18" xfId="9" applyFont="1" applyBorder="1" applyAlignment="1">
      <alignment horizontal="right" vertical="center"/>
    </xf>
    <xf numFmtId="0" fontId="79" fillId="0" borderId="19" xfId="9" applyFont="1" applyBorder="1" applyAlignment="1">
      <alignment horizontal="right" vertical="center"/>
    </xf>
    <xf numFmtId="0" fontId="79" fillId="0" borderId="20" xfId="9" applyFont="1" applyBorder="1" applyAlignment="1">
      <alignment horizontal="right" vertical="center"/>
    </xf>
    <xf numFmtId="175" fontId="79" fillId="25" borderId="18" xfId="9" applyNumberFormat="1" applyFont="1" applyFill="1" applyBorder="1" applyAlignment="1" applyProtection="1">
      <alignment horizontal="center" vertical="center"/>
      <protection locked="0"/>
    </xf>
    <xf numFmtId="175" fontId="79" fillId="25" borderId="19" xfId="9" applyNumberFormat="1" applyFont="1" applyFill="1" applyBorder="1" applyAlignment="1" applyProtection="1">
      <alignment horizontal="center" vertical="center"/>
      <protection locked="0"/>
    </xf>
    <xf numFmtId="175" fontId="79" fillId="25" borderId="58" xfId="9" applyNumberFormat="1" applyFont="1" applyFill="1" applyBorder="1" applyAlignment="1" applyProtection="1">
      <alignment horizontal="center" vertical="center"/>
      <protection locked="0"/>
    </xf>
    <xf numFmtId="175" fontId="79" fillId="23" borderId="18" xfId="9" applyNumberFormat="1" applyFont="1" applyFill="1" applyBorder="1" applyAlignment="1">
      <alignment horizontal="center" vertical="center"/>
    </xf>
    <xf numFmtId="175" fontId="79" fillId="23" borderId="19" xfId="9" applyNumberFormat="1" applyFont="1" applyFill="1" applyBorder="1" applyAlignment="1">
      <alignment horizontal="center" vertical="center"/>
    </xf>
    <xf numFmtId="175" fontId="79" fillId="23" borderId="58" xfId="9" applyNumberFormat="1" applyFont="1" applyFill="1" applyBorder="1" applyAlignment="1">
      <alignment horizontal="center" vertical="center"/>
    </xf>
    <xf numFmtId="197" fontId="65" fillId="0" borderId="14" xfId="9" applyNumberFormat="1" applyFont="1" applyBorder="1" applyAlignment="1">
      <alignment horizontal="center" vertical="center"/>
    </xf>
    <xf numFmtId="197" fontId="65" fillId="0" borderId="52" xfId="9" applyNumberFormat="1" applyFont="1" applyBorder="1" applyAlignment="1">
      <alignment horizontal="center" vertical="center"/>
    </xf>
    <xf numFmtId="0" fontId="60" fillId="0" borderId="0" xfId="9" applyFont="1" applyAlignment="1">
      <alignment horizontal="center"/>
    </xf>
    <xf numFmtId="199" fontId="79" fillId="25" borderId="18" xfId="9" applyNumberFormat="1" applyFont="1" applyFill="1" applyBorder="1" applyAlignment="1" applyProtection="1">
      <alignment horizontal="center" vertical="center"/>
      <protection locked="0"/>
    </xf>
    <xf numFmtId="199" fontId="79" fillId="25" borderId="19" xfId="9" applyNumberFormat="1" applyFont="1" applyFill="1" applyBorder="1" applyAlignment="1" applyProtection="1">
      <alignment horizontal="center" vertical="center"/>
      <protection locked="0"/>
    </xf>
    <xf numFmtId="199" fontId="79" fillId="25" borderId="58" xfId="9" applyNumberFormat="1" applyFont="1" applyFill="1" applyBorder="1" applyAlignment="1" applyProtection="1">
      <alignment horizontal="center" vertical="center"/>
      <protection locked="0"/>
    </xf>
    <xf numFmtId="10" fontId="150" fillId="0" borderId="59" xfId="9" applyNumberFormat="1" applyFont="1" applyBorder="1" applyAlignment="1">
      <alignment horizontal="center" vertical="center"/>
    </xf>
    <xf numFmtId="10" fontId="150" fillId="0" borderId="40" xfId="9" applyNumberFormat="1" applyFont="1" applyBorder="1" applyAlignment="1">
      <alignment horizontal="center" vertical="center"/>
    </xf>
    <xf numFmtId="10" fontId="150" fillId="0" borderId="99" xfId="9" applyNumberFormat="1" applyFont="1" applyBorder="1" applyAlignment="1">
      <alignment horizontal="center" vertical="center"/>
    </xf>
    <xf numFmtId="0" fontId="79" fillId="0" borderId="72" xfId="9" applyFont="1" applyBorder="1" applyAlignment="1">
      <alignment horizontal="right" vertical="center"/>
    </xf>
    <xf numFmtId="0" fontId="79" fillId="0" borderId="44" xfId="9" applyFont="1" applyBorder="1" applyAlignment="1">
      <alignment horizontal="right" vertical="center"/>
    </xf>
    <xf numFmtId="0" fontId="79" fillId="0" borderId="43" xfId="9" applyFont="1" applyBorder="1" applyAlignment="1">
      <alignment horizontal="right" vertical="center"/>
    </xf>
    <xf numFmtId="196" fontId="110" fillId="0" borderId="38" xfId="9" applyNumberFormat="1" applyFont="1" applyBorder="1" applyAlignment="1">
      <alignment horizontal="center" vertical="center"/>
    </xf>
    <xf numFmtId="196" fontId="110" fillId="0" borderId="37" xfId="9" applyNumberFormat="1" applyFont="1" applyBorder="1" applyAlignment="1">
      <alignment horizontal="center" vertical="center"/>
    </xf>
    <xf numFmtId="3" fontId="148" fillId="0" borderId="36" xfId="9" applyNumberFormat="1" applyFont="1" applyBorder="1" applyAlignment="1">
      <alignment horizontal="center" vertical="center"/>
    </xf>
    <xf numFmtId="3" fontId="148" fillId="0" borderId="14" xfId="9" applyNumberFormat="1" applyFont="1" applyBorder="1" applyAlignment="1">
      <alignment horizontal="center" vertical="center"/>
    </xf>
    <xf numFmtId="167" fontId="23" fillId="0" borderId="11" xfId="0" applyNumberFormat="1" applyFont="1" applyBorder="1" applyAlignment="1" applyProtection="1">
      <alignment horizontal="center"/>
      <protection hidden="1"/>
    </xf>
    <xf numFmtId="0" fontId="0" fillId="18" borderId="19" xfId="0" applyFill="1" applyBorder="1" applyAlignment="1" applyProtection="1">
      <alignment horizontal="center" vertical="center"/>
      <protection hidden="1"/>
    </xf>
    <xf numFmtId="0" fontId="0" fillId="19" borderId="19" xfId="0" applyFill="1" applyBorder="1" applyAlignment="1" applyProtection="1">
      <alignment horizontal="center" vertical="center"/>
      <protection hidden="1"/>
    </xf>
    <xf numFmtId="0" fontId="0" fillId="17" borderId="19" xfId="0" applyFill="1" applyBorder="1" applyAlignment="1" applyProtection="1">
      <alignment horizontal="center" vertical="center"/>
      <protection hidden="1"/>
    </xf>
    <xf numFmtId="0" fontId="5" fillId="0" borderId="11" xfId="0" applyFont="1" applyBorder="1" applyAlignment="1" applyProtection="1">
      <alignment horizontal="center"/>
      <protection hidden="1"/>
    </xf>
    <xf numFmtId="0" fontId="5" fillId="2" borderId="7" xfId="0" applyFont="1" applyFill="1" applyBorder="1" applyAlignment="1" applyProtection="1">
      <alignment horizontal="center" vertical="center" wrapText="1"/>
      <protection hidden="1"/>
    </xf>
    <xf numFmtId="0" fontId="5" fillId="2" borderId="33" xfId="0" applyFont="1" applyFill="1" applyBorder="1" applyAlignment="1" applyProtection="1">
      <alignment horizontal="center" vertical="center" wrapText="1"/>
      <protection hidden="1"/>
    </xf>
    <xf numFmtId="0" fontId="5" fillId="2" borderId="34" xfId="0" applyFont="1" applyFill="1" applyBorder="1" applyAlignment="1" applyProtection="1">
      <alignment horizontal="center" vertical="center" wrapText="1"/>
      <protection hidden="1"/>
    </xf>
    <xf numFmtId="0" fontId="5" fillId="2" borderId="4" xfId="0" applyFont="1" applyFill="1" applyBorder="1" applyAlignment="1" applyProtection="1">
      <alignment horizontal="center" vertical="center" wrapText="1"/>
      <protection hidden="1"/>
    </xf>
    <xf numFmtId="0" fontId="5" fillId="2" borderId="5" xfId="0" applyFont="1" applyFill="1" applyBorder="1" applyAlignment="1" applyProtection="1">
      <alignment horizontal="center" vertical="center" wrapText="1"/>
      <protection hidden="1"/>
    </xf>
    <xf numFmtId="0" fontId="5" fillId="2" borderId="6" xfId="0" applyFont="1" applyFill="1" applyBorder="1" applyAlignment="1" applyProtection="1">
      <alignment horizontal="center" vertical="center" wrapText="1"/>
      <protection hidden="1"/>
    </xf>
    <xf numFmtId="0" fontId="6" fillId="2" borderId="1" xfId="0" applyFont="1" applyFill="1" applyBorder="1" applyAlignment="1" applyProtection="1">
      <alignment horizontal="center" vertical="center"/>
      <protection hidden="1"/>
    </xf>
    <xf numFmtId="0" fontId="15" fillId="26" borderId="1" xfId="0" applyFont="1" applyFill="1" applyBorder="1" applyAlignment="1" applyProtection="1">
      <alignment horizontal="left"/>
      <protection locked="0"/>
    </xf>
    <xf numFmtId="2" fontId="8" fillId="26" borderId="1" xfId="0" applyNumberFormat="1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left" vertical="center"/>
      <protection hidden="1"/>
    </xf>
    <xf numFmtId="3" fontId="8" fillId="26" borderId="1" xfId="0" applyNumberFormat="1" applyFont="1" applyFill="1" applyBorder="1" applyAlignment="1" applyProtection="1">
      <alignment horizontal="center" vertical="center"/>
      <protection locked="0"/>
    </xf>
    <xf numFmtId="0" fontId="8" fillId="26" borderId="1" xfId="0" applyFont="1" applyFill="1" applyBorder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hidden="1"/>
    </xf>
    <xf numFmtId="0" fontId="5" fillId="2" borderId="33" xfId="0" applyFont="1" applyFill="1" applyBorder="1" applyAlignment="1" applyProtection="1">
      <alignment horizontal="center" vertical="center"/>
      <protection hidden="1"/>
    </xf>
    <xf numFmtId="0" fontId="5" fillId="2" borderId="3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2" fontId="8" fillId="26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hidden="1"/>
    </xf>
    <xf numFmtId="166" fontId="5" fillId="2" borderId="0" xfId="0" applyNumberFormat="1" applyFont="1" applyFill="1" applyAlignment="1" applyProtection="1">
      <alignment horizontal="center" vertical="center"/>
      <protection hidden="1"/>
    </xf>
    <xf numFmtId="0" fontId="9" fillId="26" borderId="31" xfId="0" applyFont="1" applyFill="1" applyBorder="1" applyAlignment="1" applyProtection="1">
      <alignment horizontal="left" vertical="center"/>
      <protection locked="0"/>
    </xf>
    <xf numFmtId="0" fontId="9" fillId="26" borderId="35" xfId="0" applyFont="1" applyFill="1" applyBorder="1" applyAlignment="1" applyProtection="1">
      <alignment horizontal="left" vertical="center"/>
      <protection locked="0"/>
    </xf>
    <xf numFmtId="0" fontId="9" fillId="26" borderId="32" xfId="0" applyFont="1" applyFill="1" applyBorder="1" applyAlignment="1" applyProtection="1">
      <alignment horizontal="left" vertical="center"/>
      <protection locked="0"/>
    </xf>
    <xf numFmtId="0" fontId="68" fillId="0" borderId="14" xfId="0" applyFont="1" applyBorder="1" applyAlignment="1" applyProtection="1">
      <alignment horizontal="center" vertical="center" shrinkToFit="1"/>
      <protection hidden="1"/>
    </xf>
    <xf numFmtId="3" fontId="8" fillId="26" borderId="14" xfId="0" applyNumberFormat="1" applyFont="1" applyFill="1" applyBorder="1" applyAlignment="1" applyProtection="1">
      <alignment horizontal="center"/>
      <protection locked="0"/>
    </xf>
    <xf numFmtId="3" fontId="8" fillId="2" borderId="14" xfId="0" applyNumberFormat="1" applyFont="1" applyFill="1" applyBorder="1" applyAlignment="1" applyProtection="1">
      <alignment horizontal="center" vertical="center"/>
      <protection hidden="1"/>
    </xf>
    <xf numFmtId="0" fontId="15" fillId="2" borderId="14" xfId="0" applyFont="1" applyFill="1" applyBorder="1" applyAlignment="1" applyProtection="1">
      <alignment horizontal="center" vertical="center"/>
      <protection hidden="1"/>
    </xf>
    <xf numFmtId="0" fontId="0" fillId="2" borderId="18" xfId="0" applyFill="1" applyBorder="1" applyAlignment="1" applyProtection="1">
      <alignment horizontal="center"/>
      <protection hidden="1"/>
    </xf>
    <xf numFmtId="0" fontId="0" fillId="2" borderId="20" xfId="0" applyFill="1" applyBorder="1" applyAlignment="1" applyProtection="1">
      <alignment horizontal="center"/>
      <protection hidden="1"/>
    </xf>
    <xf numFmtId="175" fontId="51" fillId="26" borderId="14" xfId="0" applyNumberFormat="1" applyFont="1" applyFill="1" applyBorder="1" applyAlignment="1" applyProtection="1">
      <alignment horizontal="center"/>
      <protection hidden="1"/>
    </xf>
    <xf numFmtId="0" fontId="5" fillId="2" borderId="36" xfId="0" applyFont="1" applyFill="1" applyBorder="1" applyAlignment="1" applyProtection="1">
      <alignment horizontal="center" vertical="center" wrapText="1" shrinkToFit="1"/>
      <protection hidden="1"/>
    </xf>
    <xf numFmtId="0" fontId="5" fillId="2" borderId="21" xfId="0" applyFont="1" applyFill="1" applyBorder="1" applyAlignment="1" applyProtection="1">
      <alignment horizontal="center" vertical="center" wrapText="1" shrinkToFit="1"/>
      <protection hidden="1"/>
    </xf>
    <xf numFmtId="0" fontId="41" fillId="2" borderId="36" xfId="0" applyFont="1" applyFill="1" applyBorder="1" applyAlignment="1">
      <alignment horizontal="center" vertical="center" wrapText="1" shrinkToFit="1"/>
    </xf>
    <xf numFmtId="0" fontId="41" fillId="2" borderId="21" xfId="0" applyFont="1" applyFill="1" applyBorder="1" applyAlignment="1">
      <alignment horizontal="center" vertical="center" wrapText="1" shrinkToFit="1"/>
    </xf>
    <xf numFmtId="0" fontId="41" fillId="29" borderId="36" xfId="0" applyFont="1" applyFill="1" applyBorder="1" applyAlignment="1">
      <alignment horizontal="center" vertical="center" wrapText="1" shrinkToFit="1"/>
    </xf>
    <xf numFmtId="0" fontId="41" fillId="29" borderId="21" xfId="0" applyFont="1" applyFill="1" applyBorder="1" applyAlignment="1">
      <alignment horizontal="center" vertical="center" wrapText="1" shrinkToFit="1"/>
    </xf>
    <xf numFmtId="0" fontId="41" fillId="28" borderId="36" xfId="0" applyFont="1" applyFill="1" applyBorder="1" applyAlignment="1">
      <alignment horizontal="center" vertical="center" wrapText="1" shrinkToFit="1"/>
    </xf>
    <xf numFmtId="0" fontId="41" fillId="28" borderId="21" xfId="0" applyFont="1" applyFill="1" applyBorder="1" applyAlignment="1">
      <alignment horizontal="center" vertical="center" wrapText="1" shrinkToFit="1"/>
    </xf>
    <xf numFmtId="174" fontId="51" fillId="26" borderId="36" xfId="0" applyNumberFormat="1" applyFont="1" applyFill="1" applyBorder="1" applyAlignment="1">
      <alignment horizontal="center" vertical="center"/>
    </xf>
    <xf numFmtId="174" fontId="51" fillId="26" borderId="21" xfId="0" applyNumberFormat="1" applyFont="1" applyFill="1" applyBorder="1" applyAlignment="1">
      <alignment horizontal="center" vertical="center"/>
    </xf>
    <xf numFmtId="175" fontId="51" fillId="26" borderId="36" xfId="0" applyNumberFormat="1" applyFont="1" applyFill="1" applyBorder="1" applyAlignment="1">
      <alignment horizontal="center" vertical="center"/>
    </xf>
    <xf numFmtId="175" fontId="51" fillId="26" borderId="21" xfId="0" applyNumberFormat="1" applyFont="1" applyFill="1" applyBorder="1" applyAlignment="1">
      <alignment horizontal="center" vertical="center"/>
    </xf>
    <xf numFmtId="0" fontId="68" fillId="2" borderId="14" xfId="0" applyFont="1" applyFill="1" applyBorder="1" applyAlignment="1" applyProtection="1">
      <alignment horizontal="center" vertical="center" wrapText="1" shrinkToFit="1"/>
      <protection hidden="1"/>
    </xf>
    <xf numFmtId="0" fontId="6" fillId="2" borderId="14" xfId="0" applyFont="1" applyFill="1" applyBorder="1" applyAlignment="1" applyProtection="1">
      <alignment horizontal="center" vertical="center"/>
      <protection hidden="1"/>
    </xf>
    <xf numFmtId="0" fontId="5" fillId="2" borderId="18" xfId="0" applyFont="1" applyFill="1" applyBorder="1" applyAlignment="1" applyProtection="1">
      <alignment horizontal="center" vertical="center"/>
      <protection hidden="1"/>
    </xf>
    <xf numFmtId="0" fontId="5" fillId="2" borderId="19" xfId="0" applyFont="1" applyFill="1" applyBorder="1" applyAlignment="1" applyProtection="1">
      <alignment horizontal="center" vertical="center"/>
      <protection hidden="1"/>
    </xf>
    <xf numFmtId="0" fontId="5" fillId="2" borderId="20" xfId="0" applyFont="1" applyFill="1" applyBorder="1" applyAlignment="1" applyProtection="1">
      <alignment horizontal="center" vertical="center"/>
      <protection hidden="1"/>
    </xf>
    <xf numFmtId="174" fontId="51" fillId="29" borderId="36" xfId="0" applyNumberFormat="1" applyFont="1" applyFill="1" applyBorder="1" applyAlignment="1">
      <alignment horizontal="center" vertical="center"/>
    </xf>
    <xf numFmtId="174" fontId="51" fillId="29" borderId="21" xfId="0" applyNumberFormat="1" applyFont="1" applyFill="1" applyBorder="1" applyAlignment="1">
      <alignment horizontal="center" vertical="center"/>
    </xf>
    <xf numFmtId="175" fontId="51" fillId="29" borderId="36" xfId="0" applyNumberFormat="1" applyFont="1" applyFill="1" applyBorder="1" applyAlignment="1">
      <alignment horizontal="center" vertical="center"/>
    </xf>
    <xf numFmtId="175" fontId="51" fillId="29" borderId="21" xfId="0" applyNumberFormat="1" applyFont="1" applyFill="1" applyBorder="1" applyAlignment="1">
      <alignment horizontal="center" vertical="center"/>
    </xf>
    <xf numFmtId="174" fontId="50" fillId="28" borderId="36" xfId="0" applyNumberFormat="1" applyFont="1" applyFill="1" applyBorder="1" applyAlignment="1">
      <alignment horizontal="center" vertical="center"/>
    </xf>
    <xf numFmtId="174" fontId="50" fillId="28" borderId="21" xfId="0" applyNumberFormat="1" applyFont="1" applyFill="1" applyBorder="1" applyAlignment="1">
      <alignment horizontal="center" vertical="center"/>
    </xf>
    <xf numFmtId="175" fontId="50" fillId="28" borderId="36" xfId="0" applyNumberFormat="1" applyFont="1" applyFill="1" applyBorder="1" applyAlignment="1">
      <alignment horizontal="center" vertical="center"/>
    </xf>
    <xf numFmtId="175" fontId="50" fillId="28" borderId="21" xfId="0" applyNumberFormat="1" applyFont="1" applyFill="1" applyBorder="1" applyAlignment="1">
      <alignment horizontal="center" vertical="center"/>
    </xf>
  </cellXfs>
  <cellStyles count="32">
    <cellStyle name="Comma" xfId="1" builtinId="3"/>
    <cellStyle name="Comma [0] 2" xfId="2" xr:uid="{00000000-0005-0000-0000-000001000000}"/>
    <cellStyle name="Comma 2" xfId="3" xr:uid="{00000000-0005-0000-0000-000002000000}"/>
    <cellStyle name="Comma 3" xfId="31" xr:uid="{00000000-0005-0000-0000-000003000000}"/>
    <cellStyle name="Currency 2" xfId="4" xr:uid="{00000000-0005-0000-0000-000004000000}"/>
    <cellStyle name="Hyperlink 2" xfId="5" xr:uid="{00000000-0005-0000-0000-000005000000}"/>
    <cellStyle name="Normal" xfId="0" builtinId="0"/>
    <cellStyle name="Normal 10" xfId="6" xr:uid="{00000000-0005-0000-0000-000007000000}"/>
    <cellStyle name="Normal 11" xfId="7" xr:uid="{00000000-0005-0000-0000-000008000000}"/>
    <cellStyle name="Normal 12" xfId="8" xr:uid="{00000000-0005-0000-0000-000009000000}"/>
    <cellStyle name="Normal 12 2" xfId="9" xr:uid="{00000000-0005-0000-0000-00000A000000}"/>
    <cellStyle name="Normal 13" xfId="10" xr:uid="{00000000-0005-0000-0000-00000B000000}"/>
    <cellStyle name="Normal 2" xfId="11" xr:uid="{00000000-0005-0000-0000-00000C000000}"/>
    <cellStyle name="Normal 2 2" xfId="12" xr:uid="{00000000-0005-0000-0000-00000D000000}"/>
    <cellStyle name="Normal 2 3" xfId="13" xr:uid="{00000000-0005-0000-0000-00000E000000}"/>
    <cellStyle name="Normal 2 4" xfId="14" xr:uid="{00000000-0005-0000-0000-00000F000000}"/>
    <cellStyle name="Normal 3" xfId="15" xr:uid="{00000000-0005-0000-0000-000010000000}"/>
    <cellStyle name="Normal 3 2" xfId="16" xr:uid="{00000000-0005-0000-0000-000011000000}"/>
    <cellStyle name="Normal 3 3" xfId="17" xr:uid="{00000000-0005-0000-0000-000012000000}"/>
    <cellStyle name="Normal 4" xfId="18" xr:uid="{00000000-0005-0000-0000-000013000000}"/>
    <cellStyle name="Normal 5" xfId="19" xr:uid="{00000000-0005-0000-0000-000014000000}"/>
    <cellStyle name="Normal 6" xfId="20" xr:uid="{00000000-0005-0000-0000-000015000000}"/>
    <cellStyle name="Normal 7" xfId="21" xr:uid="{00000000-0005-0000-0000-000016000000}"/>
    <cellStyle name="Normal 8" xfId="22" xr:uid="{00000000-0005-0000-0000-000017000000}"/>
    <cellStyle name="Normal 9" xfId="23" xr:uid="{00000000-0005-0000-0000-000018000000}"/>
    <cellStyle name="Percent" xfId="24" builtinId="5"/>
    <cellStyle name="Percent 2" xfId="25" xr:uid="{00000000-0005-0000-0000-00001A000000}"/>
    <cellStyle name="桁区切り [0.00]_SOLAR WING GPS LOG.xls グラフ 1" xfId="26" xr:uid="{00000000-0005-0000-0000-00001B000000}"/>
    <cellStyle name="桁区切り_SOLAR WING GPS LOG.xls グラフ 1" xfId="27" xr:uid="{00000000-0005-0000-0000-00001C000000}"/>
    <cellStyle name="標準_damage_prevention_manner" xfId="28" xr:uid="{00000000-0005-0000-0000-00001D000000}"/>
    <cellStyle name="通貨 [0.00]_SOLAR WING GPS LOG.xls グラフ 1" xfId="29" xr:uid="{00000000-0005-0000-0000-00001E000000}"/>
    <cellStyle name="通貨_SOLAR WING GPS LOG.xls グラフ 1" xfId="30" xr:uid="{00000000-0005-0000-0000-00001F000000}"/>
  </cellStyles>
  <dxfs count="2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00CC00"/>
      </font>
    </dxf>
    <dxf>
      <font>
        <color rgb="FFFF0000"/>
      </font>
    </dxf>
    <dxf>
      <font>
        <color rgb="FF00CC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theme="0"/>
      </font>
      <fill>
        <patternFill>
          <bgColor theme="0"/>
        </patternFill>
      </fill>
      <border>
        <vertical/>
        <horizontal/>
      </border>
    </dxf>
    <dxf>
      <font>
        <color rgb="FFFFFFFF"/>
      </font>
      <fill>
        <patternFill>
          <bgColor theme="0"/>
        </patternFill>
      </fill>
      <border>
        <vertical/>
        <horizontal/>
      </border>
    </dxf>
    <dxf>
      <font>
        <color rgb="FFC00000"/>
      </font>
    </dxf>
    <dxf>
      <font>
        <color rgb="FFC00000"/>
      </font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0"/>
        </patternFill>
      </fill>
      <border>
        <vertical/>
        <horizontal/>
      </border>
    </dxf>
    <dxf>
      <font>
        <color rgb="FFC00000"/>
      </font>
    </dxf>
    <dxf>
      <font>
        <color rgb="FFC0000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rimming!A1"/><Relationship Id="rId2" Type="http://schemas.openxmlformats.org/officeDocument/2006/relationships/hyperlink" Target="#final!A1"/><Relationship Id="rId1" Type="http://schemas.openxmlformats.org/officeDocument/2006/relationships/hyperlink" Target="#interim!A1"/><Relationship Id="rId6" Type="http://schemas.openxmlformats.org/officeDocument/2006/relationships/hyperlink" Target="#hydro!A1"/><Relationship Id="rId5" Type="http://schemas.openxmlformats.org/officeDocument/2006/relationships/hyperlink" Target="#data!A1"/><Relationship Id="rId4" Type="http://schemas.openxmlformats.org/officeDocument/2006/relationships/hyperlink" Target="#report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report!A1"/><Relationship Id="rId2" Type="http://schemas.openxmlformats.org/officeDocument/2006/relationships/hyperlink" Target="#final!A1"/><Relationship Id="rId1" Type="http://schemas.openxmlformats.org/officeDocument/2006/relationships/hyperlink" Target="#initial!A1"/><Relationship Id="rId5" Type="http://schemas.openxmlformats.org/officeDocument/2006/relationships/hyperlink" Target="#hydro!A1"/><Relationship Id="rId4" Type="http://schemas.openxmlformats.org/officeDocument/2006/relationships/hyperlink" Target="#data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final!A1"/><Relationship Id="rId2" Type="http://schemas.openxmlformats.org/officeDocument/2006/relationships/hyperlink" Target="#interim!A1"/><Relationship Id="rId1" Type="http://schemas.openxmlformats.org/officeDocument/2006/relationships/hyperlink" Target="#initial!A1"/><Relationship Id="rId6" Type="http://schemas.openxmlformats.org/officeDocument/2006/relationships/hyperlink" Target="#hydro!A1"/><Relationship Id="rId5" Type="http://schemas.openxmlformats.org/officeDocument/2006/relationships/hyperlink" Target="#data!A1"/><Relationship Id="rId4" Type="http://schemas.openxmlformats.org/officeDocument/2006/relationships/hyperlink" Target="#report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trimming!A1"/><Relationship Id="rId2" Type="http://schemas.openxmlformats.org/officeDocument/2006/relationships/hyperlink" Target="#interim!A1"/><Relationship Id="rId1" Type="http://schemas.openxmlformats.org/officeDocument/2006/relationships/hyperlink" Target="#initial!A1"/><Relationship Id="rId6" Type="http://schemas.openxmlformats.org/officeDocument/2006/relationships/hyperlink" Target="#hydro!A1"/><Relationship Id="rId5" Type="http://schemas.openxmlformats.org/officeDocument/2006/relationships/hyperlink" Target="#data!A1"/><Relationship Id="rId4" Type="http://schemas.openxmlformats.org/officeDocument/2006/relationships/hyperlink" Target="#report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final!A1"/><Relationship Id="rId2" Type="http://schemas.openxmlformats.org/officeDocument/2006/relationships/hyperlink" Target="#interim!A1"/><Relationship Id="rId1" Type="http://schemas.openxmlformats.org/officeDocument/2006/relationships/hyperlink" Target="#initial!A1"/><Relationship Id="rId6" Type="http://schemas.openxmlformats.org/officeDocument/2006/relationships/hyperlink" Target="#hydro!A1"/><Relationship Id="rId5" Type="http://schemas.openxmlformats.org/officeDocument/2006/relationships/hyperlink" Target="#data!A1"/><Relationship Id="rId4" Type="http://schemas.openxmlformats.org/officeDocument/2006/relationships/hyperlink" Target="#trimming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trimming!A1"/><Relationship Id="rId2" Type="http://schemas.openxmlformats.org/officeDocument/2006/relationships/hyperlink" Target="#final!A1"/><Relationship Id="rId1" Type="http://schemas.openxmlformats.org/officeDocument/2006/relationships/hyperlink" Target="#initial!A1"/><Relationship Id="rId6" Type="http://schemas.openxmlformats.org/officeDocument/2006/relationships/hyperlink" Target="#interim!A1"/><Relationship Id="rId5" Type="http://schemas.openxmlformats.org/officeDocument/2006/relationships/hyperlink" Target="#hydro!A1"/><Relationship Id="rId4" Type="http://schemas.openxmlformats.org/officeDocument/2006/relationships/hyperlink" Target="#report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trimming!A1"/><Relationship Id="rId2" Type="http://schemas.openxmlformats.org/officeDocument/2006/relationships/hyperlink" Target="#final!A1"/><Relationship Id="rId1" Type="http://schemas.openxmlformats.org/officeDocument/2006/relationships/hyperlink" Target="#initial!A1"/><Relationship Id="rId6" Type="http://schemas.openxmlformats.org/officeDocument/2006/relationships/hyperlink" Target="#interim!A1"/><Relationship Id="rId5" Type="http://schemas.openxmlformats.org/officeDocument/2006/relationships/hyperlink" Target="#data!A1"/><Relationship Id="rId4" Type="http://schemas.openxmlformats.org/officeDocument/2006/relationships/hyperlink" Target="#report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111493</xdr:colOff>
      <xdr:row>3</xdr:row>
      <xdr:rowOff>88900</xdr:rowOff>
    </xdr:from>
    <xdr:to>
      <xdr:col>3</xdr:col>
      <xdr:colOff>982852</xdr:colOff>
      <xdr:row>16</xdr:row>
      <xdr:rowOff>50800</xdr:rowOff>
    </xdr:to>
    <xdr:sp macro="" textlink="">
      <xdr:nvSpPr>
        <xdr:cNvPr id="74656" name="Flowchart: Delay 2">
          <a:extLst>
            <a:ext uri="{FF2B5EF4-FFF2-40B4-BE49-F238E27FC236}">
              <a16:creationId xmlns:a16="http://schemas.microsoft.com/office/drawing/2014/main" id="{00000000-0008-0000-0000-0000A0230100}"/>
            </a:ext>
          </a:extLst>
        </xdr:cNvPr>
        <xdr:cNvSpPr>
          <a:spLocks noChangeArrowheads="1"/>
        </xdr:cNvSpPr>
      </xdr:nvSpPr>
      <xdr:spPr bwMode="auto">
        <a:xfrm rot="-5400000">
          <a:off x="912933" y="2251640"/>
          <a:ext cx="3627120" cy="871359"/>
        </a:xfrm>
        <a:prstGeom prst="flowChartDelay">
          <a:avLst/>
        </a:prstGeom>
        <a:solidFill>
          <a:srgbClr val="3366FF">
            <a:alpha val="78038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4083</xdr:colOff>
      <xdr:row>2</xdr:row>
      <xdr:rowOff>0</xdr:rowOff>
    </xdr:from>
    <xdr:to>
      <xdr:col>13</xdr:col>
      <xdr:colOff>2452</xdr:colOff>
      <xdr:row>3</xdr:row>
      <xdr:rowOff>192021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439150" y="495300"/>
          <a:ext cx="1260000" cy="468000"/>
        </a:xfrm>
        <a:prstGeom prst="roundRect">
          <a:avLst/>
        </a:prstGeom>
        <a:effectLst>
          <a:glow>
            <a:schemeClr val="accent1">
              <a:alpha val="0"/>
            </a:schemeClr>
          </a:glow>
          <a:outerShdw dist="50800" sx="1000" sy="1000" algn="ctr" rotWithShape="0">
            <a:srgbClr val="00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Arial" pitchFamily="34" charset="0"/>
              <a:cs typeface="Arial" pitchFamily="34" charset="0"/>
            </a:rPr>
            <a:t>INTERIM</a:t>
          </a:r>
        </a:p>
      </xdr:txBody>
    </xdr:sp>
    <xdr:clientData/>
  </xdr:twoCellAnchor>
  <xdr:twoCellAnchor>
    <xdr:from>
      <xdr:col>11</xdr:col>
      <xdr:colOff>4082</xdr:colOff>
      <xdr:row>4</xdr:row>
      <xdr:rowOff>21590</xdr:rowOff>
    </xdr:from>
    <xdr:to>
      <xdr:col>13</xdr:col>
      <xdr:colOff>2451</xdr:colOff>
      <xdr:row>5</xdr:row>
      <xdr:rowOff>192950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439149" y="1076325"/>
          <a:ext cx="1260000" cy="468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Arial" pitchFamily="34" charset="0"/>
              <a:cs typeface="Arial" pitchFamily="34" charset="0"/>
            </a:rPr>
            <a:t>FINAL</a:t>
          </a:r>
        </a:p>
      </xdr:txBody>
    </xdr:sp>
    <xdr:clientData/>
  </xdr:twoCellAnchor>
  <xdr:twoCellAnchor>
    <xdr:from>
      <xdr:col>11</xdr:col>
      <xdr:colOff>4083</xdr:colOff>
      <xdr:row>6</xdr:row>
      <xdr:rowOff>1905</xdr:rowOff>
    </xdr:from>
    <xdr:to>
      <xdr:col>13</xdr:col>
      <xdr:colOff>2452</xdr:colOff>
      <xdr:row>7</xdr:row>
      <xdr:rowOff>192713</xdr:rowOff>
    </xdr:to>
    <xdr:sp macro="" textlink="">
      <xdr:nvSpPr>
        <xdr:cNvPr id="5" name="Rounded 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439150" y="1647825"/>
          <a:ext cx="1260000" cy="468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Arial" pitchFamily="34" charset="0"/>
              <a:cs typeface="Arial" pitchFamily="34" charset="0"/>
            </a:rPr>
            <a:t>TRIMMING</a:t>
          </a:r>
        </a:p>
      </xdr:txBody>
    </xdr:sp>
    <xdr:clientData/>
  </xdr:twoCellAnchor>
  <xdr:twoCellAnchor>
    <xdr:from>
      <xdr:col>11</xdr:col>
      <xdr:colOff>4082</xdr:colOff>
      <xdr:row>8</xdr:row>
      <xdr:rowOff>35560</xdr:rowOff>
    </xdr:from>
    <xdr:to>
      <xdr:col>13</xdr:col>
      <xdr:colOff>2451</xdr:colOff>
      <xdr:row>9</xdr:row>
      <xdr:rowOff>212429</xdr:rowOff>
    </xdr:to>
    <xdr:sp macro="" textlink="">
      <xdr:nvSpPr>
        <xdr:cNvPr id="6" name="Rounded 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8439149" y="2247900"/>
          <a:ext cx="1260000" cy="468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Arial" pitchFamily="34" charset="0"/>
              <a:cs typeface="Arial" pitchFamily="34" charset="0"/>
            </a:rPr>
            <a:t>REPORT</a:t>
          </a:r>
        </a:p>
      </xdr:txBody>
    </xdr:sp>
    <xdr:clientData/>
  </xdr:twoCellAnchor>
  <xdr:twoCellAnchor>
    <xdr:from>
      <xdr:col>11</xdr:col>
      <xdr:colOff>4083</xdr:colOff>
      <xdr:row>10</xdr:row>
      <xdr:rowOff>46990</xdr:rowOff>
    </xdr:from>
    <xdr:to>
      <xdr:col>13</xdr:col>
      <xdr:colOff>2452</xdr:colOff>
      <xdr:row>12</xdr:row>
      <xdr:rowOff>3365</xdr:rowOff>
    </xdr:to>
    <xdr:sp macro="" textlink="">
      <xdr:nvSpPr>
        <xdr:cNvPr id="7" name="Rounded Rectang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8439150" y="2828925"/>
          <a:ext cx="1260000" cy="468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Arial" pitchFamily="34" charset="0"/>
              <a:cs typeface="Arial" pitchFamily="34" charset="0"/>
            </a:rPr>
            <a:t>DATA</a:t>
          </a:r>
        </a:p>
      </xdr:txBody>
    </xdr:sp>
    <xdr:clientData/>
  </xdr:twoCellAnchor>
  <xdr:twoCellAnchor>
    <xdr:from>
      <xdr:col>11</xdr:col>
      <xdr:colOff>4082</xdr:colOff>
      <xdr:row>12</xdr:row>
      <xdr:rowOff>110380</xdr:rowOff>
    </xdr:from>
    <xdr:to>
      <xdr:col>13</xdr:col>
      <xdr:colOff>2451</xdr:colOff>
      <xdr:row>14</xdr:row>
      <xdr:rowOff>14042</xdr:rowOff>
    </xdr:to>
    <xdr:sp macro="" textlink="">
      <xdr:nvSpPr>
        <xdr:cNvPr id="8" name="Rounded Rectang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8923964" y="3391462"/>
          <a:ext cx="1378934" cy="4594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100" b="1">
              <a:latin typeface="Arial" pitchFamily="34" charset="0"/>
              <a:cs typeface="Arial" pitchFamily="34" charset="0"/>
            </a:rPr>
            <a:t>HYDROSTATIC</a:t>
          </a:r>
          <a:endParaRPr lang="en-PH" sz="1200" b="1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158755</xdr:colOff>
      <xdr:row>3</xdr:row>
      <xdr:rowOff>107950</xdr:rowOff>
    </xdr:from>
    <xdr:to>
      <xdr:col>3</xdr:col>
      <xdr:colOff>895355</xdr:colOff>
      <xdr:row>16</xdr:row>
      <xdr:rowOff>50800</xdr:rowOff>
    </xdr:to>
    <xdr:sp macro="" textlink="">
      <xdr:nvSpPr>
        <xdr:cNvPr id="75676" name="Flowchart: Delay 2">
          <a:extLst>
            <a:ext uri="{FF2B5EF4-FFF2-40B4-BE49-F238E27FC236}">
              <a16:creationId xmlns:a16="http://schemas.microsoft.com/office/drawing/2014/main" id="{00000000-0008-0000-0100-00009C270100}"/>
            </a:ext>
          </a:extLst>
        </xdr:cNvPr>
        <xdr:cNvSpPr>
          <a:spLocks noChangeArrowheads="1"/>
        </xdr:cNvSpPr>
      </xdr:nvSpPr>
      <xdr:spPr bwMode="auto">
        <a:xfrm rot="-5400000">
          <a:off x="838658" y="2334532"/>
          <a:ext cx="3622222" cy="736600"/>
        </a:xfrm>
        <a:prstGeom prst="flowChartDelay">
          <a:avLst/>
        </a:prstGeom>
        <a:solidFill>
          <a:srgbClr val="0000FF">
            <a:alpha val="78038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191968</xdr:colOff>
      <xdr:row>2</xdr:row>
      <xdr:rowOff>0</xdr:rowOff>
    </xdr:from>
    <xdr:to>
      <xdr:col>12</xdr:col>
      <xdr:colOff>420183</xdr:colOff>
      <xdr:row>3</xdr:row>
      <xdr:rowOff>170316</xdr:rowOff>
    </xdr:to>
    <xdr:sp macro="" textlink="">
      <xdr:nvSpPr>
        <xdr:cNvPr id="5" name="Rounded 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8439150" y="495300"/>
          <a:ext cx="1260000" cy="468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Arial" pitchFamily="34" charset="0"/>
              <a:cs typeface="Arial" pitchFamily="34" charset="0"/>
            </a:rPr>
            <a:t>INITIAL</a:t>
          </a:r>
        </a:p>
      </xdr:txBody>
    </xdr:sp>
    <xdr:clientData/>
  </xdr:twoCellAnchor>
  <xdr:twoCellAnchor>
    <xdr:from>
      <xdr:col>10</xdr:col>
      <xdr:colOff>191967</xdr:colOff>
      <xdr:row>4</xdr:row>
      <xdr:rowOff>21590</xdr:rowOff>
    </xdr:from>
    <xdr:to>
      <xdr:col>12</xdr:col>
      <xdr:colOff>420182</xdr:colOff>
      <xdr:row>5</xdr:row>
      <xdr:rowOff>192950</xdr:rowOff>
    </xdr:to>
    <xdr:sp macro="" textlink="">
      <xdr:nvSpPr>
        <xdr:cNvPr id="6" name="Rounded Rectangl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8439149" y="1076325"/>
          <a:ext cx="1260000" cy="468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Arial" pitchFamily="34" charset="0"/>
              <a:cs typeface="Arial" pitchFamily="34" charset="0"/>
            </a:rPr>
            <a:t>FINAL</a:t>
          </a:r>
        </a:p>
      </xdr:txBody>
    </xdr:sp>
    <xdr:clientData/>
  </xdr:twoCellAnchor>
  <xdr:twoCellAnchor>
    <xdr:from>
      <xdr:col>10</xdr:col>
      <xdr:colOff>191968</xdr:colOff>
      <xdr:row>6</xdr:row>
      <xdr:rowOff>1905</xdr:rowOff>
    </xdr:from>
    <xdr:to>
      <xdr:col>12</xdr:col>
      <xdr:colOff>420183</xdr:colOff>
      <xdr:row>7</xdr:row>
      <xdr:rowOff>192713</xdr:rowOff>
    </xdr:to>
    <xdr:sp macro="" textlink="">
      <xdr:nvSpPr>
        <xdr:cNvPr id="7" name="Rounded Rectangl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8439150" y="1647825"/>
          <a:ext cx="1260000" cy="468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Arial" pitchFamily="34" charset="0"/>
              <a:cs typeface="Arial" pitchFamily="34" charset="0"/>
            </a:rPr>
            <a:t>TRIMMING</a:t>
          </a:r>
        </a:p>
      </xdr:txBody>
    </xdr:sp>
    <xdr:clientData/>
  </xdr:twoCellAnchor>
  <xdr:twoCellAnchor>
    <xdr:from>
      <xdr:col>10</xdr:col>
      <xdr:colOff>191967</xdr:colOff>
      <xdr:row>8</xdr:row>
      <xdr:rowOff>35560</xdr:rowOff>
    </xdr:from>
    <xdr:to>
      <xdr:col>12</xdr:col>
      <xdr:colOff>420182</xdr:colOff>
      <xdr:row>9</xdr:row>
      <xdr:rowOff>219282</xdr:rowOff>
    </xdr:to>
    <xdr:sp macro="" textlink="">
      <xdr:nvSpPr>
        <xdr:cNvPr id="8" name="Rounded Rectangle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8439149" y="2247900"/>
          <a:ext cx="1260000" cy="468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Arial" pitchFamily="34" charset="0"/>
              <a:cs typeface="Arial" pitchFamily="34" charset="0"/>
            </a:rPr>
            <a:t>REPORT</a:t>
          </a:r>
        </a:p>
      </xdr:txBody>
    </xdr:sp>
    <xdr:clientData/>
  </xdr:twoCellAnchor>
  <xdr:twoCellAnchor>
    <xdr:from>
      <xdr:col>10</xdr:col>
      <xdr:colOff>191968</xdr:colOff>
      <xdr:row>10</xdr:row>
      <xdr:rowOff>53340</xdr:rowOff>
    </xdr:from>
    <xdr:to>
      <xdr:col>12</xdr:col>
      <xdr:colOff>420183</xdr:colOff>
      <xdr:row>12</xdr:row>
      <xdr:rowOff>3024</xdr:rowOff>
    </xdr:to>
    <xdr:sp macro="" textlink="">
      <xdr:nvSpPr>
        <xdr:cNvPr id="9" name="Rounded Rectangle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8439150" y="2828925"/>
          <a:ext cx="1260000" cy="468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Arial" pitchFamily="34" charset="0"/>
              <a:cs typeface="Arial" pitchFamily="34" charset="0"/>
            </a:rPr>
            <a:t>DATA</a:t>
          </a:r>
        </a:p>
      </xdr:txBody>
    </xdr:sp>
    <xdr:clientData/>
  </xdr:twoCellAnchor>
  <xdr:twoCellAnchor>
    <xdr:from>
      <xdr:col>10</xdr:col>
      <xdr:colOff>191967</xdr:colOff>
      <xdr:row>12</xdr:row>
      <xdr:rowOff>99995</xdr:rowOff>
    </xdr:from>
    <xdr:to>
      <xdr:col>12</xdr:col>
      <xdr:colOff>420182</xdr:colOff>
      <xdr:row>13</xdr:row>
      <xdr:rowOff>273618</xdr:rowOff>
    </xdr:to>
    <xdr:sp macro="" textlink="">
      <xdr:nvSpPr>
        <xdr:cNvPr id="10" name="Rounded Rectangle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8753261" y="3381077"/>
          <a:ext cx="1259156" cy="45152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100" b="1">
              <a:latin typeface="Arial" pitchFamily="34" charset="0"/>
              <a:cs typeface="Arial" pitchFamily="34" charset="0"/>
            </a:rPr>
            <a:t>HYDROSTATIC</a:t>
          </a:r>
          <a:endParaRPr lang="en-PH" sz="1400" b="1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72390</xdr:colOff>
      <xdr:row>4</xdr:row>
      <xdr:rowOff>34291</xdr:rowOff>
    </xdr:from>
    <xdr:to>
      <xdr:col>8</xdr:col>
      <xdr:colOff>828619</xdr:colOff>
      <xdr:row>5</xdr:row>
      <xdr:rowOff>164808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143500" y="1009651"/>
          <a:ext cx="838199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latin typeface="Arial" pitchFamily="34" charset="0"/>
              <a:cs typeface="Arial" pitchFamily="34" charset="0"/>
            </a:rPr>
            <a:t>INITIAL</a:t>
          </a:r>
        </a:p>
      </xdr:txBody>
    </xdr:sp>
    <xdr:clientData/>
  </xdr:twoCellAnchor>
  <xdr:twoCellAnchor>
    <xdr:from>
      <xdr:col>8</xdr:col>
      <xdr:colOff>74295</xdr:colOff>
      <xdr:row>6</xdr:row>
      <xdr:rowOff>4446</xdr:rowOff>
    </xdr:from>
    <xdr:to>
      <xdr:col>8</xdr:col>
      <xdr:colOff>830524</xdr:colOff>
      <xdr:row>7</xdr:row>
      <xdr:rowOff>111339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153025" y="1485901"/>
          <a:ext cx="838199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latin typeface="Arial" pitchFamily="34" charset="0"/>
              <a:cs typeface="Arial" pitchFamily="34" charset="0"/>
            </a:rPr>
            <a:t>INTERIM</a:t>
          </a:r>
        </a:p>
      </xdr:txBody>
    </xdr:sp>
    <xdr:clientData/>
  </xdr:twoCellAnchor>
  <xdr:twoCellAnchor>
    <xdr:from>
      <xdr:col>8</xdr:col>
      <xdr:colOff>72390</xdr:colOff>
      <xdr:row>7</xdr:row>
      <xdr:rowOff>197485</xdr:rowOff>
    </xdr:from>
    <xdr:to>
      <xdr:col>8</xdr:col>
      <xdr:colOff>828619</xdr:colOff>
      <xdr:row>9</xdr:row>
      <xdr:rowOff>100257</xdr:rowOff>
    </xdr:to>
    <xdr:sp macro="" textlink="">
      <xdr:nvSpPr>
        <xdr:cNvPr id="4" name="Rounded 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143500" y="1962150"/>
          <a:ext cx="838199" cy="38752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latin typeface="Arial" pitchFamily="34" charset="0"/>
              <a:cs typeface="Arial" pitchFamily="34" charset="0"/>
            </a:rPr>
            <a:t>FINAL</a:t>
          </a:r>
        </a:p>
      </xdr:txBody>
    </xdr:sp>
    <xdr:clientData/>
  </xdr:twoCellAnchor>
  <xdr:twoCellAnchor>
    <xdr:from>
      <xdr:col>8</xdr:col>
      <xdr:colOff>74295</xdr:colOff>
      <xdr:row>9</xdr:row>
      <xdr:rowOff>198755</xdr:rowOff>
    </xdr:from>
    <xdr:to>
      <xdr:col>8</xdr:col>
      <xdr:colOff>830524</xdr:colOff>
      <xdr:row>11</xdr:row>
      <xdr:rowOff>72529</xdr:rowOff>
    </xdr:to>
    <xdr:sp macro="" textlink="">
      <xdr:nvSpPr>
        <xdr:cNvPr id="5" name="Rounded 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153025" y="2447925"/>
          <a:ext cx="838199" cy="38752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latin typeface="Arial" pitchFamily="34" charset="0"/>
              <a:cs typeface="Arial" pitchFamily="34" charset="0"/>
            </a:rPr>
            <a:t>REPORT</a:t>
          </a:r>
        </a:p>
      </xdr:txBody>
    </xdr:sp>
    <xdr:clientData/>
  </xdr:twoCellAnchor>
  <xdr:twoCellAnchor>
    <xdr:from>
      <xdr:col>8</xdr:col>
      <xdr:colOff>72390</xdr:colOff>
      <xdr:row>11</xdr:row>
      <xdr:rowOff>172720</xdr:rowOff>
    </xdr:from>
    <xdr:to>
      <xdr:col>8</xdr:col>
      <xdr:colOff>828619</xdr:colOff>
      <xdr:row>13</xdr:row>
      <xdr:rowOff>62945</xdr:rowOff>
    </xdr:to>
    <xdr:sp macro="" textlink="">
      <xdr:nvSpPr>
        <xdr:cNvPr id="6" name="Rounded 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43500" y="2943225"/>
          <a:ext cx="838199" cy="38752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latin typeface="Arial" pitchFamily="34" charset="0"/>
              <a:cs typeface="Arial" pitchFamily="34" charset="0"/>
            </a:rPr>
            <a:t>DATA</a:t>
          </a:r>
        </a:p>
      </xdr:txBody>
    </xdr:sp>
    <xdr:clientData/>
  </xdr:twoCellAnchor>
  <xdr:twoCellAnchor>
    <xdr:from>
      <xdr:col>8</xdr:col>
      <xdr:colOff>74295</xdr:colOff>
      <xdr:row>13</xdr:row>
      <xdr:rowOff>180341</xdr:rowOff>
    </xdr:from>
    <xdr:to>
      <xdr:col>8</xdr:col>
      <xdr:colOff>830524</xdr:colOff>
      <xdr:row>15</xdr:row>
      <xdr:rowOff>35828</xdr:rowOff>
    </xdr:to>
    <xdr:sp macro="" textlink="">
      <xdr:nvSpPr>
        <xdr:cNvPr id="7" name="Rounded 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5153025" y="3448051"/>
          <a:ext cx="838199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1100"/>
            </a:lnSpc>
          </a:pPr>
          <a:r>
            <a:rPr lang="en-PH" sz="1050" b="1">
              <a:latin typeface="Arial" pitchFamily="34" charset="0"/>
              <a:cs typeface="Arial" pitchFamily="34" charset="0"/>
            </a:rPr>
            <a:t>HYDROSTATIC</a:t>
          </a:r>
          <a:endParaRPr lang="en-PH" sz="900" b="1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159124</xdr:colOff>
      <xdr:row>3</xdr:row>
      <xdr:rowOff>101600</xdr:rowOff>
    </xdr:from>
    <xdr:to>
      <xdr:col>3</xdr:col>
      <xdr:colOff>906108</xdr:colOff>
      <xdr:row>16</xdr:row>
      <xdr:rowOff>38100</xdr:rowOff>
    </xdr:to>
    <xdr:sp macro="" textlink="">
      <xdr:nvSpPr>
        <xdr:cNvPr id="76694" name="Flowchart: Delay 2">
          <a:extLst>
            <a:ext uri="{FF2B5EF4-FFF2-40B4-BE49-F238E27FC236}">
              <a16:creationId xmlns:a16="http://schemas.microsoft.com/office/drawing/2014/main" id="{00000000-0008-0000-0300-0000962B0100}"/>
            </a:ext>
          </a:extLst>
        </xdr:cNvPr>
        <xdr:cNvSpPr>
          <a:spLocks noChangeArrowheads="1"/>
        </xdr:cNvSpPr>
      </xdr:nvSpPr>
      <xdr:spPr bwMode="auto">
        <a:xfrm rot="-5400000">
          <a:off x="881866" y="2299858"/>
          <a:ext cx="3568700" cy="746984"/>
        </a:xfrm>
        <a:prstGeom prst="flowChartDelay">
          <a:avLst/>
        </a:prstGeom>
        <a:solidFill>
          <a:srgbClr val="000080">
            <a:alpha val="78038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161924</xdr:colOff>
      <xdr:row>2</xdr:row>
      <xdr:rowOff>0</xdr:rowOff>
    </xdr:from>
    <xdr:to>
      <xdr:col>12</xdr:col>
      <xdr:colOff>567122</xdr:colOff>
      <xdr:row>3</xdr:row>
      <xdr:rowOff>170828</xdr:rowOff>
    </xdr:to>
    <xdr:sp macro="" textlink="">
      <xdr:nvSpPr>
        <xdr:cNvPr id="5" name="Rounded 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8439149" y="476250"/>
          <a:ext cx="1260000" cy="468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Arial" pitchFamily="34" charset="0"/>
              <a:cs typeface="Arial" pitchFamily="34" charset="0"/>
            </a:rPr>
            <a:t>INITIAL</a:t>
          </a:r>
        </a:p>
      </xdr:txBody>
    </xdr:sp>
    <xdr:clientData/>
  </xdr:twoCellAnchor>
  <xdr:twoCellAnchor>
    <xdr:from>
      <xdr:col>10</xdr:col>
      <xdr:colOff>180975</xdr:colOff>
      <xdr:row>4</xdr:row>
      <xdr:rowOff>1905</xdr:rowOff>
    </xdr:from>
    <xdr:to>
      <xdr:col>12</xdr:col>
      <xdr:colOff>548201</xdr:colOff>
      <xdr:row>5</xdr:row>
      <xdr:rowOff>178530</xdr:rowOff>
    </xdr:to>
    <xdr:sp macro="" textlink="">
      <xdr:nvSpPr>
        <xdr:cNvPr id="6" name="Rounded Rectangl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8734425" y="1068705"/>
          <a:ext cx="1253051" cy="4623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Arial" pitchFamily="34" charset="0"/>
              <a:cs typeface="Arial" pitchFamily="34" charset="0"/>
            </a:rPr>
            <a:t>INTERIM</a:t>
          </a:r>
        </a:p>
      </xdr:txBody>
    </xdr:sp>
    <xdr:clientData/>
  </xdr:twoCellAnchor>
  <xdr:twoCellAnchor>
    <xdr:from>
      <xdr:col>10</xdr:col>
      <xdr:colOff>161924</xdr:colOff>
      <xdr:row>6</xdr:row>
      <xdr:rowOff>224</xdr:rowOff>
    </xdr:from>
    <xdr:to>
      <xdr:col>12</xdr:col>
      <xdr:colOff>567122</xdr:colOff>
      <xdr:row>7</xdr:row>
      <xdr:rowOff>179765</xdr:rowOff>
    </xdr:to>
    <xdr:sp macro="" textlink="">
      <xdr:nvSpPr>
        <xdr:cNvPr id="7" name="Rounded Rectangl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8439149" y="1628775"/>
          <a:ext cx="1260000" cy="468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Arial" pitchFamily="34" charset="0"/>
              <a:cs typeface="Arial" pitchFamily="34" charset="0"/>
            </a:rPr>
            <a:t>TRIMMING</a:t>
          </a:r>
        </a:p>
      </xdr:txBody>
    </xdr:sp>
    <xdr:clientData/>
  </xdr:twoCellAnchor>
  <xdr:twoCellAnchor>
    <xdr:from>
      <xdr:col>10</xdr:col>
      <xdr:colOff>171450</xdr:colOff>
      <xdr:row>8</xdr:row>
      <xdr:rowOff>13970</xdr:rowOff>
    </xdr:from>
    <xdr:to>
      <xdr:col>12</xdr:col>
      <xdr:colOff>538676</xdr:colOff>
      <xdr:row>9</xdr:row>
      <xdr:rowOff>205613</xdr:rowOff>
    </xdr:to>
    <xdr:sp macro="" textlink="">
      <xdr:nvSpPr>
        <xdr:cNvPr id="8" name="Rounded Rectangle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8724900" y="2223770"/>
          <a:ext cx="1253051" cy="47739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Arial" pitchFamily="34" charset="0"/>
              <a:cs typeface="Arial" pitchFamily="34" charset="0"/>
            </a:rPr>
            <a:t>REPORT</a:t>
          </a:r>
        </a:p>
      </xdr:txBody>
    </xdr:sp>
    <xdr:clientData/>
  </xdr:twoCellAnchor>
  <xdr:twoCellAnchor>
    <xdr:from>
      <xdr:col>10</xdr:col>
      <xdr:colOff>161924</xdr:colOff>
      <xdr:row>10</xdr:row>
      <xdr:rowOff>12065</xdr:rowOff>
    </xdr:from>
    <xdr:to>
      <xdr:col>12</xdr:col>
      <xdr:colOff>567122</xdr:colOff>
      <xdr:row>11</xdr:row>
      <xdr:rowOff>204651</xdr:rowOff>
    </xdr:to>
    <xdr:sp macro="" textlink="">
      <xdr:nvSpPr>
        <xdr:cNvPr id="9" name="Rounded Rectangle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8439149" y="2809875"/>
          <a:ext cx="1260000" cy="468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Arial" pitchFamily="34" charset="0"/>
              <a:cs typeface="Arial" pitchFamily="34" charset="0"/>
            </a:rPr>
            <a:t>DATA</a:t>
          </a:r>
        </a:p>
      </xdr:txBody>
    </xdr:sp>
    <xdr:clientData/>
  </xdr:twoCellAnchor>
  <xdr:twoCellAnchor>
    <xdr:from>
      <xdr:col>10</xdr:col>
      <xdr:colOff>171450</xdr:colOff>
      <xdr:row>12</xdr:row>
      <xdr:rowOff>39370</xdr:rowOff>
    </xdr:from>
    <xdr:to>
      <xdr:col>12</xdr:col>
      <xdr:colOff>538676</xdr:colOff>
      <xdr:row>13</xdr:row>
      <xdr:rowOff>277503</xdr:rowOff>
    </xdr:to>
    <xdr:sp macro="" textlink="">
      <xdr:nvSpPr>
        <xdr:cNvPr id="10" name="Rounded Rectangle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8724900" y="3392170"/>
          <a:ext cx="1253051" cy="52388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100" b="1">
              <a:latin typeface="Arial" pitchFamily="34" charset="0"/>
              <a:cs typeface="Arial" pitchFamily="34" charset="0"/>
            </a:rPr>
            <a:t>HYDROSTATIC</a:t>
          </a:r>
          <a:endParaRPr lang="en-PH" sz="1200" b="1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232825</xdr:colOff>
      <xdr:row>1</xdr:row>
      <xdr:rowOff>236287</xdr:rowOff>
    </xdr:from>
    <xdr:to>
      <xdr:col>13</xdr:col>
      <xdr:colOff>385781</xdr:colOff>
      <xdr:row>3</xdr:row>
      <xdr:rowOff>5759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7311329" y="428216"/>
          <a:ext cx="839635" cy="38090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100" b="1">
              <a:latin typeface="Arial" pitchFamily="34" charset="0"/>
              <a:cs typeface="Arial" pitchFamily="34" charset="0"/>
            </a:rPr>
            <a:t>INITIAL</a:t>
          </a:r>
        </a:p>
      </xdr:txBody>
    </xdr:sp>
    <xdr:clientData/>
  </xdr:twoCellAnchor>
  <xdr:twoCellAnchor>
    <xdr:from>
      <xdr:col>12</xdr:col>
      <xdr:colOff>221339</xdr:colOff>
      <xdr:row>3</xdr:row>
      <xdr:rowOff>94406</xdr:rowOff>
    </xdr:from>
    <xdr:to>
      <xdr:col>13</xdr:col>
      <xdr:colOff>386555</xdr:colOff>
      <xdr:row>4</xdr:row>
      <xdr:rowOff>180425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7304288" y="885775"/>
          <a:ext cx="839635" cy="36335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100" b="1">
              <a:latin typeface="Arial" pitchFamily="34" charset="0"/>
              <a:cs typeface="Arial" pitchFamily="34" charset="0"/>
            </a:rPr>
            <a:t>INTERIM</a:t>
          </a:r>
        </a:p>
      </xdr:txBody>
    </xdr:sp>
    <xdr:clientData/>
  </xdr:twoCellAnchor>
  <xdr:twoCellAnchor>
    <xdr:from>
      <xdr:col>12</xdr:col>
      <xdr:colOff>232825</xdr:colOff>
      <xdr:row>5</xdr:row>
      <xdr:rowOff>61954</xdr:rowOff>
    </xdr:from>
    <xdr:to>
      <xdr:col>13</xdr:col>
      <xdr:colOff>385781</xdr:colOff>
      <xdr:row>7</xdr:row>
      <xdr:rowOff>3756</xdr:rowOff>
    </xdr:to>
    <xdr:sp macro="" textlink="">
      <xdr:nvSpPr>
        <xdr:cNvPr id="4" name="Rounded 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7311329" y="1321635"/>
          <a:ext cx="839635" cy="36335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100" b="1">
              <a:latin typeface="Arial" pitchFamily="34" charset="0"/>
              <a:cs typeface="Arial" pitchFamily="34" charset="0"/>
            </a:rPr>
            <a:t>FINAL</a:t>
          </a:r>
        </a:p>
      </xdr:txBody>
    </xdr:sp>
    <xdr:clientData/>
  </xdr:twoCellAnchor>
  <xdr:twoCellAnchor>
    <xdr:from>
      <xdr:col>12</xdr:col>
      <xdr:colOff>234067</xdr:colOff>
      <xdr:row>7</xdr:row>
      <xdr:rowOff>73896</xdr:rowOff>
    </xdr:from>
    <xdr:to>
      <xdr:col>13</xdr:col>
      <xdr:colOff>387071</xdr:colOff>
      <xdr:row>9</xdr:row>
      <xdr:rowOff>1838</xdr:rowOff>
    </xdr:to>
    <xdr:sp macro="" textlink="">
      <xdr:nvSpPr>
        <xdr:cNvPr id="5" name="Rounded 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312571" y="1769505"/>
          <a:ext cx="839635" cy="36642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900" b="1">
              <a:latin typeface="Arial" pitchFamily="34" charset="0"/>
              <a:cs typeface="Arial" pitchFamily="34" charset="0"/>
            </a:rPr>
            <a:t>TRIMMING</a:t>
          </a:r>
        </a:p>
      </xdr:txBody>
    </xdr:sp>
    <xdr:clientData/>
  </xdr:twoCellAnchor>
  <xdr:twoCellAnchor>
    <xdr:from>
      <xdr:col>12</xdr:col>
      <xdr:colOff>232825</xdr:colOff>
      <xdr:row>9</xdr:row>
      <xdr:rowOff>59698</xdr:rowOff>
    </xdr:from>
    <xdr:to>
      <xdr:col>13</xdr:col>
      <xdr:colOff>385781</xdr:colOff>
      <xdr:row>10</xdr:row>
      <xdr:rowOff>161506</xdr:rowOff>
    </xdr:to>
    <xdr:sp macro="" textlink="">
      <xdr:nvSpPr>
        <xdr:cNvPr id="6" name="Rounded 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7311329" y="2219174"/>
          <a:ext cx="839635" cy="30337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100" b="1">
              <a:latin typeface="Arial" pitchFamily="34" charset="0"/>
              <a:cs typeface="Arial" pitchFamily="34" charset="0"/>
            </a:rPr>
            <a:t>DATA</a:t>
          </a:r>
        </a:p>
      </xdr:txBody>
    </xdr:sp>
    <xdr:clientData/>
  </xdr:twoCellAnchor>
  <xdr:twoCellAnchor>
    <xdr:from>
      <xdr:col>12</xdr:col>
      <xdr:colOff>234067</xdr:colOff>
      <xdr:row>11</xdr:row>
      <xdr:rowOff>12944</xdr:rowOff>
    </xdr:from>
    <xdr:to>
      <xdr:col>13</xdr:col>
      <xdr:colOff>387071</xdr:colOff>
      <xdr:row>12</xdr:row>
      <xdr:rowOff>227828</xdr:rowOff>
    </xdr:to>
    <xdr:sp macro="" textlink="">
      <xdr:nvSpPr>
        <xdr:cNvPr id="7" name="Rounded 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7701667" y="2618984"/>
          <a:ext cx="838804" cy="32918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200" b="1">
              <a:latin typeface="Arial" pitchFamily="34" charset="0"/>
              <a:cs typeface="Arial" pitchFamily="34" charset="0"/>
            </a:rPr>
            <a:t>HYDROSTATIC</a:t>
          </a:r>
          <a:endParaRPr lang="en-PH" sz="1050" b="1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13</xdr:row>
      <xdr:rowOff>7620</xdr:rowOff>
    </xdr:from>
    <xdr:to>
      <xdr:col>4</xdr:col>
      <xdr:colOff>327660</xdr:colOff>
      <xdr:row>13</xdr:row>
      <xdr:rowOff>160020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1211580" y="2887980"/>
          <a:ext cx="11811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129988</xdr:colOff>
      <xdr:row>13</xdr:row>
      <xdr:rowOff>152848</xdr:rowOff>
    </xdr:from>
    <xdr:to>
      <xdr:col>35</xdr:col>
      <xdr:colOff>472888</xdr:colOff>
      <xdr:row>22</xdr:row>
      <xdr:rowOff>91888</xdr:rowOff>
    </xdr:to>
    <xdr:sp macro="" textlink="">
      <xdr:nvSpPr>
        <xdr:cNvPr id="3" name="Freeform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/>
        </xdr:cNvSpPr>
      </xdr:nvSpPr>
      <xdr:spPr bwMode="auto">
        <a:xfrm>
          <a:off x="757517" y="3568401"/>
          <a:ext cx="14014077" cy="1669228"/>
        </a:xfrm>
        <a:custGeom>
          <a:avLst/>
          <a:gdLst>
            <a:gd name="T0" fmla="*/ 0 w 1002"/>
            <a:gd name="T1" fmla="*/ 2147483646 h 164"/>
            <a:gd name="T2" fmla="*/ 2147483646 w 1002"/>
            <a:gd name="T3" fmla="*/ 2147483646 h 164"/>
            <a:gd name="T4" fmla="*/ 2147483646 w 1002"/>
            <a:gd name="T5" fmla="*/ 0 h 164"/>
            <a:gd name="T6" fmla="*/ 2147483646 w 1002"/>
            <a:gd name="T7" fmla="*/ 2147483646 h 164"/>
            <a:gd name="T8" fmla="*/ 2147483646 w 1002"/>
            <a:gd name="T9" fmla="*/ 2147483646 h 164"/>
            <a:gd name="T10" fmla="*/ 2147483646 w 1002"/>
            <a:gd name="T11" fmla="*/ 2147483646 h 164"/>
            <a:gd name="T12" fmla="*/ 2147483646 w 1002"/>
            <a:gd name="T13" fmla="*/ 2147483646 h 164"/>
            <a:gd name="T14" fmla="*/ 2147483646 w 1002"/>
            <a:gd name="T15" fmla="*/ 2147483646 h 164"/>
            <a:gd name="T16" fmla="*/ 2147483646 w 1002"/>
            <a:gd name="T17" fmla="*/ 2147483646 h 164"/>
            <a:gd name="T18" fmla="*/ 2147483646 w 1002"/>
            <a:gd name="T19" fmla="*/ 2147483646 h 164"/>
            <a:gd name="T20" fmla="*/ 2147483646 w 1002"/>
            <a:gd name="T21" fmla="*/ 2147483646 h 164"/>
            <a:gd name="T22" fmla="*/ 2147483646 w 1002"/>
            <a:gd name="T23" fmla="*/ 2147483646 h 164"/>
            <a:gd name="T24" fmla="*/ 0 w 1002"/>
            <a:gd name="T25" fmla="*/ 2147483646 h 164"/>
            <a:gd name="T26" fmla="*/ 0 w 1002"/>
            <a:gd name="T27" fmla="*/ 2147483646 h 164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w 1002"/>
            <a:gd name="T43" fmla="*/ 0 h 164"/>
            <a:gd name="T44" fmla="*/ 1002 w 1002"/>
            <a:gd name="T45" fmla="*/ 164 h 164"/>
          </a:gdLst>
          <a:ahLst/>
          <a:cxnLst>
            <a:cxn ang="T28">
              <a:pos x="T0" y="T1"/>
            </a:cxn>
            <a:cxn ang="T29">
              <a:pos x="T2" y="T3"/>
            </a:cxn>
            <a:cxn ang="T30">
              <a:pos x="T4" y="T5"/>
            </a:cxn>
            <a:cxn ang="T31">
              <a:pos x="T6" y="T7"/>
            </a:cxn>
            <a:cxn ang="T32">
              <a:pos x="T8" y="T9"/>
            </a:cxn>
            <a:cxn ang="T33">
              <a:pos x="T10" y="T11"/>
            </a:cxn>
            <a:cxn ang="T34">
              <a:pos x="T12" y="T13"/>
            </a:cxn>
            <a:cxn ang="T35">
              <a:pos x="T14" y="T15"/>
            </a:cxn>
            <a:cxn ang="T36">
              <a:pos x="T16" y="T17"/>
            </a:cxn>
            <a:cxn ang="T37">
              <a:pos x="T18" y="T19"/>
            </a:cxn>
            <a:cxn ang="T38">
              <a:pos x="T20" y="T21"/>
            </a:cxn>
            <a:cxn ang="T39">
              <a:pos x="T22" y="T23"/>
            </a:cxn>
            <a:cxn ang="T40">
              <a:pos x="T24" y="T25"/>
            </a:cxn>
            <a:cxn ang="T41">
              <a:pos x="T26" y="T27"/>
            </a:cxn>
          </a:cxnLst>
          <a:rect l="T42" t="T43" r="T44" b="T45"/>
          <a:pathLst>
            <a:path w="1002" h="164">
              <a:moveTo>
                <a:pt x="0" y="8"/>
              </a:moveTo>
              <a:lnTo>
                <a:pt x="754" y="8"/>
              </a:lnTo>
              <a:lnTo>
                <a:pt x="998" y="0"/>
              </a:lnTo>
              <a:cubicBezTo>
                <a:pt x="998" y="0"/>
                <a:pt x="960" y="44"/>
                <a:pt x="953" y="57"/>
              </a:cubicBezTo>
              <a:cubicBezTo>
                <a:pt x="945" y="70"/>
                <a:pt x="948" y="77"/>
                <a:pt x="951" y="77"/>
              </a:cubicBezTo>
              <a:cubicBezTo>
                <a:pt x="955" y="84"/>
                <a:pt x="967" y="80"/>
                <a:pt x="978" y="86"/>
              </a:cubicBezTo>
              <a:cubicBezTo>
                <a:pt x="989" y="92"/>
                <a:pt x="1002" y="109"/>
                <a:pt x="995" y="129"/>
              </a:cubicBezTo>
              <a:cubicBezTo>
                <a:pt x="987" y="149"/>
                <a:pt x="977" y="152"/>
                <a:pt x="921" y="160"/>
              </a:cubicBezTo>
              <a:cubicBezTo>
                <a:pt x="921" y="160"/>
                <a:pt x="109" y="164"/>
                <a:pt x="97" y="160"/>
              </a:cubicBezTo>
              <a:cubicBezTo>
                <a:pt x="85" y="156"/>
                <a:pt x="69" y="146"/>
                <a:pt x="66" y="142"/>
              </a:cubicBezTo>
              <a:lnTo>
                <a:pt x="66" y="136"/>
              </a:lnTo>
              <a:cubicBezTo>
                <a:pt x="75" y="127"/>
                <a:pt x="106" y="126"/>
                <a:pt x="81" y="109"/>
              </a:cubicBezTo>
              <a:lnTo>
                <a:pt x="0" y="76"/>
              </a:lnTo>
              <a:lnTo>
                <a:pt x="0" y="8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245250</xdr:colOff>
      <xdr:row>18</xdr:row>
      <xdr:rowOff>95476</xdr:rowOff>
    </xdr:from>
    <xdr:to>
      <xdr:col>2</xdr:col>
      <xdr:colOff>107193</xdr:colOff>
      <xdr:row>22</xdr:row>
      <xdr:rowOff>15242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pSpPr>
          <a:grpSpLocks/>
        </xdr:cNvGrpSpPr>
      </xdr:nvGrpSpPr>
      <xdr:grpSpPr bwMode="auto">
        <a:xfrm>
          <a:off x="871179" y="4504190"/>
          <a:ext cx="419835" cy="654552"/>
          <a:chOff x="42" y="311"/>
          <a:chExt cx="44" cy="68"/>
        </a:xfrm>
      </xdr:grpSpPr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42" y="316"/>
            <a:ext cx="40" cy="6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Freeform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>
            <a:spLocks/>
          </xdr:cNvSpPr>
        </xdr:nvSpPr>
        <xdr:spPr bwMode="auto">
          <a:xfrm>
            <a:off x="62" y="311"/>
            <a:ext cx="24" cy="43"/>
          </a:xfrm>
          <a:custGeom>
            <a:avLst/>
            <a:gdLst>
              <a:gd name="T0" fmla="*/ 12 w 24"/>
              <a:gd name="T1" fmla="*/ 0 h 43"/>
              <a:gd name="T2" fmla="*/ 0 w 24"/>
              <a:gd name="T3" fmla="*/ 0 h 43"/>
              <a:gd name="T4" fmla="*/ 0 w 24"/>
              <a:gd name="T5" fmla="*/ 4 h 43"/>
              <a:gd name="T6" fmla="*/ 12 w 24"/>
              <a:gd name="T7" fmla="*/ 5 h 43"/>
              <a:gd name="T8" fmla="*/ 12 w 24"/>
              <a:gd name="T9" fmla="*/ 37 h 43"/>
              <a:gd name="T10" fmla="*/ 2 w 24"/>
              <a:gd name="T11" fmla="*/ 37 h 43"/>
              <a:gd name="T12" fmla="*/ 2 w 24"/>
              <a:gd name="T13" fmla="*/ 43 h 43"/>
              <a:gd name="T14" fmla="*/ 21 w 24"/>
              <a:gd name="T15" fmla="*/ 43 h 43"/>
              <a:gd name="T16" fmla="*/ 24 w 24"/>
              <a:gd name="T17" fmla="*/ 4 h 43"/>
              <a:gd name="T18" fmla="*/ 12 w 24"/>
              <a:gd name="T19" fmla="*/ 0 h 43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4"/>
              <a:gd name="T31" fmla="*/ 0 h 43"/>
              <a:gd name="T32" fmla="*/ 24 w 24"/>
              <a:gd name="T33" fmla="*/ 43 h 43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4" h="43">
                <a:moveTo>
                  <a:pt x="12" y="0"/>
                </a:moveTo>
                <a:lnTo>
                  <a:pt x="0" y="0"/>
                </a:lnTo>
                <a:lnTo>
                  <a:pt x="0" y="4"/>
                </a:lnTo>
                <a:lnTo>
                  <a:pt x="12" y="5"/>
                </a:lnTo>
                <a:lnTo>
                  <a:pt x="12" y="37"/>
                </a:lnTo>
                <a:lnTo>
                  <a:pt x="2" y="37"/>
                </a:lnTo>
                <a:lnTo>
                  <a:pt x="2" y="43"/>
                </a:lnTo>
                <a:lnTo>
                  <a:pt x="21" y="43"/>
                </a:lnTo>
                <a:lnTo>
                  <a:pt x="24" y="4"/>
                </a:lnTo>
                <a:lnTo>
                  <a:pt x="12" y="0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3</xdr:col>
      <xdr:colOff>22356</xdr:colOff>
      <xdr:row>19</xdr:row>
      <xdr:rowOff>186915</xdr:rowOff>
    </xdr:from>
    <xdr:to>
      <xdr:col>3</xdr:col>
      <xdr:colOff>68076</xdr:colOff>
      <xdr:row>22</xdr:row>
      <xdr:rowOff>42135</xdr:rowOff>
    </xdr:to>
    <xdr:sp macro="" textlink="">
      <xdr:nvSpPr>
        <xdr:cNvPr id="7" name="Freeform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>
          <a:spLocks/>
        </xdr:cNvSpPr>
      </xdr:nvSpPr>
      <xdr:spPr bwMode="auto">
        <a:xfrm>
          <a:off x="1636003" y="4785809"/>
          <a:ext cx="45720" cy="402067"/>
        </a:xfrm>
        <a:custGeom>
          <a:avLst/>
          <a:gdLst>
            <a:gd name="T0" fmla="*/ 2147483646 w 5"/>
            <a:gd name="T1" fmla="*/ 0 h 42"/>
            <a:gd name="T2" fmla="*/ 0 w 5"/>
            <a:gd name="T3" fmla="*/ 2147483646 h 42"/>
            <a:gd name="T4" fmla="*/ 2147483646 w 5"/>
            <a:gd name="T5" fmla="*/ 2147483646 h 42"/>
            <a:gd name="T6" fmla="*/ 2147483646 w 5"/>
            <a:gd name="T7" fmla="*/ 2147483646 h 42"/>
            <a:gd name="T8" fmla="*/ 2147483646 w 5"/>
            <a:gd name="T9" fmla="*/ 0 h 42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5"/>
            <a:gd name="T16" fmla="*/ 0 h 42"/>
            <a:gd name="T17" fmla="*/ 5 w 5"/>
            <a:gd name="T18" fmla="*/ 42 h 42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5" h="42">
              <a:moveTo>
                <a:pt x="1" y="0"/>
              </a:moveTo>
              <a:cubicBezTo>
                <a:pt x="1" y="0"/>
                <a:pt x="0" y="13"/>
                <a:pt x="0" y="19"/>
              </a:cubicBezTo>
              <a:cubicBezTo>
                <a:pt x="0" y="25"/>
                <a:pt x="2" y="39"/>
                <a:pt x="1" y="39"/>
              </a:cubicBezTo>
              <a:cubicBezTo>
                <a:pt x="1" y="42"/>
                <a:pt x="5" y="25"/>
                <a:pt x="5" y="19"/>
              </a:cubicBezTo>
              <a:cubicBezTo>
                <a:pt x="5" y="13"/>
                <a:pt x="2" y="4"/>
                <a:pt x="1" y="0"/>
              </a:cubicBez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351681</xdr:colOff>
      <xdr:row>20</xdr:row>
      <xdr:rowOff>159125</xdr:rowOff>
    </xdr:from>
    <xdr:to>
      <xdr:col>2</xdr:col>
      <xdr:colOff>420261</xdr:colOff>
      <xdr:row>21</xdr:row>
      <xdr:rowOff>75305</xdr:rowOff>
    </xdr:to>
    <xdr:sp macro="" textlink="">
      <xdr:nvSpPr>
        <xdr:cNvPr id="8" name="Freeform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>
          <a:spLocks/>
        </xdr:cNvSpPr>
      </xdr:nvSpPr>
      <xdr:spPr bwMode="auto">
        <a:xfrm>
          <a:off x="1543987" y="4946278"/>
          <a:ext cx="68580" cy="95474"/>
        </a:xfrm>
        <a:custGeom>
          <a:avLst/>
          <a:gdLst>
            <a:gd name="T0" fmla="*/ 2147483646 w 12"/>
            <a:gd name="T1" fmla="*/ 2147483646 h 10"/>
            <a:gd name="T2" fmla="*/ 2147483646 w 12"/>
            <a:gd name="T3" fmla="*/ 2147483646 h 10"/>
            <a:gd name="T4" fmla="*/ 2147483646 w 12"/>
            <a:gd name="T5" fmla="*/ 2147483646 h 10"/>
            <a:gd name="T6" fmla="*/ 2147483646 w 12"/>
            <a:gd name="T7" fmla="*/ 2147483646 h 10"/>
            <a:gd name="T8" fmla="*/ 0 60000 65536"/>
            <a:gd name="T9" fmla="*/ 0 60000 65536"/>
            <a:gd name="T10" fmla="*/ 0 60000 65536"/>
            <a:gd name="T11" fmla="*/ 0 60000 65536"/>
            <a:gd name="T12" fmla="*/ 0 w 12"/>
            <a:gd name="T13" fmla="*/ 0 h 10"/>
            <a:gd name="T14" fmla="*/ 12 w 12"/>
            <a:gd name="T15" fmla="*/ 10 h 1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2" h="10">
              <a:moveTo>
                <a:pt x="12" y="1"/>
              </a:moveTo>
              <a:cubicBezTo>
                <a:pt x="10" y="1"/>
                <a:pt x="4" y="0"/>
                <a:pt x="2" y="1"/>
              </a:cubicBezTo>
              <a:cubicBezTo>
                <a:pt x="0" y="2"/>
                <a:pt x="0" y="8"/>
                <a:pt x="2" y="9"/>
              </a:cubicBezTo>
              <a:cubicBezTo>
                <a:pt x="4" y="10"/>
                <a:pt x="10" y="9"/>
                <a:pt x="12" y="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397143</xdr:colOff>
      <xdr:row>20</xdr:row>
      <xdr:rowOff>159125</xdr:rowOff>
    </xdr:from>
    <xdr:to>
      <xdr:col>3</xdr:col>
      <xdr:colOff>29142</xdr:colOff>
      <xdr:row>21</xdr:row>
      <xdr:rowOff>82925</xdr:rowOff>
    </xdr:to>
    <xdr:sp macro="" textlink="">
      <xdr:nvSpPr>
        <xdr:cNvPr id="9" name="Freeform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>
          <a:spLocks/>
        </xdr:cNvSpPr>
      </xdr:nvSpPr>
      <xdr:spPr bwMode="auto">
        <a:xfrm>
          <a:off x="1589449" y="4946278"/>
          <a:ext cx="53340" cy="103094"/>
        </a:xfrm>
        <a:custGeom>
          <a:avLst/>
          <a:gdLst>
            <a:gd name="T0" fmla="*/ 0 w 4"/>
            <a:gd name="T1" fmla="*/ 0 h 11"/>
            <a:gd name="T2" fmla="*/ 2147483646 w 4"/>
            <a:gd name="T3" fmla="*/ 0 h 11"/>
            <a:gd name="T4" fmla="*/ 2147483646 w 4"/>
            <a:gd name="T5" fmla="*/ 2147483646 h 11"/>
            <a:gd name="T6" fmla="*/ 0 w 4"/>
            <a:gd name="T7" fmla="*/ 2147483646 h 11"/>
            <a:gd name="T8" fmla="*/ 0 w 4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4"/>
            <a:gd name="T16" fmla="*/ 0 h 11"/>
            <a:gd name="T17" fmla="*/ 4 w 4"/>
            <a:gd name="T18" fmla="*/ 11 h 11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4" h="11">
              <a:moveTo>
                <a:pt x="0" y="0"/>
              </a:moveTo>
              <a:lnTo>
                <a:pt x="4" y="0"/>
              </a:lnTo>
              <a:lnTo>
                <a:pt x="4" y="11"/>
              </a:lnTo>
              <a:lnTo>
                <a:pt x="0" y="11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13</xdr:row>
      <xdr:rowOff>114300</xdr:rowOff>
    </xdr:from>
    <xdr:to>
      <xdr:col>30</xdr:col>
      <xdr:colOff>289560</xdr:colOff>
      <xdr:row>14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>
          <a:spLocks noChangeArrowheads="1"/>
        </xdr:cNvSpPr>
      </xdr:nvSpPr>
      <xdr:spPr bwMode="auto">
        <a:xfrm>
          <a:off x="76200" y="2994660"/>
          <a:ext cx="9867900" cy="6096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13</xdr:row>
      <xdr:rowOff>129540</xdr:rowOff>
    </xdr:from>
    <xdr:to>
      <xdr:col>30</xdr:col>
      <xdr:colOff>289560</xdr:colOff>
      <xdr:row>13</xdr:row>
      <xdr:rowOff>129540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>
          <a:spLocks noChangeShapeType="1"/>
        </xdr:cNvSpPr>
      </xdr:nvSpPr>
      <xdr:spPr bwMode="auto">
        <a:xfrm>
          <a:off x="76200" y="3009900"/>
          <a:ext cx="98679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13</xdr:row>
      <xdr:rowOff>144780</xdr:rowOff>
    </xdr:from>
    <xdr:to>
      <xdr:col>30</xdr:col>
      <xdr:colOff>289560</xdr:colOff>
      <xdr:row>13</xdr:row>
      <xdr:rowOff>144780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>
          <a:spLocks noChangeShapeType="1"/>
        </xdr:cNvSpPr>
      </xdr:nvSpPr>
      <xdr:spPr bwMode="auto">
        <a:xfrm>
          <a:off x="76200" y="3025140"/>
          <a:ext cx="9867900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548640</xdr:colOff>
      <xdr:row>13</xdr:row>
      <xdr:rowOff>114300</xdr:rowOff>
    </xdr:from>
    <xdr:to>
      <xdr:col>13</xdr:col>
      <xdr:colOff>548640</xdr:colOff>
      <xdr:row>14</xdr:row>
      <xdr:rowOff>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>
          <a:spLocks noChangeShapeType="1"/>
        </xdr:cNvSpPr>
      </xdr:nvSpPr>
      <xdr:spPr bwMode="auto">
        <a:xfrm>
          <a:off x="3352800" y="2994660"/>
          <a:ext cx="0" cy="6096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274320</xdr:colOff>
      <xdr:row>13</xdr:row>
      <xdr:rowOff>121920</xdr:rowOff>
    </xdr:from>
    <xdr:to>
      <xdr:col>24</xdr:col>
      <xdr:colOff>274320</xdr:colOff>
      <xdr:row>14</xdr:row>
      <xdr:rowOff>0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>
          <a:spLocks noChangeShapeType="1"/>
        </xdr:cNvSpPr>
      </xdr:nvSpPr>
      <xdr:spPr bwMode="auto">
        <a:xfrm>
          <a:off x="7459980" y="3002280"/>
          <a:ext cx="0" cy="5334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17875</xdr:colOff>
      <xdr:row>12</xdr:row>
      <xdr:rowOff>11052</xdr:rowOff>
    </xdr:from>
    <xdr:to>
      <xdr:col>35</xdr:col>
      <xdr:colOff>529889</xdr:colOff>
      <xdr:row>14</xdr:row>
      <xdr:rowOff>82768</xdr:rowOff>
    </xdr:to>
    <xdr:sp macro="" textlink="">
      <xdr:nvSpPr>
        <xdr:cNvPr id="15" name="Freeform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>
          <a:spLocks/>
        </xdr:cNvSpPr>
      </xdr:nvSpPr>
      <xdr:spPr bwMode="auto">
        <a:xfrm rot="175632">
          <a:off x="13321499" y="3202487"/>
          <a:ext cx="1507096" cy="475128"/>
        </a:xfrm>
        <a:custGeom>
          <a:avLst/>
          <a:gdLst>
            <a:gd name="T0" fmla="*/ 0 w 92"/>
            <a:gd name="T1" fmla="*/ 2147483646 h 11"/>
            <a:gd name="T2" fmla="*/ 0 w 92"/>
            <a:gd name="T3" fmla="*/ 2147483646 h 11"/>
            <a:gd name="T4" fmla="*/ 2147483646 w 92"/>
            <a:gd name="T5" fmla="*/ 2147483646 h 11"/>
            <a:gd name="T6" fmla="*/ 2147483646 w 92"/>
            <a:gd name="T7" fmla="*/ 0 h 11"/>
            <a:gd name="T8" fmla="*/ 0 w 92"/>
            <a:gd name="T9" fmla="*/ 2147483646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92"/>
            <a:gd name="T16" fmla="*/ 0 h 11"/>
            <a:gd name="T17" fmla="*/ 92 w 92"/>
            <a:gd name="T18" fmla="*/ 11 h 11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92" h="11">
              <a:moveTo>
                <a:pt x="0" y="4"/>
              </a:moveTo>
              <a:lnTo>
                <a:pt x="0" y="11"/>
              </a:lnTo>
              <a:lnTo>
                <a:pt x="86" y="8"/>
              </a:lnTo>
              <a:lnTo>
                <a:pt x="92" y="0"/>
              </a:lnTo>
              <a:lnTo>
                <a:pt x="0" y="4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289566</xdr:colOff>
      <xdr:row>13</xdr:row>
      <xdr:rowOff>69658</xdr:rowOff>
    </xdr:from>
    <xdr:to>
      <xdr:col>33</xdr:col>
      <xdr:colOff>33118</xdr:colOff>
      <xdr:row>14</xdr:row>
      <xdr:rowOff>62487</xdr:rowOff>
    </xdr:to>
    <xdr:sp macro="" textlink="">
      <xdr:nvSpPr>
        <xdr:cNvPr id="16" name="Freeform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>
          <a:spLocks/>
        </xdr:cNvSpPr>
      </xdr:nvSpPr>
      <xdr:spPr bwMode="auto">
        <a:xfrm rot="156253">
          <a:off x="12436742" y="3485211"/>
          <a:ext cx="900000" cy="172123"/>
        </a:xfrm>
        <a:custGeom>
          <a:avLst/>
          <a:gdLst>
            <a:gd name="T0" fmla="*/ 0 w 156"/>
            <a:gd name="T1" fmla="*/ 2147483646 h 12"/>
            <a:gd name="T2" fmla="*/ 2147483646 w 156"/>
            <a:gd name="T3" fmla="*/ 0 h 12"/>
            <a:gd name="T4" fmla="*/ 2147483646 w 156"/>
            <a:gd name="T5" fmla="*/ 2147483646 h 12"/>
            <a:gd name="T6" fmla="*/ 0 w 156"/>
            <a:gd name="T7" fmla="*/ 2147483646 h 12"/>
            <a:gd name="T8" fmla="*/ 0 w 156"/>
            <a:gd name="T9" fmla="*/ 2147483646 h 12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56"/>
            <a:gd name="T16" fmla="*/ 0 h 12"/>
            <a:gd name="T17" fmla="*/ 156 w 156"/>
            <a:gd name="T18" fmla="*/ 12 h 12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56" h="12">
              <a:moveTo>
                <a:pt x="0" y="5"/>
              </a:moveTo>
              <a:lnTo>
                <a:pt x="156" y="0"/>
              </a:lnTo>
              <a:lnTo>
                <a:pt x="156" y="7"/>
              </a:lnTo>
              <a:lnTo>
                <a:pt x="0" y="12"/>
              </a:lnTo>
              <a:lnTo>
                <a:pt x="0" y="5"/>
              </a:lnTo>
              <a:close/>
            </a:path>
          </a:pathLst>
        </a:custGeom>
        <a:solidFill>
          <a:srgbClr val="FFFFFF"/>
        </a:solidFill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253702</xdr:colOff>
      <xdr:row>13</xdr:row>
      <xdr:rowOff>137608</xdr:rowOff>
    </xdr:from>
    <xdr:to>
      <xdr:col>33</xdr:col>
      <xdr:colOff>33254</xdr:colOff>
      <xdr:row>14</xdr:row>
      <xdr:rowOff>4034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>
          <a:spLocks noChangeShapeType="1"/>
        </xdr:cNvSpPr>
      </xdr:nvSpPr>
      <xdr:spPr bwMode="auto">
        <a:xfrm flipV="1">
          <a:off x="12400878" y="3553161"/>
          <a:ext cx="936000" cy="4572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295835</xdr:colOff>
      <xdr:row>11</xdr:row>
      <xdr:rowOff>19275</xdr:rowOff>
    </xdr:from>
    <xdr:to>
      <xdr:col>34</xdr:col>
      <xdr:colOff>137160</xdr:colOff>
      <xdr:row>12</xdr:row>
      <xdr:rowOff>99061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>
          <a:spLocks noChangeShapeType="1"/>
        </xdr:cNvSpPr>
      </xdr:nvSpPr>
      <xdr:spPr bwMode="auto">
        <a:xfrm>
          <a:off x="13599459" y="3031416"/>
          <a:ext cx="235772" cy="25908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0</xdr:colOff>
      <xdr:row>13</xdr:row>
      <xdr:rowOff>99060</xdr:rowOff>
    </xdr:from>
    <xdr:to>
      <xdr:col>31</xdr:col>
      <xdr:colOff>0</xdr:colOff>
      <xdr:row>13</xdr:row>
      <xdr:rowOff>160020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>
          <a:spLocks noChangeShapeType="1"/>
        </xdr:cNvSpPr>
      </xdr:nvSpPr>
      <xdr:spPr bwMode="auto">
        <a:xfrm>
          <a:off x="10279380" y="2979420"/>
          <a:ext cx="0" cy="6096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13</xdr:row>
      <xdr:rowOff>101750</xdr:rowOff>
    </xdr:from>
    <xdr:to>
      <xdr:col>32</xdr:col>
      <xdr:colOff>0</xdr:colOff>
      <xdr:row>13</xdr:row>
      <xdr:rowOff>162710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>
          <a:spLocks noChangeShapeType="1"/>
        </xdr:cNvSpPr>
      </xdr:nvSpPr>
      <xdr:spPr bwMode="auto">
        <a:xfrm>
          <a:off x="13169153" y="3517303"/>
          <a:ext cx="0" cy="6096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13</xdr:row>
      <xdr:rowOff>114300</xdr:rowOff>
    </xdr:from>
    <xdr:to>
      <xdr:col>28</xdr:col>
      <xdr:colOff>0</xdr:colOff>
      <xdr:row>14</xdr:row>
      <xdr:rowOff>0</xdr:rowOff>
    </xdr:to>
    <xdr:sp macro="" textlink="">
      <xdr:nvSpPr>
        <xdr:cNvPr id="21" name="Line 2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>
          <a:spLocks noChangeShapeType="1"/>
        </xdr:cNvSpPr>
      </xdr:nvSpPr>
      <xdr:spPr bwMode="auto">
        <a:xfrm>
          <a:off x="8976360" y="2994660"/>
          <a:ext cx="0" cy="6096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13</xdr:row>
      <xdr:rowOff>114300</xdr:rowOff>
    </xdr:from>
    <xdr:to>
      <xdr:col>27</xdr:col>
      <xdr:colOff>0</xdr:colOff>
      <xdr:row>14</xdr:row>
      <xdr:rowOff>0</xdr:rowOff>
    </xdr:to>
    <xdr:sp macro="" textlink="">
      <xdr:nvSpPr>
        <xdr:cNvPr id="22" name="Line 22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>
          <a:spLocks noChangeShapeType="1"/>
        </xdr:cNvSpPr>
      </xdr:nvSpPr>
      <xdr:spPr bwMode="auto">
        <a:xfrm>
          <a:off x="8420100" y="2994660"/>
          <a:ext cx="0" cy="6096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13</xdr:row>
      <xdr:rowOff>114300</xdr:rowOff>
    </xdr:from>
    <xdr:to>
      <xdr:col>25</xdr:col>
      <xdr:colOff>0</xdr:colOff>
      <xdr:row>14</xdr:row>
      <xdr:rowOff>0</xdr:rowOff>
    </xdr:to>
    <xdr:sp macro="" textlink="">
      <xdr:nvSpPr>
        <xdr:cNvPr id="23" name="Line 23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>
          <a:spLocks noChangeShapeType="1"/>
        </xdr:cNvSpPr>
      </xdr:nvSpPr>
      <xdr:spPr bwMode="auto">
        <a:xfrm>
          <a:off x="7741920" y="2994660"/>
          <a:ext cx="0" cy="6096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121920</xdr:colOff>
      <xdr:row>12</xdr:row>
      <xdr:rowOff>7620</xdr:rowOff>
    </xdr:from>
    <xdr:to>
      <xdr:col>4</xdr:col>
      <xdr:colOff>327660</xdr:colOff>
      <xdr:row>13</xdr:row>
      <xdr:rowOff>7620</xdr:rowOff>
    </xdr:to>
    <xdr:sp macro="" textlink="">
      <xdr:nvSpPr>
        <xdr:cNvPr id="24" name="Rectangle 24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>
          <a:spLocks noChangeArrowheads="1"/>
        </xdr:cNvSpPr>
      </xdr:nvSpPr>
      <xdr:spPr bwMode="auto">
        <a:xfrm>
          <a:off x="685800" y="2667000"/>
          <a:ext cx="1082040" cy="2209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259080</xdr:colOff>
      <xdr:row>11</xdr:row>
      <xdr:rowOff>15240</xdr:rowOff>
    </xdr:from>
    <xdr:to>
      <xdr:col>4</xdr:col>
      <xdr:colOff>327660</xdr:colOff>
      <xdr:row>12</xdr:row>
      <xdr:rowOff>7620</xdr:rowOff>
    </xdr:to>
    <xdr:sp macro="" textlink="">
      <xdr:nvSpPr>
        <xdr:cNvPr id="25" name="Rectangle 25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>
          <a:spLocks noChangeArrowheads="1"/>
        </xdr:cNvSpPr>
      </xdr:nvSpPr>
      <xdr:spPr bwMode="auto">
        <a:xfrm>
          <a:off x="1242060" y="2499360"/>
          <a:ext cx="525780" cy="167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121920</xdr:colOff>
      <xdr:row>11</xdr:row>
      <xdr:rowOff>15240</xdr:rowOff>
    </xdr:from>
    <xdr:to>
      <xdr:col>3</xdr:col>
      <xdr:colOff>121920</xdr:colOff>
      <xdr:row>12</xdr:row>
      <xdr:rowOff>7620</xdr:rowOff>
    </xdr:to>
    <xdr:sp macro="" textlink="">
      <xdr:nvSpPr>
        <xdr:cNvPr id="26" name="Rectangle 26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>
          <a:spLocks noChangeArrowheads="1"/>
        </xdr:cNvSpPr>
      </xdr:nvSpPr>
      <xdr:spPr bwMode="auto">
        <a:xfrm>
          <a:off x="685800" y="2499360"/>
          <a:ext cx="419100" cy="167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259080</xdr:colOff>
      <xdr:row>10</xdr:row>
      <xdr:rowOff>30480</xdr:rowOff>
    </xdr:from>
    <xdr:to>
      <xdr:col>4</xdr:col>
      <xdr:colOff>327660</xdr:colOff>
      <xdr:row>11</xdr:row>
      <xdr:rowOff>15240</xdr:rowOff>
    </xdr:to>
    <xdr:sp macro="" textlink="">
      <xdr:nvSpPr>
        <xdr:cNvPr id="27" name="Rectangle 27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>
          <a:spLocks noChangeArrowheads="1"/>
        </xdr:cNvSpPr>
      </xdr:nvSpPr>
      <xdr:spPr bwMode="auto">
        <a:xfrm>
          <a:off x="1242060" y="2339340"/>
          <a:ext cx="525780" cy="1600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342900</xdr:colOff>
      <xdr:row>9</xdr:row>
      <xdr:rowOff>38100</xdr:rowOff>
    </xdr:from>
    <xdr:to>
      <xdr:col>4</xdr:col>
      <xdr:colOff>350520</xdr:colOff>
      <xdr:row>10</xdr:row>
      <xdr:rowOff>30480</xdr:rowOff>
    </xdr:to>
    <xdr:sp macro="" textlink="">
      <xdr:nvSpPr>
        <xdr:cNvPr id="28" name="Freeform 28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>
          <a:spLocks/>
        </xdr:cNvSpPr>
      </xdr:nvSpPr>
      <xdr:spPr bwMode="auto">
        <a:xfrm>
          <a:off x="1325880" y="2171700"/>
          <a:ext cx="464820" cy="167640"/>
        </a:xfrm>
        <a:custGeom>
          <a:avLst/>
          <a:gdLst>
            <a:gd name="T0" fmla="*/ 0 w 58"/>
            <a:gd name="T1" fmla="*/ 0 h 18"/>
            <a:gd name="T2" fmla="*/ 2147483646 w 58"/>
            <a:gd name="T3" fmla="*/ 0 h 18"/>
            <a:gd name="T4" fmla="*/ 2147483646 w 58"/>
            <a:gd name="T5" fmla="*/ 2147483646 h 18"/>
            <a:gd name="T6" fmla="*/ 2147483646 w 58"/>
            <a:gd name="T7" fmla="*/ 2147483646 h 18"/>
            <a:gd name="T8" fmla="*/ 0 w 58"/>
            <a:gd name="T9" fmla="*/ 2147483646 h 18"/>
            <a:gd name="T10" fmla="*/ 0 w 58"/>
            <a:gd name="T11" fmla="*/ 0 h 18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58"/>
            <a:gd name="T19" fmla="*/ 0 h 18"/>
            <a:gd name="T20" fmla="*/ 58 w 58"/>
            <a:gd name="T21" fmla="*/ 18 h 18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58" h="18">
              <a:moveTo>
                <a:pt x="0" y="0"/>
              </a:moveTo>
              <a:lnTo>
                <a:pt x="58" y="0"/>
              </a:lnTo>
              <a:lnTo>
                <a:pt x="55" y="11"/>
              </a:lnTo>
              <a:lnTo>
                <a:pt x="55" y="18"/>
              </a:lnTo>
              <a:lnTo>
                <a:pt x="0" y="18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129540</xdr:colOff>
      <xdr:row>7</xdr:row>
      <xdr:rowOff>175260</xdr:rowOff>
    </xdr:from>
    <xdr:to>
      <xdr:col>3</xdr:col>
      <xdr:colOff>0</xdr:colOff>
      <xdr:row>11</xdr:row>
      <xdr:rowOff>15240</xdr:rowOff>
    </xdr:to>
    <xdr:sp macro="" textlink="">
      <xdr:nvSpPr>
        <xdr:cNvPr id="29" name="Freeform 29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>
          <a:spLocks/>
        </xdr:cNvSpPr>
      </xdr:nvSpPr>
      <xdr:spPr bwMode="auto">
        <a:xfrm>
          <a:off x="693420" y="1775460"/>
          <a:ext cx="289560" cy="723900"/>
        </a:xfrm>
        <a:custGeom>
          <a:avLst/>
          <a:gdLst>
            <a:gd name="T0" fmla="*/ 0 w 30"/>
            <a:gd name="T1" fmla="*/ 2147483646 h 60"/>
            <a:gd name="T2" fmla="*/ 2147483646 w 30"/>
            <a:gd name="T3" fmla="*/ 2147483646 h 60"/>
            <a:gd name="T4" fmla="*/ 2147483646 w 30"/>
            <a:gd name="T5" fmla="*/ 0 h 60"/>
            <a:gd name="T6" fmla="*/ 2147483646 w 30"/>
            <a:gd name="T7" fmla="*/ 2147483646 h 60"/>
            <a:gd name="T8" fmla="*/ 0 w 30"/>
            <a:gd name="T9" fmla="*/ 2147483646 h 60"/>
            <a:gd name="T10" fmla="*/ 0 w 30"/>
            <a:gd name="T11" fmla="*/ 2147483646 h 6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30"/>
            <a:gd name="T19" fmla="*/ 0 h 60"/>
            <a:gd name="T20" fmla="*/ 30 w 30"/>
            <a:gd name="T21" fmla="*/ 60 h 6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30" h="60">
              <a:moveTo>
                <a:pt x="0" y="58"/>
              </a:moveTo>
              <a:lnTo>
                <a:pt x="7" y="7"/>
              </a:lnTo>
              <a:lnTo>
                <a:pt x="30" y="0"/>
              </a:lnTo>
              <a:lnTo>
                <a:pt x="30" y="60"/>
              </a:lnTo>
              <a:lnTo>
                <a:pt x="0" y="60"/>
              </a:lnTo>
              <a:lnTo>
                <a:pt x="0" y="58"/>
              </a:lnTo>
              <a:close/>
            </a:path>
          </a:pathLst>
        </a:custGeom>
        <a:solidFill>
          <a:srgbClr val="FF0000"/>
        </a:solidFill>
        <a:ln w="9525">
          <a:solidFill>
            <a:srgbClr val="FF6600"/>
          </a:solidFill>
          <a:round/>
          <a:headEnd/>
          <a:tailEnd/>
        </a:ln>
      </xdr:spPr>
    </xdr:sp>
    <xdr:clientData/>
  </xdr:twoCellAnchor>
  <xdr:twoCellAnchor>
    <xdr:from>
      <xdr:col>33</xdr:col>
      <xdr:colOff>41236</xdr:colOff>
      <xdr:row>14</xdr:row>
      <xdr:rowOff>73400</xdr:rowOff>
    </xdr:from>
    <xdr:to>
      <xdr:col>35</xdr:col>
      <xdr:colOff>56476</xdr:colOff>
      <xdr:row>15</xdr:row>
      <xdr:rowOff>44825</xdr:rowOff>
    </xdr:to>
    <xdr:sp macro="" textlink="">
      <xdr:nvSpPr>
        <xdr:cNvPr id="30" name="WordArt 30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344860" y="3668247"/>
          <a:ext cx="1010322" cy="150719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PH" sz="800" b="1" kern="10" spc="0" baseline="0">
              <a:ln w="9525">
                <a:noFill/>
                <a:round/>
                <a:headEnd/>
                <a:tailEnd/>
              </a:ln>
              <a:solidFill>
                <a:srgbClr val="000000"/>
              </a:solidFill>
              <a:effectLst>
                <a:outerShdw dist="35921" dir="2700000" algn="ctr" rotWithShape="0">
                  <a:srgbClr val="C0C0C0">
                    <a:alpha val="80000"/>
                  </a:srgbClr>
                </a:outerShdw>
              </a:effectLst>
              <a:latin typeface="Arial Black"/>
            </a:rPr>
            <a:t>WARRAMBOO</a:t>
          </a:r>
        </a:p>
      </xdr:txBody>
    </xdr:sp>
    <xdr:clientData/>
  </xdr:twoCellAnchor>
  <xdr:twoCellAnchor>
    <xdr:from>
      <xdr:col>3</xdr:col>
      <xdr:colOff>464820</xdr:colOff>
      <xdr:row>7</xdr:row>
      <xdr:rowOff>205740</xdr:rowOff>
    </xdr:from>
    <xdr:to>
      <xdr:col>3</xdr:col>
      <xdr:colOff>472440</xdr:colOff>
      <xdr:row>9</xdr:row>
      <xdr:rowOff>167640</xdr:rowOff>
    </xdr:to>
    <xdr:sp macro="" textlink="">
      <xdr:nvSpPr>
        <xdr:cNvPr id="31" name="Rectangle 3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1440180" y="1805940"/>
          <a:ext cx="0" cy="495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350520</xdr:colOff>
      <xdr:row>7</xdr:row>
      <xdr:rowOff>121920</xdr:rowOff>
    </xdr:from>
    <xdr:to>
      <xdr:col>4</xdr:col>
      <xdr:colOff>22860</xdr:colOff>
      <xdr:row>7</xdr:row>
      <xdr:rowOff>198120</xdr:rowOff>
    </xdr:to>
    <xdr:grpSp>
      <xdr:nvGrpSpPr>
        <xdr:cNvPr id="32" name="Group 32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GrpSpPr>
          <a:grpSpLocks noChangeAspect="1"/>
        </xdr:cNvGrpSpPr>
      </xdr:nvGrpSpPr>
      <xdr:grpSpPr bwMode="auto">
        <a:xfrm>
          <a:off x="1956163" y="2231027"/>
          <a:ext cx="134983" cy="76200"/>
          <a:chOff x="169" y="47"/>
          <a:chExt cx="79" cy="26"/>
        </a:xfrm>
      </xdr:grpSpPr>
      <xdr:sp macro="" textlink="">
        <xdr:nvSpPr>
          <xdr:cNvPr id="33" name="Freeform 33">
            <a:extLst>
              <a:ext uri="{FF2B5EF4-FFF2-40B4-BE49-F238E27FC236}">
                <a16:creationId xmlns:a16="http://schemas.microsoft.com/office/drawing/2014/main" id="{00000000-0008-0000-0900-000021000000}"/>
              </a:ext>
            </a:extLst>
          </xdr:cNvPr>
          <xdr:cNvSpPr>
            <a:spLocks noChangeAspect="1"/>
          </xdr:cNvSpPr>
        </xdr:nvSpPr>
        <xdr:spPr bwMode="auto">
          <a:xfrm>
            <a:off x="169" y="61"/>
            <a:ext cx="67" cy="12"/>
          </a:xfrm>
          <a:custGeom>
            <a:avLst/>
            <a:gdLst>
              <a:gd name="T0" fmla="*/ 0 w 67"/>
              <a:gd name="T1" fmla="*/ 0 h 12"/>
              <a:gd name="T2" fmla="*/ 67 w 67"/>
              <a:gd name="T3" fmla="*/ 0 h 12"/>
              <a:gd name="T4" fmla="*/ 67 w 67"/>
              <a:gd name="T5" fmla="*/ 4 h 12"/>
              <a:gd name="T6" fmla="*/ 34 w 67"/>
              <a:gd name="T7" fmla="*/ 12 h 12"/>
              <a:gd name="T8" fmla="*/ 0 w 67"/>
              <a:gd name="T9" fmla="*/ 4 h 12"/>
              <a:gd name="T10" fmla="*/ 0 w 67"/>
              <a:gd name="T11" fmla="*/ 0 h 12"/>
              <a:gd name="T12" fmla="*/ 0 60000 65536"/>
              <a:gd name="T13" fmla="*/ 0 60000 65536"/>
              <a:gd name="T14" fmla="*/ 0 60000 65536"/>
              <a:gd name="T15" fmla="*/ 0 60000 65536"/>
              <a:gd name="T16" fmla="*/ 0 60000 65536"/>
              <a:gd name="T17" fmla="*/ 0 60000 65536"/>
              <a:gd name="T18" fmla="*/ 0 w 67"/>
              <a:gd name="T19" fmla="*/ 0 h 12"/>
              <a:gd name="T20" fmla="*/ 67 w 67"/>
              <a:gd name="T21" fmla="*/ 12 h 12"/>
            </a:gdLst>
            <a:ahLst/>
            <a:cxnLst>
              <a:cxn ang="T12">
                <a:pos x="T0" y="T1"/>
              </a:cxn>
              <a:cxn ang="T13">
                <a:pos x="T2" y="T3"/>
              </a:cxn>
              <a:cxn ang="T14">
                <a:pos x="T4" y="T5"/>
              </a:cxn>
              <a:cxn ang="T15">
                <a:pos x="T6" y="T7"/>
              </a:cxn>
              <a:cxn ang="T16">
                <a:pos x="T8" y="T9"/>
              </a:cxn>
              <a:cxn ang="T17">
                <a:pos x="T10" y="T11"/>
              </a:cxn>
            </a:cxnLst>
            <a:rect l="T18" t="T19" r="T20" b="T21"/>
            <a:pathLst>
              <a:path w="67" h="12">
                <a:moveTo>
                  <a:pt x="0" y="0"/>
                </a:moveTo>
                <a:lnTo>
                  <a:pt x="67" y="0"/>
                </a:lnTo>
                <a:lnTo>
                  <a:pt x="67" y="4"/>
                </a:lnTo>
                <a:lnTo>
                  <a:pt x="34" y="12"/>
                </a:lnTo>
                <a:lnTo>
                  <a:pt x="0" y="4"/>
                </a:lnTo>
                <a:lnTo>
                  <a:pt x="0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" name="Rectangle 34">
            <a:extLst>
              <a:ext uri="{FF2B5EF4-FFF2-40B4-BE49-F238E27FC236}">
                <a16:creationId xmlns:a16="http://schemas.microsoft.com/office/drawing/2014/main" id="{00000000-0008-0000-0900-000022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98" y="47"/>
            <a:ext cx="50" cy="3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5" name="Rectangle 35">
            <a:extLst>
              <a:ext uri="{FF2B5EF4-FFF2-40B4-BE49-F238E27FC236}">
                <a16:creationId xmlns:a16="http://schemas.microsoft.com/office/drawing/2014/main" id="{00000000-0008-0000-0900-000023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19" y="50"/>
            <a:ext cx="6" cy="11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6" name="Freeform 36">
            <a:extLst>
              <a:ext uri="{FF2B5EF4-FFF2-40B4-BE49-F238E27FC236}">
                <a16:creationId xmlns:a16="http://schemas.microsoft.com/office/drawing/2014/main" id="{00000000-0008-0000-0900-000024000000}"/>
              </a:ext>
            </a:extLst>
          </xdr:cNvPr>
          <xdr:cNvSpPr>
            <a:spLocks noChangeAspect="1"/>
          </xdr:cNvSpPr>
        </xdr:nvSpPr>
        <xdr:spPr bwMode="auto">
          <a:xfrm>
            <a:off x="169" y="55"/>
            <a:ext cx="67" cy="6"/>
          </a:xfrm>
          <a:custGeom>
            <a:avLst/>
            <a:gdLst>
              <a:gd name="T0" fmla="*/ 0 w 67"/>
              <a:gd name="T1" fmla="*/ 6 h 6"/>
              <a:gd name="T2" fmla="*/ 0 w 67"/>
              <a:gd name="T3" fmla="*/ 0 h 6"/>
              <a:gd name="T4" fmla="*/ 67 w 67"/>
              <a:gd name="T5" fmla="*/ 0 h 6"/>
              <a:gd name="T6" fmla="*/ 67 w 67"/>
              <a:gd name="T7" fmla="*/ 6 h 6"/>
              <a:gd name="T8" fmla="*/ 0 60000 65536"/>
              <a:gd name="T9" fmla="*/ 0 60000 65536"/>
              <a:gd name="T10" fmla="*/ 0 60000 65536"/>
              <a:gd name="T11" fmla="*/ 0 60000 65536"/>
              <a:gd name="T12" fmla="*/ 0 w 67"/>
              <a:gd name="T13" fmla="*/ 0 h 6"/>
              <a:gd name="T14" fmla="*/ 67 w 67"/>
              <a:gd name="T15" fmla="*/ 6 h 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67" h="6">
                <a:moveTo>
                  <a:pt x="0" y="6"/>
                </a:moveTo>
                <a:lnTo>
                  <a:pt x="0" y="0"/>
                </a:lnTo>
                <a:lnTo>
                  <a:pt x="67" y="0"/>
                </a:lnTo>
                <a:lnTo>
                  <a:pt x="67" y="6"/>
                </a:lnTo>
              </a:path>
            </a:pathLst>
          </a:cu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401620</xdr:colOff>
      <xdr:row>7</xdr:row>
      <xdr:rowOff>60960</xdr:rowOff>
    </xdr:from>
    <xdr:to>
      <xdr:col>3</xdr:col>
      <xdr:colOff>454960</xdr:colOff>
      <xdr:row>7</xdr:row>
      <xdr:rowOff>137160</xdr:rowOff>
    </xdr:to>
    <xdr:sp macro="" textlink="">
      <xdr:nvSpPr>
        <xdr:cNvPr id="37" name="Freeform 37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Aspect="1"/>
        </xdr:cNvSpPr>
      </xdr:nvSpPr>
      <xdr:spPr bwMode="auto">
        <a:xfrm>
          <a:off x="1384600" y="1661160"/>
          <a:ext cx="53340" cy="76200"/>
        </a:xfrm>
        <a:custGeom>
          <a:avLst/>
          <a:gdLst>
            <a:gd name="T0" fmla="*/ 0 w 36"/>
            <a:gd name="T1" fmla="*/ 2147483646 h 55"/>
            <a:gd name="T2" fmla="*/ 0 w 36"/>
            <a:gd name="T3" fmla="*/ 2147483646 h 55"/>
            <a:gd name="T4" fmla="*/ 2147483646 w 36"/>
            <a:gd name="T5" fmla="*/ 2147483646 h 55"/>
            <a:gd name="T6" fmla="*/ 2147483646 w 36"/>
            <a:gd name="T7" fmla="*/ 2147483646 h 55"/>
            <a:gd name="T8" fmla="*/ 2147483646 w 36"/>
            <a:gd name="T9" fmla="*/ 2147483646 h 55"/>
            <a:gd name="T10" fmla="*/ 2147483646 w 36"/>
            <a:gd name="T11" fmla="*/ 2147483646 h 55"/>
            <a:gd name="T12" fmla="*/ 2147483646 w 36"/>
            <a:gd name="T13" fmla="*/ 2147483646 h 55"/>
            <a:gd name="T14" fmla="*/ 2147483646 w 36"/>
            <a:gd name="T15" fmla="*/ 2147483646 h 55"/>
            <a:gd name="T16" fmla="*/ 2147483646 w 36"/>
            <a:gd name="T17" fmla="*/ 2147483646 h 55"/>
            <a:gd name="T18" fmla="*/ 2147483646 w 36"/>
            <a:gd name="T19" fmla="*/ 2147483646 h 55"/>
            <a:gd name="T20" fmla="*/ 2147483646 w 36"/>
            <a:gd name="T21" fmla="*/ 2147483646 h 55"/>
            <a:gd name="T22" fmla="*/ 2147483646 w 36"/>
            <a:gd name="T23" fmla="*/ 2147483646 h 55"/>
            <a:gd name="T24" fmla="*/ 0 w 36"/>
            <a:gd name="T25" fmla="*/ 2147483646 h 55"/>
            <a:gd name="T26" fmla="*/ 0 60000 65536"/>
            <a:gd name="T27" fmla="*/ 0 60000 65536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w 36"/>
            <a:gd name="T40" fmla="*/ 0 h 55"/>
            <a:gd name="T41" fmla="*/ 36 w 36"/>
            <a:gd name="T42" fmla="*/ 55 h 55"/>
          </a:gdLst>
          <a:ahLst/>
          <a:cxnLst>
            <a:cxn ang="T26">
              <a:pos x="T0" y="T1"/>
            </a:cxn>
            <a:cxn ang="T27">
              <a:pos x="T2" y="T3"/>
            </a:cxn>
            <a:cxn ang="T28">
              <a:pos x="T4" y="T5"/>
            </a:cxn>
            <a:cxn ang="T29">
              <a:pos x="T6" y="T7"/>
            </a:cxn>
            <a:cxn ang="T30">
              <a:pos x="T8" y="T9"/>
            </a:cxn>
            <a:cxn ang="T31">
              <a:pos x="T10" y="T11"/>
            </a:cxn>
            <a:cxn ang="T32">
              <a:pos x="T12" y="T13"/>
            </a:cxn>
            <a:cxn ang="T33">
              <a:pos x="T14" y="T15"/>
            </a:cxn>
            <a:cxn ang="T34">
              <a:pos x="T16" y="T17"/>
            </a:cxn>
            <a:cxn ang="T35">
              <a:pos x="T18" y="T19"/>
            </a:cxn>
            <a:cxn ang="T36">
              <a:pos x="T20" y="T21"/>
            </a:cxn>
            <a:cxn ang="T37">
              <a:pos x="T22" y="T23"/>
            </a:cxn>
            <a:cxn ang="T38">
              <a:pos x="T24" y="T25"/>
            </a:cxn>
          </a:cxnLst>
          <a:rect l="T39" t="T40" r="T41" b="T42"/>
          <a:pathLst>
            <a:path w="36" h="55">
              <a:moveTo>
                <a:pt x="0" y="8"/>
              </a:moveTo>
              <a:lnTo>
                <a:pt x="0" y="55"/>
              </a:lnTo>
              <a:lnTo>
                <a:pt x="36" y="55"/>
              </a:lnTo>
              <a:lnTo>
                <a:pt x="36" y="46"/>
              </a:lnTo>
              <a:lnTo>
                <a:pt x="13" y="46"/>
              </a:lnTo>
              <a:lnTo>
                <a:pt x="13" y="36"/>
              </a:lnTo>
              <a:lnTo>
                <a:pt x="36" y="36"/>
              </a:lnTo>
              <a:lnTo>
                <a:pt x="36" y="25"/>
              </a:lnTo>
              <a:lnTo>
                <a:pt x="13" y="25"/>
              </a:lnTo>
              <a:lnTo>
                <a:pt x="13" y="17"/>
              </a:lnTo>
              <a:lnTo>
                <a:pt x="36" y="17"/>
              </a:lnTo>
              <a:lnTo>
                <a:pt x="36" y="8"/>
              </a:lnTo>
              <a:cubicBezTo>
                <a:pt x="34" y="0"/>
                <a:pt x="6" y="0"/>
                <a:pt x="0" y="8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7</xdr:row>
      <xdr:rowOff>243840</xdr:rowOff>
    </xdr:from>
    <xdr:to>
      <xdr:col>4</xdr:col>
      <xdr:colOff>53340</xdr:colOff>
      <xdr:row>8</xdr:row>
      <xdr:rowOff>53340</xdr:rowOff>
    </xdr:to>
    <xdr:grpSp>
      <xdr:nvGrpSpPr>
        <xdr:cNvPr id="38" name="Group 38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GrpSpPr>
          <a:grpSpLocks noChangeAspect="1"/>
        </xdr:cNvGrpSpPr>
      </xdr:nvGrpSpPr>
      <xdr:grpSpPr bwMode="auto">
        <a:xfrm>
          <a:off x="2068286" y="2352947"/>
          <a:ext cx="53340" cy="163286"/>
          <a:chOff x="228" y="101"/>
          <a:chExt cx="32" cy="17"/>
        </a:xfrm>
      </xdr:grpSpPr>
      <xdr:sp macro="" textlink="">
        <xdr:nvSpPr>
          <xdr:cNvPr id="39" name="Freeform 39">
            <a:extLst>
              <a:ext uri="{FF2B5EF4-FFF2-40B4-BE49-F238E27FC236}">
                <a16:creationId xmlns:a16="http://schemas.microsoft.com/office/drawing/2014/main" id="{00000000-0008-0000-0900-000027000000}"/>
              </a:ext>
            </a:extLst>
          </xdr:cNvPr>
          <xdr:cNvSpPr>
            <a:spLocks noChangeAspect="1"/>
          </xdr:cNvSpPr>
        </xdr:nvSpPr>
        <xdr:spPr bwMode="auto">
          <a:xfrm>
            <a:off x="228" y="109"/>
            <a:ext cx="28" cy="9"/>
          </a:xfrm>
          <a:custGeom>
            <a:avLst/>
            <a:gdLst>
              <a:gd name="T0" fmla="*/ 0 w 28"/>
              <a:gd name="T1" fmla="*/ 0 h 9"/>
              <a:gd name="T2" fmla="*/ 28 w 28"/>
              <a:gd name="T3" fmla="*/ 0 h 9"/>
              <a:gd name="T4" fmla="*/ 28 w 28"/>
              <a:gd name="T5" fmla="*/ 2 h 9"/>
              <a:gd name="T6" fmla="*/ 0 w 28"/>
              <a:gd name="T7" fmla="*/ 9 h 9"/>
              <a:gd name="T8" fmla="*/ 0 w 28"/>
              <a:gd name="T9" fmla="*/ 0 h 9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28"/>
              <a:gd name="T16" fmla="*/ 0 h 9"/>
              <a:gd name="T17" fmla="*/ 28 w 28"/>
              <a:gd name="T18" fmla="*/ 9 h 9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28" h="9">
                <a:moveTo>
                  <a:pt x="0" y="0"/>
                </a:moveTo>
                <a:lnTo>
                  <a:pt x="28" y="0"/>
                </a:lnTo>
                <a:lnTo>
                  <a:pt x="28" y="2"/>
                </a:lnTo>
                <a:lnTo>
                  <a:pt x="0" y="9"/>
                </a:lnTo>
                <a:lnTo>
                  <a:pt x="0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0" name="Rectangle 40">
            <a:extLst>
              <a:ext uri="{FF2B5EF4-FFF2-40B4-BE49-F238E27FC236}">
                <a16:creationId xmlns:a16="http://schemas.microsoft.com/office/drawing/2014/main" id="{00000000-0008-0000-0900-000028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30" y="101"/>
            <a:ext cx="30" cy="3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1" name="Freeform 41">
            <a:extLst>
              <a:ext uri="{FF2B5EF4-FFF2-40B4-BE49-F238E27FC236}">
                <a16:creationId xmlns:a16="http://schemas.microsoft.com/office/drawing/2014/main" id="{00000000-0008-0000-0900-000029000000}"/>
              </a:ext>
            </a:extLst>
          </xdr:cNvPr>
          <xdr:cNvSpPr>
            <a:spLocks noChangeAspect="1"/>
          </xdr:cNvSpPr>
        </xdr:nvSpPr>
        <xdr:spPr bwMode="auto">
          <a:xfrm>
            <a:off x="229" y="106"/>
            <a:ext cx="27" cy="3"/>
          </a:xfrm>
          <a:custGeom>
            <a:avLst/>
            <a:gdLst>
              <a:gd name="T0" fmla="*/ 0 w 27"/>
              <a:gd name="T1" fmla="*/ 0 h 3"/>
              <a:gd name="T2" fmla="*/ 27 w 27"/>
              <a:gd name="T3" fmla="*/ 0 h 3"/>
              <a:gd name="T4" fmla="*/ 27 w 27"/>
              <a:gd name="T5" fmla="*/ 3 h 3"/>
              <a:gd name="T6" fmla="*/ 0 60000 65536"/>
              <a:gd name="T7" fmla="*/ 0 60000 65536"/>
              <a:gd name="T8" fmla="*/ 0 60000 65536"/>
              <a:gd name="T9" fmla="*/ 0 w 27"/>
              <a:gd name="T10" fmla="*/ 0 h 3"/>
              <a:gd name="T11" fmla="*/ 27 w 27"/>
              <a:gd name="T12" fmla="*/ 3 h 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7" h="3">
                <a:moveTo>
                  <a:pt x="0" y="0"/>
                </a:moveTo>
                <a:lnTo>
                  <a:pt x="27" y="0"/>
                </a:lnTo>
                <a:lnTo>
                  <a:pt x="27" y="3"/>
                </a:lnTo>
              </a:path>
            </a:pathLst>
          </a:cu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34</xdr:col>
      <xdr:colOff>220980</xdr:colOff>
      <xdr:row>8</xdr:row>
      <xdr:rowOff>100407</xdr:rowOff>
    </xdr:from>
    <xdr:to>
      <xdr:col>34</xdr:col>
      <xdr:colOff>266700</xdr:colOff>
      <xdr:row>12</xdr:row>
      <xdr:rowOff>99511</xdr:rowOff>
    </xdr:to>
    <xdr:sp macro="" textlink="">
      <xdr:nvSpPr>
        <xdr:cNvPr id="42" name="Rectangle 42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Arrowheads="1"/>
        </xdr:cNvSpPr>
      </xdr:nvSpPr>
      <xdr:spPr bwMode="auto">
        <a:xfrm>
          <a:off x="13919051" y="2574666"/>
          <a:ext cx="45720" cy="7162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266700</xdr:colOff>
      <xdr:row>11</xdr:row>
      <xdr:rowOff>151057</xdr:rowOff>
    </xdr:from>
    <xdr:to>
      <xdr:col>34</xdr:col>
      <xdr:colOff>381000</xdr:colOff>
      <xdr:row>12</xdr:row>
      <xdr:rowOff>81581</xdr:rowOff>
    </xdr:to>
    <xdr:sp macro="" textlink="">
      <xdr:nvSpPr>
        <xdr:cNvPr id="43" name="Freeform 43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/>
        </xdr:cNvSpPr>
      </xdr:nvSpPr>
      <xdr:spPr bwMode="auto">
        <a:xfrm>
          <a:off x="13964771" y="3163198"/>
          <a:ext cx="114300" cy="109818"/>
        </a:xfrm>
        <a:custGeom>
          <a:avLst/>
          <a:gdLst>
            <a:gd name="T0" fmla="*/ 0 w 11"/>
            <a:gd name="T1" fmla="*/ 0 h 13"/>
            <a:gd name="T2" fmla="*/ 2147483646 w 11"/>
            <a:gd name="T3" fmla="*/ 0 h 13"/>
            <a:gd name="T4" fmla="*/ 2147483646 w 11"/>
            <a:gd name="T5" fmla="*/ 2147483646 h 13"/>
            <a:gd name="T6" fmla="*/ 0 60000 65536"/>
            <a:gd name="T7" fmla="*/ 0 60000 65536"/>
            <a:gd name="T8" fmla="*/ 0 60000 65536"/>
            <a:gd name="T9" fmla="*/ 0 w 11"/>
            <a:gd name="T10" fmla="*/ 0 h 13"/>
            <a:gd name="T11" fmla="*/ 11 w 11"/>
            <a:gd name="T12" fmla="*/ 13 h 1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1" h="13">
              <a:moveTo>
                <a:pt x="0" y="0"/>
              </a:moveTo>
              <a:lnTo>
                <a:pt x="5" y="0"/>
              </a:lnTo>
              <a:lnTo>
                <a:pt x="11" y="13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213360</xdr:colOff>
      <xdr:row>8</xdr:row>
      <xdr:rowOff>130885</xdr:rowOff>
    </xdr:from>
    <xdr:to>
      <xdr:col>34</xdr:col>
      <xdr:colOff>213360</xdr:colOff>
      <xdr:row>9</xdr:row>
      <xdr:rowOff>123265</xdr:rowOff>
    </xdr:to>
    <xdr:sp macro="" textlink="">
      <xdr:nvSpPr>
        <xdr:cNvPr id="44" name="Line 44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>
          <a:spLocks noChangeShapeType="1"/>
        </xdr:cNvSpPr>
      </xdr:nvSpPr>
      <xdr:spPr bwMode="auto">
        <a:xfrm flipV="1">
          <a:off x="13911431" y="2605144"/>
          <a:ext cx="0" cy="17167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274320</xdr:colOff>
      <xdr:row>13</xdr:row>
      <xdr:rowOff>121920</xdr:rowOff>
    </xdr:from>
    <xdr:to>
      <xdr:col>18</xdr:col>
      <xdr:colOff>274320</xdr:colOff>
      <xdr:row>14</xdr:row>
      <xdr:rowOff>0</xdr:rowOff>
    </xdr:to>
    <xdr:sp macro="" textlink="">
      <xdr:nvSpPr>
        <xdr:cNvPr id="45" name="Line 13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>
          <a:spLocks noChangeShapeType="1"/>
        </xdr:cNvSpPr>
      </xdr:nvSpPr>
      <xdr:spPr bwMode="auto">
        <a:xfrm>
          <a:off x="4991100" y="3002280"/>
          <a:ext cx="0" cy="5334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13</xdr:row>
      <xdr:rowOff>114300</xdr:rowOff>
    </xdr:from>
    <xdr:to>
      <xdr:col>19</xdr:col>
      <xdr:colOff>0</xdr:colOff>
      <xdr:row>14</xdr:row>
      <xdr:rowOff>0</xdr:rowOff>
    </xdr:to>
    <xdr:sp macro="" textlink="">
      <xdr:nvSpPr>
        <xdr:cNvPr id="46" name="Line 23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>
          <a:spLocks noChangeShapeType="1"/>
        </xdr:cNvSpPr>
      </xdr:nvSpPr>
      <xdr:spPr bwMode="auto">
        <a:xfrm>
          <a:off x="5273040" y="2994660"/>
          <a:ext cx="0" cy="6096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274320</xdr:colOff>
      <xdr:row>13</xdr:row>
      <xdr:rowOff>121920</xdr:rowOff>
    </xdr:from>
    <xdr:to>
      <xdr:col>21</xdr:col>
      <xdr:colOff>274320</xdr:colOff>
      <xdr:row>14</xdr:row>
      <xdr:rowOff>0</xdr:rowOff>
    </xdr:to>
    <xdr:sp macro="" textlink="">
      <xdr:nvSpPr>
        <xdr:cNvPr id="47" name="Line 13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>
          <a:spLocks noChangeShapeType="1"/>
        </xdr:cNvSpPr>
      </xdr:nvSpPr>
      <xdr:spPr bwMode="auto">
        <a:xfrm>
          <a:off x="6225540" y="3002280"/>
          <a:ext cx="0" cy="5334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13</xdr:row>
      <xdr:rowOff>114300</xdr:rowOff>
    </xdr:from>
    <xdr:to>
      <xdr:col>22</xdr:col>
      <xdr:colOff>0</xdr:colOff>
      <xdr:row>14</xdr:row>
      <xdr:rowOff>0</xdr:rowOff>
    </xdr:to>
    <xdr:sp macro="" textlink="">
      <xdr:nvSpPr>
        <xdr:cNvPr id="48" name="Line 23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ShapeType="1"/>
        </xdr:cNvSpPr>
      </xdr:nvSpPr>
      <xdr:spPr bwMode="auto">
        <a:xfrm>
          <a:off x="6507480" y="2994660"/>
          <a:ext cx="0" cy="6096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68580</xdr:colOff>
      <xdr:row>10</xdr:row>
      <xdr:rowOff>129540</xdr:rowOff>
    </xdr:from>
    <xdr:to>
      <xdr:col>1</xdr:col>
      <xdr:colOff>548640</xdr:colOff>
      <xdr:row>13</xdr:row>
      <xdr:rowOff>105341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84"/>
        <a:stretch/>
      </xdr:blipFill>
      <xdr:spPr>
        <a:xfrm>
          <a:off x="693420" y="2438400"/>
          <a:ext cx="480060" cy="547301"/>
        </a:xfrm>
        <a:prstGeom prst="rect">
          <a:avLst/>
        </a:prstGeom>
      </xdr:spPr>
    </xdr:pic>
    <xdr:clientData/>
  </xdr:twoCellAnchor>
  <xdr:twoCellAnchor>
    <xdr:from>
      <xdr:col>10</xdr:col>
      <xdr:colOff>548640</xdr:colOff>
      <xdr:row>13</xdr:row>
      <xdr:rowOff>114300</xdr:rowOff>
    </xdr:from>
    <xdr:to>
      <xdr:col>10</xdr:col>
      <xdr:colOff>548640</xdr:colOff>
      <xdr:row>14</xdr:row>
      <xdr:rowOff>0</xdr:rowOff>
    </xdr:to>
    <xdr:sp macro="" textlink="">
      <xdr:nvSpPr>
        <xdr:cNvPr id="50" name="Line 12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ShapeType="1"/>
        </xdr:cNvSpPr>
      </xdr:nvSpPr>
      <xdr:spPr bwMode="auto">
        <a:xfrm>
          <a:off x="6035040" y="2994660"/>
          <a:ext cx="0" cy="6096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548640</xdr:colOff>
      <xdr:row>13</xdr:row>
      <xdr:rowOff>114300</xdr:rowOff>
    </xdr:from>
    <xdr:to>
      <xdr:col>7</xdr:col>
      <xdr:colOff>548640</xdr:colOff>
      <xdr:row>14</xdr:row>
      <xdr:rowOff>0</xdr:rowOff>
    </xdr:to>
    <xdr:sp macro="" textlink="">
      <xdr:nvSpPr>
        <xdr:cNvPr id="51" name="Line 12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>
          <a:spLocks noChangeShapeType="1"/>
        </xdr:cNvSpPr>
      </xdr:nvSpPr>
      <xdr:spPr bwMode="auto">
        <a:xfrm>
          <a:off x="6035040" y="2994660"/>
          <a:ext cx="0" cy="6096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25447</xdr:colOff>
      <xdr:row>1</xdr:row>
      <xdr:rowOff>82551</xdr:rowOff>
    </xdr:from>
    <xdr:to>
      <xdr:col>1</xdr:col>
      <xdr:colOff>1214167</xdr:colOff>
      <xdr:row>3</xdr:row>
      <xdr:rowOff>43874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186812" y="261845"/>
          <a:ext cx="1188720" cy="39162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Arial" pitchFamily="34" charset="0"/>
              <a:cs typeface="Arial" pitchFamily="34" charset="0"/>
            </a:rPr>
            <a:t>INITIAL</a:t>
          </a:r>
        </a:p>
      </xdr:txBody>
    </xdr:sp>
    <xdr:clientData/>
  </xdr:twoCellAnchor>
  <xdr:twoCellAnchor>
    <xdr:from>
      <xdr:col>1</xdr:col>
      <xdr:colOff>29892</xdr:colOff>
      <xdr:row>6</xdr:row>
      <xdr:rowOff>183920</xdr:rowOff>
    </xdr:from>
    <xdr:to>
      <xdr:col>1</xdr:col>
      <xdr:colOff>1218612</xdr:colOff>
      <xdr:row>8</xdr:row>
      <xdr:rowOff>85855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91257" y="1438979"/>
          <a:ext cx="1188720" cy="40395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Arial" pitchFamily="34" charset="0"/>
              <a:cs typeface="Arial" pitchFamily="34" charset="0"/>
            </a:rPr>
            <a:t>FINAL</a:t>
          </a:r>
        </a:p>
      </xdr:txBody>
    </xdr:sp>
    <xdr:clientData/>
  </xdr:twoCellAnchor>
  <xdr:twoCellAnchor>
    <xdr:from>
      <xdr:col>1</xdr:col>
      <xdr:colOff>25447</xdr:colOff>
      <xdr:row>9</xdr:row>
      <xdr:rowOff>4451</xdr:rowOff>
    </xdr:from>
    <xdr:to>
      <xdr:col>1</xdr:col>
      <xdr:colOff>1214167</xdr:colOff>
      <xdr:row>10</xdr:row>
      <xdr:rowOff>149955</xdr:rowOff>
    </xdr:to>
    <xdr:sp macro="" textlink="">
      <xdr:nvSpPr>
        <xdr:cNvPr id="4" name="Rounded 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86812" y="2012545"/>
          <a:ext cx="1188720" cy="39651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Arial" pitchFamily="34" charset="0"/>
              <a:cs typeface="Arial" pitchFamily="34" charset="0"/>
            </a:rPr>
            <a:t>TRIMMING</a:t>
          </a:r>
        </a:p>
      </xdr:txBody>
    </xdr:sp>
    <xdr:clientData/>
  </xdr:twoCellAnchor>
  <xdr:twoCellAnchor>
    <xdr:from>
      <xdr:col>1</xdr:col>
      <xdr:colOff>29892</xdr:colOff>
      <xdr:row>11</xdr:row>
      <xdr:rowOff>75970</xdr:rowOff>
    </xdr:from>
    <xdr:to>
      <xdr:col>1</xdr:col>
      <xdr:colOff>1218612</xdr:colOff>
      <xdr:row>13</xdr:row>
      <xdr:rowOff>2886</xdr:rowOff>
    </xdr:to>
    <xdr:sp macro="" textlink="">
      <xdr:nvSpPr>
        <xdr:cNvPr id="5" name="Rounded 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191257" y="2586088"/>
          <a:ext cx="1188720" cy="42893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Arial" pitchFamily="34" charset="0"/>
              <a:cs typeface="Arial" pitchFamily="34" charset="0"/>
            </a:rPr>
            <a:t>REPORT</a:t>
          </a:r>
        </a:p>
      </xdr:txBody>
    </xdr:sp>
    <xdr:clientData/>
  </xdr:twoCellAnchor>
  <xdr:twoCellAnchor>
    <xdr:from>
      <xdr:col>1</xdr:col>
      <xdr:colOff>29892</xdr:colOff>
      <xdr:row>13</xdr:row>
      <xdr:rowOff>170603</xdr:rowOff>
    </xdr:from>
    <xdr:to>
      <xdr:col>1</xdr:col>
      <xdr:colOff>1218612</xdr:colOff>
      <xdr:row>15</xdr:row>
      <xdr:rowOff>107848</xdr:rowOff>
    </xdr:to>
    <xdr:sp macro="" textlink="">
      <xdr:nvSpPr>
        <xdr:cNvPr id="7" name="Rounded Rectang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/>
      </xdr:nvSpPr>
      <xdr:spPr>
        <a:xfrm>
          <a:off x="191257" y="3182744"/>
          <a:ext cx="1188720" cy="43926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800" b="1">
              <a:latin typeface="Arial" pitchFamily="34" charset="0"/>
              <a:cs typeface="Arial" pitchFamily="34" charset="0"/>
            </a:rPr>
            <a:t>HYDROSTATIC</a:t>
          </a:r>
          <a:endParaRPr lang="en-PH" sz="11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</xdr:col>
      <xdr:colOff>261</xdr:colOff>
      <xdr:row>4</xdr:row>
      <xdr:rowOff>53129</xdr:rowOff>
    </xdr:from>
    <xdr:to>
      <xdr:col>1</xdr:col>
      <xdr:colOff>1188981</xdr:colOff>
      <xdr:row>6</xdr:row>
      <xdr:rowOff>1087</xdr:rowOff>
    </xdr:to>
    <xdr:sp macro="" textlink="">
      <xdr:nvSpPr>
        <xdr:cNvPr id="8" name="Rounded Rectang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/>
      </xdr:nvSpPr>
      <xdr:spPr>
        <a:xfrm>
          <a:off x="161626" y="859953"/>
          <a:ext cx="1188720" cy="39619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Arial" pitchFamily="34" charset="0"/>
              <a:cs typeface="Arial" pitchFamily="34" charset="0"/>
            </a:rPr>
            <a:t>INTERIM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398780</xdr:colOff>
      <xdr:row>2</xdr:row>
      <xdr:rowOff>152400</xdr:rowOff>
    </xdr:from>
    <xdr:to>
      <xdr:col>9</xdr:col>
      <xdr:colOff>270581</xdr:colOff>
      <xdr:row>4</xdr:row>
      <xdr:rowOff>196194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6543675" y="352425"/>
          <a:ext cx="1260000" cy="468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Arial" pitchFamily="34" charset="0"/>
              <a:cs typeface="Arial" pitchFamily="34" charset="0"/>
            </a:rPr>
            <a:t>INITIAL</a:t>
          </a:r>
        </a:p>
      </xdr:txBody>
    </xdr:sp>
    <xdr:clientData/>
  </xdr:twoCellAnchor>
  <xdr:twoCellAnchor>
    <xdr:from>
      <xdr:col>7</xdr:col>
      <xdr:colOff>398780</xdr:colOff>
      <xdr:row>8</xdr:row>
      <xdr:rowOff>109855</xdr:rowOff>
    </xdr:from>
    <xdr:to>
      <xdr:col>9</xdr:col>
      <xdr:colOff>268694</xdr:colOff>
      <xdr:row>10</xdr:row>
      <xdr:rowOff>157464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6553200" y="1504950"/>
          <a:ext cx="1260000" cy="468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Arial" pitchFamily="34" charset="0"/>
              <a:cs typeface="Arial" pitchFamily="34" charset="0"/>
            </a:rPr>
            <a:t>FINAL</a:t>
          </a:r>
        </a:p>
      </xdr:txBody>
    </xdr:sp>
    <xdr:clientData/>
  </xdr:twoCellAnchor>
  <xdr:twoCellAnchor>
    <xdr:from>
      <xdr:col>7</xdr:col>
      <xdr:colOff>398780</xdr:colOff>
      <xdr:row>11</xdr:row>
      <xdr:rowOff>73660</xdr:rowOff>
    </xdr:from>
    <xdr:to>
      <xdr:col>9</xdr:col>
      <xdr:colOff>270581</xdr:colOff>
      <xdr:row>13</xdr:row>
      <xdr:rowOff>127568</xdr:rowOff>
    </xdr:to>
    <xdr:sp macro="" textlink="">
      <xdr:nvSpPr>
        <xdr:cNvPr id="4" name="Rounded 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6543675" y="2076450"/>
          <a:ext cx="1260000" cy="468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Arial" pitchFamily="34" charset="0"/>
              <a:cs typeface="Arial" pitchFamily="34" charset="0"/>
            </a:rPr>
            <a:t>TRIMMING</a:t>
          </a:r>
        </a:p>
      </xdr:txBody>
    </xdr:sp>
    <xdr:clientData/>
  </xdr:twoCellAnchor>
  <xdr:twoCellAnchor>
    <xdr:from>
      <xdr:col>7</xdr:col>
      <xdr:colOff>398780</xdr:colOff>
      <xdr:row>14</xdr:row>
      <xdr:rowOff>81915</xdr:rowOff>
    </xdr:from>
    <xdr:to>
      <xdr:col>9</xdr:col>
      <xdr:colOff>268694</xdr:colOff>
      <xdr:row>16</xdr:row>
      <xdr:rowOff>143434</xdr:rowOff>
    </xdr:to>
    <xdr:sp macro="" textlink="">
      <xdr:nvSpPr>
        <xdr:cNvPr id="5" name="Rounded 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6553200" y="2676525"/>
          <a:ext cx="1260000" cy="468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Arial" pitchFamily="34" charset="0"/>
              <a:cs typeface="Arial" pitchFamily="34" charset="0"/>
            </a:rPr>
            <a:t>REPORT</a:t>
          </a:r>
        </a:p>
      </xdr:txBody>
    </xdr:sp>
    <xdr:clientData/>
  </xdr:twoCellAnchor>
  <xdr:twoCellAnchor>
    <xdr:from>
      <xdr:col>7</xdr:col>
      <xdr:colOff>398780</xdr:colOff>
      <xdr:row>17</xdr:row>
      <xdr:rowOff>46355</xdr:rowOff>
    </xdr:from>
    <xdr:to>
      <xdr:col>9</xdr:col>
      <xdr:colOff>270581</xdr:colOff>
      <xdr:row>19</xdr:row>
      <xdr:rowOff>119423</xdr:rowOff>
    </xdr:to>
    <xdr:sp macro="" textlink="">
      <xdr:nvSpPr>
        <xdr:cNvPr id="6" name="Rounded 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/>
      </xdr:nvSpPr>
      <xdr:spPr>
        <a:xfrm>
          <a:off x="6543675" y="3257550"/>
          <a:ext cx="1260000" cy="468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Arial" pitchFamily="34" charset="0"/>
              <a:cs typeface="Arial" pitchFamily="34" charset="0"/>
            </a:rPr>
            <a:t>DATA</a:t>
          </a:r>
        </a:p>
      </xdr:txBody>
    </xdr:sp>
    <xdr:clientData/>
  </xdr:twoCellAnchor>
  <xdr:twoCellAnchor>
    <xdr:from>
      <xdr:col>7</xdr:col>
      <xdr:colOff>335280</xdr:colOff>
      <xdr:row>5</xdr:row>
      <xdr:rowOff>120015</xdr:rowOff>
    </xdr:from>
    <xdr:to>
      <xdr:col>9</xdr:col>
      <xdr:colOff>260688</xdr:colOff>
      <xdr:row>8</xdr:row>
      <xdr:rowOff>2551</xdr:rowOff>
    </xdr:to>
    <xdr:sp macro="" textlink="">
      <xdr:nvSpPr>
        <xdr:cNvPr id="7" name="Rounded 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/>
      </xdr:nvSpPr>
      <xdr:spPr>
        <a:xfrm>
          <a:off x="6524625" y="923925"/>
          <a:ext cx="1260000" cy="468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400" b="1">
              <a:latin typeface="Arial" pitchFamily="34" charset="0"/>
              <a:cs typeface="Arial" pitchFamily="34" charset="0"/>
            </a:rPr>
            <a:t>INTERIM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A5F1400\DRAFT%20SURVEY%20DEVOT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-8f2c35\Users\user\Documents\0.%20MY%20WORKING%20FILES\3.%2020170210%20COFF\15.%20DRAFT%20SURVEY-OTHER%20CALCULATIONS\20160815%20COFF\MY%20DRAFT%20SURVEY%20PROGRAMS\WINDOWS\Desktop\LTF%20draft%20survey\V200A%20Draft%20survey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FBFAAE\Draft%20survey%20(Updated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FT SURVEY"/>
      <sheetName val="TRIMMING"/>
      <sheetName val="REPORT PRINT"/>
      <sheetName val="INITIAL"/>
      <sheetName val="INTERMEDIATE"/>
      <sheetName val="FINAL"/>
      <sheetName val="HYDROSTATIC TABLE"/>
      <sheetName val="EXPERIMENTAL"/>
    </sheetNames>
    <sheetDataSet>
      <sheetData sheetId="0"/>
      <sheetData sheetId="1">
        <row r="5">
          <cell r="I5">
            <v>1</v>
          </cell>
          <cell r="J5">
            <v>-65.400000000000006</v>
          </cell>
        </row>
        <row r="6">
          <cell r="I6">
            <v>2</v>
          </cell>
          <cell r="J6">
            <v>-37.950000000000003</v>
          </cell>
        </row>
        <row r="7">
          <cell r="I7" t="str">
            <v>3</v>
          </cell>
          <cell r="J7">
            <v>-8.91</v>
          </cell>
        </row>
        <row r="8">
          <cell r="I8" t="str">
            <v>4</v>
          </cell>
          <cell r="J8">
            <v>20.239999999999998</v>
          </cell>
        </row>
        <row r="9">
          <cell r="I9">
            <v>5</v>
          </cell>
          <cell r="J9">
            <v>49.57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</sheetData>
      <sheetData sheetId="2"/>
      <sheetData sheetId="3">
        <row r="6">
          <cell r="I6">
            <v>1.0249999999999999</v>
          </cell>
        </row>
        <row r="8">
          <cell r="F8">
            <v>3.0164</v>
          </cell>
          <cell r="I8">
            <v>4.4895499999999995</v>
          </cell>
        </row>
        <row r="10">
          <cell r="I10">
            <v>4.4400000000000004</v>
          </cell>
        </row>
        <row r="11">
          <cell r="S11">
            <v>-3.29</v>
          </cell>
        </row>
        <row r="12">
          <cell r="F12">
            <v>5.9626999999999999</v>
          </cell>
        </row>
        <row r="13">
          <cell r="S13">
            <v>0</v>
          </cell>
        </row>
        <row r="15">
          <cell r="I15">
            <v>4.4647749999999995</v>
          </cell>
          <cell r="S15">
            <v>9.3800000000000008</v>
          </cell>
        </row>
        <row r="16">
          <cell r="D16">
            <v>2.7399999999999998</v>
          </cell>
          <cell r="F16">
            <v>2.9462999999999999</v>
          </cell>
        </row>
        <row r="17">
          <cell r="S17">
            <v>168.33</v>
          </cell>
        </row>
        <row r="25">
          <cell r="D25">
            <v>4.4523875000000004</v>
          </cell>
        </row>
        <row r="29">
          <cell r="D29">
            <v>20088.69875</v>
          </cell>
        </row>
        <row r="30">
          <cell r="D30">
            <v>-6.14</v>
          </cell>
        </row>
        <row r="31">
          <cell r="D31">
            <v>48.1</v>
          </cell>
        </row>
        <row r="32">
          <cell r="D32">
            <v>14.07612499999999</v>
          </cell>
        </row>
        <row r="35">
          <cell r="D35">
            <v>-480.74174817679551</v>
          </cell>
        </row>
        <row r="37">
          <cell r="D37">
            <v>19641.711252846933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Known_Wts"/>
      <sheetName val="Trimming"/>
      <sheetName val="Hatches"/>
      <sheetName val="Hydrostatics"/>
    </sheetNames>
    <sheetDataSet>
      <sheetData sheetId="0" refreshError="1">
        <row r="12">
          <cell r="C12">
            <v>220</v>
          </cell>
        </row>
      </sheetData>
      <sheetData sheetId="1" refreshError="1"/>
      <sheetData sheetId="2" refreshError="1"/>
      <sheetData sheetId="3" refreshError="1"/>
      <sheetData sheetId="4" refreshError="1">
        <row r="2">
          <cell r="A2">
            <v>4</v>
          </cell>
          <cell r="B2">
            <v>29501</v>
          </cell>
          <cell r="C2">
            <v>78</v>
          </cell>
          <cell r="D2">
            <v>-8.5820000000000007</v>
          </cell>
          <cell r="E2">
            <v>1000.75</v>
          </cell>
        </row>
        <row r="3">
          <cell r="A3">
            <v>4.2</v>
          </cell>
          <cell r="B3">
            <v>31054</v>
          </cell>
          <cell r="C3">
            <v>78.3</v>
          </cell>
          <cell r="D3">
            <v>-8.51</v>
          </cell>
          <cell r="E3">
            <v>1006.69</v>
          </cell>
        </row>
        <row r="4">
          <cell r="A4">
            <v>4.4000000000000004</v>
          </cell>
          <cell r="B4">
            <v>32612</v>
          </cell>
          <cell r="C4">
            <v>78.599999999999994</v>
          </cell>
          <cell r="D4">
            <v>-8.43</v>
          </cell>
          <cell r="E4">
            <v>1012.5</v>
          </cell>
        </row>
        <row r="5">
          <cell r="A5">
            <v>4.6000000000000005</v>
          </cell>
          <cell r="B5">
            <v>34174</v>
          </cell>
          <cell r="C5">
            <v>79</v>
          </cell>
          <cell r="D5">
            <v>-8.3439999999999994</v>
          </cell>
          <cell r="E5">
            <v>1018.19</v>
          </cell>
        </row>
        <row r="6">
          <cell r="A6">
            <v>4.8000000000000007</v>
          </cell>
          <cell r="B6">
            <v>35739</v>
          </cell>
          <cell r="C6">
            <v>79.2</v>
          </cell>
          <cell r="D6">
            <v>-8.25</v>
          </cell>
          <cell r="E6">
            <v>1023.79</v>
          </cell>
        </row>
        <row r="7">
          <cell r="A7">
            <v>5.0000000000000009</v>
          </cell>
          <cell r="B7">
            <v>37307</v>
          </cell>
          <cell r="C7">
            <v>79.400000000000006</v>
          </cell>
          <cell r="D7">
            <v>-8.1489999999999991</v>
          </cell>
          <cell r="E7">
            <v>1029.28</v>
          </cell>
        </row>
        <row r="8">
          <cell r="A8">
            <v>5.2000000000000011</v>
          </cell>
          <cell r="B8">
            <v>38880</v>
          </cell>
          <cell r="C8">
            <v>79.599999999999994</v>
          </cell>
          <cell r="D8">
            <v>-8.0429999999999993</v>
          </cell>
          <cell r="E8">
            <v>1034.73</v>
          </cell>
        </row>
        <row r="9">
          <cell r="A9">
            <v>5.4000000000000012</v>
          </cell>
          <cell r="B9">
            <v>40456</v>
          </cell>
          <cell r="C9">
            <v>79.8</v>
          </cell>
          <cell r="D9">
            <v>-7.93</v>
          </cell>
          <cell r="E9">
            <v>1040.1300000000001</v>
          </cell>
        </row>
        <row r="10">
          <cell r="A10">
            <v>5.6000000000000014</v>
          </cell>
          <cell r="B10">
            <v>42037</v>
          </cell>
          <cell r="C10">
            <v>80</v>
          </cell>
          <cell r="D10">
            <v>-7.81</v>
          </cell>
          <cell r="E10">
            <v>1045.48</v>
          </cell>
        </row>
        <row r="11">
          <cell r="A11">
            <v>5.8000000000000016</v>
          </cell>
          <cell r="B11">
            <v>43620</v>
          </cell>
          <cell r="C11">
            <v>80.099999999999994</v>
          </cell>
          <cell r="D11">
            <v>-7.6840000000000002</v>
          </cell>
          <cell r="E11">
            <v>1050.8399999999999</v>
          </cell>
        </row>
        <row r="12">
          <cell r="A12">
            <v>6.0000000000000018</v>
          </cell>
          <cell r="B12">
            <v>45208</v>
          </cell>
          <cell r="C12">
            <v>80.2</v>
          </cell>
          <cell r="D12">
            <v>-7.5519999999999996</v>
          </cell>
          <cell r="E12">
            <v>1056.18</v>
          </cell>
        </row>
        <row r="13">
          <cell r="A13">
            <v>6.200000000000002</v>
          </cell>
          <cell r="B13">
            <v>46799</v>
          </cell>
          <cell r="C13">
            <v>80.3</v>
          </cell>
          <cell r="D13">
            <v>-7.4119999999999999</v>
          </cell>
          <cell r="E13">
            <v>1061.5899999999999</v>
          </cell>
        </row>
        <row r="14">
          <cell r="A14">
            <v>6.4000000000000021</v>
          </cell>
          <cell r="B14">
            <v>48393</v>
          </cell>
          <cell r="C14">
            <v>80.5</v>
          </cell>
          <cell r="D14">
            <v>-7.266</v>
          </cell>
          <cell r="E14">
            <v>1067.07</v>
          </cell>
        </row>
        <row r="15">
          <cell r="A15">
            <v>6.6000000000000023</v>
          </cell>
          <cell r="B15">
            <v>49992</v>
          </cell>
          <cell r="C15">
            <v>80.7</v>
          </cell>
          <cell r="D15">
            <v>-7.1109999999999998</v>
          </cell>
          <cell r="E15">
            <v>1072.6400000000001</v>
          </cell>
        </row>
        <row r="16">
          <cell r="A16">
            <v>6.8000000000000025</v>
          </cell>
          <cell r="B16">
            <v>51594</v>
          </cell>
          <cell r="C16">
            <v>80.849999999999994</v>
          </cell>
          <cell r="D16">
            <v>-6.9459999999999997</v>
          </cell>
          <cell r="E16">
            <v>1078.3900000000001</v>
          </cell>
        </row>
        <row r="17">
          <cell r="A17">
            <v>7.0000000000000027</v>
          </cell>
          <cell r="B17">
            <v>53200</v>
          </cell>
          <cell r="C17">
            <v>81</v>
          </cell>
          <cell r="D17">
            <v>-6.7729999999999997</v>
          </cell>
          <cell r="E17">
            <v>1084.27</v>
          </cell>
        </row>
        <row r="18">
          <cell r="A18">
            <v>7.2000000000000028</v>
          </cell>
          <cell r="B18">
            <v>54809</v>
          </cell>
          <cell r="C18">
            <v>81.25</v>
          </cell>
          <cell r="D18">
            <v>-6.5910000000000002</v>
          </cell>
          <cell r="E18">
            <v>1090.4000000000001</v>
          </cell>
        </row>
        <row r="19">
          <cell r="A19">
            <v>7.400000000000003</v>
          </cell>
          <cell r="B19">
            <v>56423</v>
          </cell>
          <cell r="C19">
            <v>81.5</v>
          </cell>
          <cell r="D19">
            <v>-6.4020000000000001</v>
          </cell>
          <cell r="E19">
            <v>1096.75</v>
          </cell>
        </row>
        <row r="20">
          <cell r="A20">
            <v>7.6000000000000032</v>
          </cell>
          <cell r="B20">
            <v>58041</v>
          </cell>
          <cell r="C20">
            <v>81.75</v>
          </cell>
          <cell r="D20">
            <v>-6.2039999999999997</v>
          </cell>
          <cell r="E20">
            <v>1103.27</v>
          </cell>
        </row>
        <row r="21">
          <cell r="A21">
            <v>7.8000000000000034</v>
          </cell>
          <cell r="B21">
            <v>59662</v>
          </cell>
          <cell r="C21">
            <v>82</v>
          </cell>
          <cell r="D21">
            <v>-6.0010000000000003</v>
          </cell>
          <cell r="E21">
            <v>1109.8900000000001</v>
          </cell>
        </row>
        <row r="22">
          <cell r="A22">
            <v>8.0000000000000036</v>
          </cell>
          <cell r="B22">
            <v>61288</v>
          </cell>
          <cell r="C22">
            <v>82.1</v>
          </cell>
          <cell r="D22">
            <v>-5.7910000000000004</v>
          </cell>
          <cell r="E22">
            <v>1116.6500000000001</v>
          </cell>
        </row>
        <row r="23">
          <cell r="A23">
            <v>8.2000000000000028</v>
          </cell>
          <cell r="B23">
            <v>62918</v>
          </cell>
          <cell r="C23">
            <v>82.2</v>
          </cell>
          <cell r="D23">
            <v>-5.5789999999999997</v>
          </cell>
          <cell r="E23">
            <v>1123.3800000000001</v>
          </cell>
        </row>
        <row r="24">
          <cell r="A24">
            <v>8.4000000000000021</v>
          </cell>
          <cell r="B24">
            <v>64552</v>
          </cell>
          <cell r="C24">
            <v>82.35</v>
          </cell>
          <cell r="D24">
            <v>-5.3639999999999999</v>
          </cell>
          <cell r="E24">
            <v>1130.1300000000001</v>
          </cell>
        </row>
        <row r="25">
          <cell r="A25">
            <v>8.6000000000000014</v>
          </cell>
          <cell r="B25">
            <v>66190</v>
          </cell>
          <cell r="C25">
            <v>82.5</v>
          </cell>
          <cell r="D25">
            <v>-5.1429999999999998</v>
          </cell>
          <cell r="E25">
            <v>1136.96</v>
          </cell>
        </row>
        <row r="26">
          <cell r="A26">
            <v>8.8000000000000007</v>
          </cell>
          <cell r="B26">
            <v>67831</v>
          </cell>
          <cell r="C26">
            <v>82.7</v>
          </cell>
          <cell r="D26">
            <v>-4.9139999999999997</v>
          </cell>
          <cell r="E26">
            <v>1143.98</v>
          </cell>
        </row>
        <row r="27">
          <cell r="A27">
            <v>9</v>
          </cell>
          <cell r="B27">
            <v>69477</v>
          </cell>
          <cell r="C27">
            <v>82.9</v>
          </cell>
          <cell r="D27">
            <v>-4.6779999999999999</v>
          </cell>
          <cell r="E27">
            <v>1151.1500000000001</v>
          </cell>
        </row>
        <row r="28">
          <cell r="A28">
            <v>9.1999999999999993</v>
          </cell>
          <cell r="B28">
            <v>71128</v>
          </cell>
          <cell r="C28">
            <v>83</v>
          </cell>
          <cell r="D28">
            <v>-4.407</v>
          </cell>
          <cell r="E28">
            <v>1159.43</v>
          </cell>
        </row>
        <row r="29">
          <cell r="A29">
            <v>9.3999999999999986</v>
          </cell>
          <cell r="B29">
            <v>72783</v>
          </cell>
          <cell r="C29">
            <v>83.1</v>
          </cell>
          <cell r="D29">
            <v>-4.1079999999999997</v>
          </cell>
          <cell r="E29">
            <v>1168.56</v>
          </cell>
        </row>
        <row r="30">
          <cell r="A30">
            <v>9.5999999999999979</v>
          </cell>
          <cell r="B30">
            <v>74444</v>
          </cell>
          <cell r="C30">
            <v>83.4</v>
          </cell>
          <cell r="D30">
            <v>-3.7850000000000001</v>
          </cell>
          <cell r="E30">
            <v>1178.07</v>
          </cell>
        </row>
        <row r="31">
          <cell r="A31">
            <v>9.7999999999999972</v>
          </cell>
          <cell r="B31">
            <v>76109</v>
          </cell>
          <cell r="C31">
            <v>83.7</v>
          </cell>
          <cell r="D31">
            <v>-3.4390000000000001</v>
          </cell>
          <cell r="E31">
            <v>1187.28</v>
          </cell>
        </row>
        <row r="32">
          <cell r="A32">
            <v>9.9999999999999964</v>
          </cell>
          <cell r="B32">
            <v>77778</v>
          </cell>
          <cell r="C32">
            <v>84</v>
          </cell>
          <cell r="D32">
            <v>-3.0710000000000002</v>
          </cell>
          <cell r="E32">
            <v>1196.58</v>
          </cell>
        </row>
        <row r="33">
          <cell r="A33">
            <v>10.199999999999996</v>
          </cell>
          <cell r="B33">
            <v>79453</v>
          </cell>
          <cell r="C33">
            <v>84.3</v>
          </cell>
          <cell r="D33">
            <v>-2.7509999999999999</v>
          </cell>
          <cell r="E33">
            <v>1205.6600000000001</v>
          </cell>
        </row>
        <row r="34">
          <cell r="A34">
            <v>10.399999999999995</v>
          </cell>
          <cell r="B34">
            <v>81132</v>
          </cell>
          <cell r="C34">
            <v>84.5</v>
          </cell>
          <cell r="D34">
            <v>-2.4590000000000001</v>
          </cell>
          <cell r="E34">
            <v>1214.5999999999999</v>
          </cell>
        </row>
        <row r="35">
          <cell r="A35">
            <v>10.599999999999994</v>
          </cell>
          <cell r="B35">
            <v>82815</v>
          </cell>
          <cell r="C35">
            <v>84.7</v>
          </cell>
          <cell r="D35">
            <v>-2.1800000000000002</v>
          </cell>
          <cell r="E35">
            <v>1223.73</v>
          </cell>
        </row>
        <row r="36">
          <cell r="A36">
            <v>10.799999999999994</v>
          </cell>
          <cell r="B36">
            <v>84503</v>
          </cell>
          <cell r="C36">
            <v>85</v>
          </cell>
          <cell r="D36">
            <v>-1.8979999999999999</v>
          </cell>
          <cell r="E36">
            <v>1233.57</v>
          </cell>
        </row>
        <row r="37">
          <cell r="A37">
            <v>10.999999999999993</v>
          </cell>
          <cell r="B37">
            <v>86196</v>
          </cell>
          <cell r="C37">
            <v>85.2</v>
          </cell>
          <cell r="D37">
            <v>-1.621</v>
          </cell>
          <cell r="E37">
            <v>1243.82</v>
          </cell>
        </row>
        <row r="38">
          <cell r="A38">
            <v>11.199999999999992</v>
          </cell>
          <cell r="B38">
            <v>87893</v>
          </cell>
          <cell r="C38">
            <v>85.4</v>
          </cell>
          <cell r="D38">
            <v>-1.329</v>
          </cell>
          <cell r="E38">
            <v>1254.58</v>
          </cell>
        </row>
        <row r="39">
          <cell r="A39">
            <v>11.399999999999991</v>
          </cell>
          <cell r="B39">
            <v>89595</v>
          </cell>
          <cell r="C39">
            <v>85.6</v>
          </cell>
          <cell r="D39">
            <v>-1.03</v>
          </cell>
          <cell r="E39">
            <v>1265.83</v>
          </cell>
        </row>
        <row r="40">
          <cell r="A40">
            <v>11.599999999999991</v>
          </cell>
          <cell r="B40">
            <v>91301</v>
          </cell>
          <cell r="C40">
            <v>85.8</v>
          </cell>
          <cell r="D40">
            <v>-0.73</v>
          </cell>
          <cell r="E40">
            <v>1277.33</v>
          </cell>
        </row>
        <row r="41">
          <cell r="A41">
            <v>11.79999999999999</v>
          </cell>
          <cell r="B41">
            <v>93014</v>
          </cell>
          <cell r="C41">
            <v>86</v>
          </cell>
          <cell r="D41">
            <v>-0.44400000000000001</v>
          </cell>
          <cell r="E41">
            <v>1288.6600000000001</v>
          </cell>
        </row>
        <row r="42">
          <cell r="A42">
            <v>11.999999999999989</v>
          </cell>
          <cell r="B42">
            <v>94732</v>
          </cell>
          <cell r="C42">
            <v>86.2</v>
          </cell>
          <cell r="D42">
            <v>-0.16400000000000001</v>
          </cell>
          <cell r="E42">
            <v>1300.07</v>
          </cell>
        </row>
        <row r="43">
          <cell r="A43">
            <v>12.199999999999989</v>
          </cell>
          <cell r="B43">
            <v>96454</v>
          </cell>
          <cell r="C43">
            <v>86.4</v>
          </cell>
          <cell r="D43">
            <v>8.5000000000000006E-2</v>
          </cell>
          <cell r="E43">
            <v>1310.94</v>
          </cell>
        </row>
        <row r="44">
          <cell r="A44">
            <v>12.399999999999988</v>
          </cell>
          <cell r="B44">
            <v>98182</v>
          </cell>
          <cell r="C44">
            <v>86.6</v>
          </cell>
          <cell r="D44">
            <v>0.309</v>
          </cell>
          <cell r="E44">
            <v>1321.44</v>
          </cell>
        </row>
        <row r="45">
          <cell r="A45">
            <v>12.599999999999987</v>
          </cell>
          <cell r="B45">
            <v>99914</v>
          </cell>
          <cell r="C45">
            <v>86.8</v>
          </cell>
          <cell r="D45">
            <v>0.50900000000000001</v>
          </cell>
          <cell r="E45">
            <v>1331.63</v>
          </cell>
        </row>
        <row r="46">
          <cell r="A46">
            <v>12.799999999999986</v>
          </cell>
          <cell r="B46">
            <v>101651</v>
          </cell>
          <cell r="C46">
            <v>87</v>
          </cell>
          <cell r="D46">
            <v>0.68300000000000005</v>
          </cell>
          <cell r="E46">
            <v>1341.54</v>
          </cell>
        </row>
        <row r="47">
          <cell r="A47">
            <v>12.999999999999986</v>
          </cell>
          <cell r="B47">
            <v>103393</v>
          </cell>
          <cell r="C47">
            <v>87.25</v>
          </cell>
          <cell r="D47">
            <v>0.83199999999999996</v>
          </cell>
          <cell r="E47">
            <v>1351.16</v>
          </cell>
        </row>
        <row r="48">
          <cell r="A48">
            <v>13.199999999999985</v>
          </cell>
          <cell r="B48">
            <v>105138</v>
          </cell>
          <cell r="C48">
            <v>87.5</v>
          </cell>
          <cell r="D48">
            <v>0.97199999999999998</v>
          </cell>
          <cell r="E48">
            <v>1360.43</v>
          </cell>
        </row>
        <row r="49">
          <cell r="A49">
            <v>13.399999999999984</v>
          </cell>
          <cell r="B49">
            <v>106888</v>
          </cell>
          <cell r="C49">
            <v>87.75</v>
          </cell>
          <cell r="D49">
            <v>1.099</v>
          </cell>
          <cell r="E49">
            <v>1369.38</v>
          </cell>
        </row>
        <row r="50">
          <cell r="A50">
            <v>13.599999999999984</v>
          </cell>
          <cell r="B50">
            <v>108642</v>
          </cell>
          <cell r="C50">
            <v>88</v>
          </cell>
          <cell r="D50">
            <v>1.2130000000000001</v>
          </cell>
          <cell r="E50">
            <v>1378.06</v>
          </cell>
        </row>
        <row r="51">
          <cell r="A51">
            <v>13.799999999999983</v>
          </cell>
          <cell r="B51">
            <v>110400</v>
          </cell>
          <cell r="C51">
            <v>88.25</v>
          </cell>
          <cell r="D51">
            <v>1.319</v>
          </cell>
          <cell r="E51">
            <v>1386.54</v>
          </cell>
        </row>
        <row r="52">
          <cell r="A52">
            <v>13.999999999999982</v>
          </cell>
          <cell r="B52">
            <v>112162</v>
          </cell>
          <cell r="C52">
            <v>88.5</v>
          </cell>
          <cell r="D52">
            <v>1.413</v>
          </cell>
          <cell r="E52">
            <v>1394.79</v>
          </cell>
        </row>
        <row r="53">
          <cell r="A53">
            <v>14.199999999999982</v>
          </cell>
        </row>
        <row r="54">
          <cell r="A54">
            <v>14.399999999999981</v>
          </cell>
        </row>
        <row r="55">
          <cell r="A55">
            <v>14.59999999999998</v>
          </cell>
        </row>
        <row r="56">
          <cell r="A56">
            <v>14.799999999999979</v>
          </cell>
        </row>
        <row r="57">
          <cell r="A57">
            <v>14.999999999999979</v>
          </cell>
        </row>
        <row r="58">
          <cell r="A58">
            <v>15.199999999999978</v>
          </cell>
        </row>
        <row r="59">
          <cell r="A59">
            <v>15.399999999999977</v>
          </cell>
        </row>
        <row r="60">
          <cell r="A60">
            <v>15.599999999999977</v>
          </cell>
        </row>
        <row r="61">
          <cell r="A61">
            <v>15.799999999999976</v>
          </cell>
        </row>
        <row r="62">
          <cell r="A62">
            <v>15.999999999999975</v>
          </cell>
        </row>
        <row r="63">
          <cell r="A63">
            <v>16.199999999999974</v>
          </cell>
        </row>
        <row r="64">
          <cell r="A64">
            <v>16.399999999999974</v>
          </cell>
        </row>
        <row r="65">
          <cell r="A65">
            <v>16.599999999999973</v>
          </cell>
        </row>
        <row r="66">
          <cell r="A66">
            <v>16.799999999999972</v>
          </cell>
        </row>
        <row r="67">
          <cell r="A67">
            <v>16.999999999999972</v>
          </cell>
        </row>
        <row r="68">
          <cell r="A68">
            <v>17.199999999999971</v>
          </cell>
        </row>
        <row r="69">
          <cell r="A69">
            <v>17.39999999999997</v>
          </cell>
        </row>
        <row r="70">
          <cell r="A70">
            <v>17.599999999999969</v>
          </cell>
        </row>
        <row r="71">
          <cell r="A71">
            <v>17.799999999999969</v>
          </cell>
        </row>
        <row r="72">
          <cell r="A72">
            <v>17.999999999999968</v>
          </cell>
        </row>
        <row r="73">
          <cell r="A73">
            <v>18.199999999999967</v>
          </cell>
        </row>
        <row r="74">
          <cell r="A74">
            <v>18.399999999999967</v>
          </cell>
        </row>
        <row r="75">
          <cell r="A75">
            <v>18.599999999999966</v>
          </cell>
        </row>
        <row r="76">
          <cell r="A76">
            <v>18.799999999999965</v>
          </cell>
        </row>
        <row r="77">
          <cell r="A77">
            <v>18.999999999999964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Known_Wts"/>
      <sheetName val="Trimming"/>
      <sheetName val="Hatches"/>
      <sheetName val="Hydrostatics"/>
    </sheetNames>
    <sheetDataSet>
      <sheetData sheetId="0">
        <row r="17">
          <cell r="G17">
            <v>195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CC610"/>
  <sheetViews>
    <sheetView showGridLines="0" showRowColHeaders="0" showZeros="0" zoomScale="70" zoomScaleNormal="70" zoomScaleSheetLayoutView="55" workbookViewId="0">
      <selection activeCell="E34" sqref="E34"/>
    </sheetView>
  </sheetViews>
  <sheetFormatPr defaultColWidth="9" defaultRowHeight="14.25"/>
  <cols>
    <col min="1" max="1" width="5.625" customWidth="1"/>
    <col min="2" max="2" width="8.75" customWidth="1"/>
    <col min="3" max="5" width="14.25" customWidth="1"/>
    <col min="6" max="6" width="15.75" customWidth="1"/>
    <col min="7" max="8" width="13.625" customWidth="1"/>
    <col min="9" max="9" width="18.625" customWidth="1"/>
    <col min="10" max="10" width="8.75" customWidth="1"/>
    <col min="11" max="11" width="2.625" customWidth="1"/>
    <col min="12" max="12" width="9" customWidth="1"/>
    <col min="14" max="14" width="15.25" customWidth="1"/>
    <col min="15" max="20" width="10.75" customWidth="1"/>
    <col min="24" max="24" width="11.25" customWidth="1"/>
  </cols>
  <sheetData>
    <row r="1" spans="1:81" ht="20.100000000000001" customHeight="1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</row>
    <row r="2" spans="1:81" ht="20.100000000000001" customHeight="1">
      <c r="A2" s="41"/>
      <c r="B2" s="757" t="s">
        <v>153</v>
      </c>
      <c r="C2" s="758"/>
      <c r="D2" s="758"/>
      <c r="E2" s="300"/>
      <c r="F2" s="300"/>
      <c r="G2" s="300"/>
      <c r="H2" s="300"/>
      <c r="I2" s="300"/>
      <c r="J2" s="30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</row>
    <row r="3" spans="1:81" ht="22.5" customHeight="1">
      <c r="A3" s="41"/>
      <c r="B3" s="759"/>
      <c r="C3" s="760"/>
      <c r="D3" s="760"/>
      <c r="E3" s="229" t="s">
        <v>168</v>
      </c>
      <c r="F3" s="755" t="s">
        <v>429</v>
      </c>
      <c r="G3" s="755"/>
      <c r="H3" s="229" t="s">
        <v>169</v>
      </c>
      <c r="I3" s="440">
        <v>45181</v>
      </c>
      <c r="J3" s="302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</row>
    <row r="4" spans="1:81" ht="22.5" customHeight="1">
      <c r="A4" s="41"/>
      <c r="B4" s="303"/>
      <c r="C4" s="385">
        <v>1</v>
      </c>
      <c r="E4" s="229" t="s">
        <v>188</v>
      </c>
      <c r="F4" s="762" t="s">
        <v>435</v>
      </c>
      <c r="G4" s="762"/>
      <c r="H4" s="230"/>
      <c r="I4" s="230"/>
      <c r="J4" s="302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</row>
    <row r="5" spans="1:81" ht="22.5" customHeight="1">
      <c r="A5" s="41"/>
      <c r="B5" s="303"/>
      <c r="C5" s="231" t="s">
        <v>211</v>
      </c>
      <c r="D5" s="230"/>
      <c r="E5" s="230"/>
      <c r="F5" s="230"/>
      <c r="G5" s="756" t="s">
        <v>170</v>
      </c>
      <c r="H5" s="756"/>
      <c r="I5" s="386">
        <v>1.0229999999999999</v>
      </c>
      <c r="J5" s="302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</row>
    <row r="6" spans="1:81" ht="22.5" customHeight="1">
      <c r="A6" s="41"/>
      <c r="B6" s="303"/>
      <c r="C6" s="414">
        <v>8.1300000000000008</v>
      </c>
      <c r="D6" s="230"/>
      <c r="E6" s="414">
        <v>8.1</v>
      </c>
      <c r="F6" s="230"/>
      <c r="G6" s="232"/>
      <c r="H6" s="233"/>
      <c r="I6" s="234"/>
      <c r="J6" s="302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</row>
    <row r="7" spans="1:81" ht="22.5" customHeight="1">
      <c r="A7" s="41"/>
      <c r="B7" s="303"/>
      <c r="C7" s="415"/>
      <c r="D7" s="230"/>
      <c r="E7" s="415"/>
      <c r="F7" s="230"/>
      <c r="G7" s="756" t="s">
        <v>30</v>
      </c>
      <c r="H7" s="756"/>
      <c r="I7" s="726">
        <v>1293.8699999999999</v>
      </c>
      <c r="J7" s="302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</row>
    <row r="8" spans="1:81" ht="22.5" customHeight="1">
      <c r="A8" s="41"/>
      <c r="B8" s="303"/>
      <c r="C8" s="416">
        <f>IF(C11&gt;E11,ABS(DEGREES(ATAN((C11-E11)/data!$E$14))),"")</f>
        <v>0.10051880829859919</v>
      </c>
      <c r="D8" s="230"/>
      <c r="E8" s="417" t="str">
        <f>IF(E11&gt;C11,ABS(DEGREES(ATAN((C11-E11)/data!$E$14))),"")</f>
        <v/>
      </c>
      <c r="F8" s="230"/>
      <c r="G8" s="756" t="s">
        <v>31</v>
      </c>
      <c r="H8" s="756"/>
      <c r="I8" s="726">
        <v>67.34</v>
      </c>
      <c r="J8" s="302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</row>
    <row r="9" spans="1:81" ht="22.5" customHeight="1">
      <c r="A9" s="41"/>
      <c r="B9" s="433"/>
      <c r="C9" s="437" t="str">
        <f>IF(C11&gt;E11,"List to Port","")</f>
        <v>List to Port</v>
      </c>
      <c r="D9" s="434"/>
      <c r="E9" s="438" t="str">
        <f>IF(E11&gt;C11,"List to Starboard","")</f>
        <v/>
      </c>
      <c r="F9" s="434"/>
      <c r="G9" s="756" t="s">
        <v>32</v>
      </c>
      <c r="H9" s="756"/>
      <c r="I9" s="706">
        <v>215</v>
      </c>
      <c r="J9" s="302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</row>
    <row r="10" spans="1:81" ht="22.5" customHeight="1">
      <c r="A10" s="41"/>
      <c r="B10" s="303"/>
      <c r="C10" s="415"/>
      <c r="D10" s="230"/>
      <c r="E10" s="415"/>
      <c r="F10" s="230"/>
      <c r="G10" s="756" t="s">
        <v>36</v>
      </c>
      <c r="H10" s="756"/>
      <c r="I10" s="706">
        <v>99020</v>
      </c>
      <c r="J10" s="302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</row>
    <row r="11" spans="1:81" ht="22.5" customHeight="1">
      <c r="A11" s="41"/>
      <c r="B11" s="303"/>
      <c r="C11" s="414">
        <v>9.18</v>
      </c>
      <c r="D11" s="230"/>
      <c r="E11" s="414">
        <v>9.08</v>
      </c>
      <c r="F11" s="230"/>
      <c r="G11" s="756" t="s">
        <v>38</v>
      </c>
      <c r="H11" s="756"/>
      <c r="I11" s="706">
        <v>0</v>
      </c>
      <c r="J11" s="302"/>
      <c r="K11" s="41" t="s">
        <v>58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</row>
    <row r="12" spans="1:81" ht="22.5" customHeight="1">
      <c r="A12" s="41"/>
      <c r="B12" s="303"/>
      <c r="C12" s="415"/>
      <c r="D12" s="230"/>
      <c r="E12" s="415"/>
      <c r="F12" s="230"/>
      <c r="G12" s="756" t="str">
        <f>IF($C$4=1,"","Constant")</f>
        <v/>
      </c>
      <c r="H12" s="756"/>
      <c r="I12" s="706"/>
      <c r="J12" s="302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</row>
    <row r="13" spans="1:81" ht="22.5" customHeight="1">
      <c r="A13" s="41"/>
      <c r="B13" s="303"/>
      <c r="C13" s="415"/>
      <c r="D13" s="230"/>
      <c r="E13" s="415"/>
      <c r="F13" s="230"/>
      <c r="G13" s="761" t="str">
        <f>IF(C4=1,"Constant","Cargo")</f>
        <v>Constant</v>
      </c>
      <c r="H13" s="761"/>
      <c r="I13" s="235">
        <f>calc!F36</f>
        <v>629</v>
      </c>
      <c r="J13" s="304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</row>
    <row r="14" spans="1:81" ht="22.5" customHeight="1">
      <c r="A14" s="41"/>
      <c r="B14" s="303"/>
      <c r="C14" s="415"/>
      <c r="D14" s="230"/>
      <c r="E14" s="415"/>
      <c r="F14" s="230"/>
      <c r="G14" s="230"/>
      <c r="H14" s="230"/>
      <c r="I14" s="413"/>
      <c r="J14" s="302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</row>
    <row r="15" spans="1:81" ht="22.5" customHeight="1">
      <c r="A15" s="41"/>
      <c r="B15" s="303"/>
      <c r="C15" s="415"/>
      <c r="D15" s="230"/>
      <c r="E15" s="415"/>
      <c r="F15" s="230"/>
      <c r="G15" s="761" t="str">
        <f>IF(C4=1,"Required Constant","")</f>
        <v>Required Constant</v>
      </c>
      <c r="H15" s="761"/>
      <c r="I15" s="424">
        <v>629</v>
      </c>
      <c r="J15" s="302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</row>
    <row r="16" spans="1:81" ht="22.5" customHeight="1">
      <c r="A16" s="41"/>
      <c r="B16" s="303"/>
      <c r="C16" s="414">
        <v>9.86</v>
      </c>
      <c r="D16" s="230"/>
      <c r="E16" s="414">
        <v>9.8000000000000007</v>
      </c>
      <c r="F16" s="230"/>
      <c r="G16" s="766" t="str">
        <f>IF(C4=1,"Required Ballast","")</f>
        <v>Required Ballast</v>
      </c>
      <c r="H16" s="766"/>
      <c r="I16" s="425">
        <f>IF(I15=0,"",calc!H32)</f>
        <v>99020</v>
      </c>
      <c r="J16" s="302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</row>
    <row r="17" spans="1:81" ht="22.5" customHeight="1">
      <c r="A17" s="41"/>
      <c r="B17" s="303"/>
      <c r="C17" s="230"/>
      <c r="D17" s="230"/>
      <c r="E17" s="230"/>
      <c r="F17" s="230"/>
      <c r="G17" s="230"/>
      <c r="H17" s="230"/>
      <c r="I17" s="230"/>
      <c r="J17" s="302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</row>
    <row r="18" spans="1:81" ht="22.5" customHeight="1">
      <c r="A18" s="41"/>
      <c r="B18" s="303"/>
      <c r="C18" s="767" t="str">
        <f>CONCATENATE(ROUND(calc!G13,1),calc!H13)</f>
        <v>12.5cm SAG</v>
      </c>
      <c r="D18" s="767"/>
      <c r="E18" s="767"/>
      <c r="F18" s="230"/>
      <c r="G18" s="230"/>
      <c r="H18" s="230"/>
      <c r="I18" s="230"/>
      <c r="J18" s="302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2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</row>
    <row r="19" spans="1:81" ht="22.5" customHeight="1">
      <c r="A19" s="41"/>
      <c r="B19" s="303"/>
      <c r="C19" s="767" t="str">
        <f>CONCATENATE(ROUND(calc!D13,2),calc!E13)</f>
        <v>1.8m by the stern</v>
      </c>
      <c r="D19" s="767"/>
      <c r="E19" s="767"/>
      <c r="F19" s="230"/>
      <c r="G19" s="761" t="str">
        <f>IF(C4=2,"BL QUANTITY","")</f>
        <v/>
      </c>
      <c r="H19" s="761"/>
      <c r="I19" s="705">
        <v>247974</v>
      </c>
      <c r="J19" s="302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2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</row>
    <row r="20" spans="1:81" ht="5.0999999999999996" customHeight="1">
      <c r="A20" s="41"/>
      <c r="B20" s="303"/>
      <c r="F20" s="230"/>
      <c r="G20" s="230"/>
      <c r="H20" s="236"/>
      <c r="I20" s="236"/>
      <c r="J20" s="302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</row>
    <row r="21" spans="1:81" ht="5.0999999999999996" customHeight="1">
      <c r="A21" s="41"/>
      <c r="B21" s="305"/>
      <c r="H21" s="237"/>
      <c r="I21" s="237"/>
      <c r="J21" s="306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3" t="s">
        <v>58</v>
      </c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</row>
    <row r="22" spans="1:81" ht="5.0999999999999996" customHeight="1">
      <c r="A22" s="41"/>
      <c r="B22" s="305"/>
      <c r="H22" s="237"/>
      <c r="I22" s="237"/>
      <c r="J22" s="306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</row>
    <row r="23" spans="1:81" ht="22.5" customHeight="1">
      <c r="A23" s="41"/>
      <c r="B23" s="305"/>
      <c r="C23" s="238" t="s">
        <v>140</v>
      </c>
      <c r="D23" s="239">
        <f>calc!F16</f>
        <v>9.129999999999999</v>
      </c>
      <c r="E23" s="240" t="s">
        <v>41</v>
      </c>
      <c r="G23" s="761" t="str">
        <f>IF(C4=2,"DIFFERENCE","")</f>
        <v/>
      </c>
      <c r="H23" s="761"/>
      <c r="I23" s="235">
        <f>I13-I19</f>
        <v>-247345</v>
      </c>
      <c r="J23" s="306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</row>
    <row r="24" spans="1:81" ht="22.5" customHeight="1">
      <c r="A24" s="41"/>
      <c r="B24" s="305"/>
      <c r="C24" s="238" t="s">
        <v>141</v>
      </c>
      <c r="D24" s="239">
        <f>calc!F17</f>
        <v>9.0051626614353442</v>
      </c>
      <c r="E24" s="241" t="s">
        <v>59</v>
      </c>
      <c r="H24" s="237"/>
      <c r="I24" s="237"/>
      <c r="J24" s="306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</row>
    <row r="25" spans="1:81" ht="22.5" customHeight="1">
      <c r="A25" s="41"/>
      <c r="B25" s="305"/>
      <c r="C25" s="238" t="s">
        <v>83</v>
      </c>
      <c r="D25" s="239">
        <f>calc!F18</f>
        <v>9.0675813307176725</v>
      </c>
      <c r="E25" s="240" t="s">
        <v>82</v>
      </c>
      <c r="H25" s="237"/>
      <c r="I25" s="237"/>
      <c r="J25" s="306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</row>
    <row r="26" spans="1:81" ht="22.5" customHeight="1">
      <c r="A26" s="41"/>
      <c r="B26" s="305"/>
      <c r="C26" s="238" t="s">
        <v>142</v>
      </c>
      <c r="D26" s="239">
        <f>calc!F19</f>
        <v>9.0987906653588357</v>
      </c>
      <c r="E26" s="241" t="s">
        <v>77</v>
      </c>
      <c r="J26" s="306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</row>
    <row r="27" spans="1:81" ht="22.15" customHeight="1">
      <c r="A27" s="41"/>
      <c r="B27" s="305"/>
      <c r="C27" s="238" t="s">
        <v>148</v>
      </c>
      <c r="D27" s="242">
        <f>calc!F26</f>
        <v>134548</v>
      </c>
      <c r="E27" s="241" t="s">
        <v>134</v>
      </c>
      <c r="J27" s="306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</row>
    <row r="28" spans="1:81" ht="19.899999999999999" customHeight="1" thickBot="1">
      <c r="A28" s="41"/>
      <c r="B28" s="305"/>
      <c r="J28" s="306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</row>
    <row r="29" spans="1:81" s="352" customFormat="1" ht="19.899999999999999" customHeight="1" thickTop="1">
      <c r="A29" s="348"/>
      <c r="B29" s="349"/>
      <c r="C29" s="350" t="s">
        <v>262</v>
      </c>
      <c r="D29" s="774"/>
      <c r="E29" s="774"/>
      <c r="F29" s="774"/>
      <c r="G29" s="774"/>
      <c r="H29" s="774"/>
      <c r="I29" s="774"/>
      <c r="J29" s="351"/>
      <c r="K29" s="348"/>
      <c r="L29" s="348"/>
      <c r="M29" s="348"/>
      <c r="N29" s="348"/>
      <c r="O29" s="348"/>
      <c r="P29" s="348"/>
      <c r="Q29" s="348"/>
      <c r="R29" s="348"/>
      <c r="S29" s="348"/>
      <c r="T29" s="348"/>
      <c r="U29" s="348"/>
      <c r="V29" s="348"/>
      <c r="W29" s="348"/>
      <c r="X29" s="348"/>
      <c r="Y29" s="348"/>
      <c r="Z29" s="348"/>
      <c r="AA29" s="348"/>
      <c r="AB29" s="348"/>
      <c r="AC29" s="348"/>
      <c r="AD29" s="348"/>
      <c r="AE29" s="348"/>
      <c r="AF29" s="348"/>
      <c r="AG29" s="348"/>
      <c r="AH29" s="348"/>
      <c r="AI29" s="348"/>
      <c r="AJ29" s="348"/>
      <c r="AK29" s="348"/>
      <c r="AL29" s="348"/>
      <c r="AM29" s="348"/>
      <c r="AN29" s="348"/>
      <c r="AO29" s="348"/>
      <c r="AP29" s="348"/>
      <c r="AQ29" s="348"/>
      <c r="AR29" s="348"/>
      <c r="AS29" s="348"/>
      <c r="AT29" s="348"/>
      <c r="AU29" s="348"/>
      <c r="AV29" s="348"/>
      <c r="AW29" s="348"/>
      <c r="AX29" s="348"/>
      <c r="AY29" s="348"/>
      <c r="AZ29" s="348"/>
      <c r="BA29" s="348"/>
      <c r="BB29" s="348"/>
      <c r="BC29" s="348"/>
      <c r="BD29" s="348"/>
      <c r="BE29" s="348"/>
      <c r="BF29" s="348"/>
      <c r="BG29" s="348"/>
      <c r="BH29" s="348"/>
      <c r="BI29" s="348"/>
      <c r="BJ29" s="348"/>
      <c r="BK29" s="348"/>
      <c r="BL29" s="348"/>
      <c r="BM29" s="348"/>
      <c r="BN29" s="348"/>
      <c r="BO29" s="348"/>
      <c r="BP29" s="348"/>
      <c r="BQ29" s="348"/>
      <c r="BR29" s="348"/>
      <c r="BS29" s="348"/>
      <c r="BT29" s="348"/>
      <c r="BU29" s="348"/>
      <c r="BV29" s="348"/>
      <c r="BW29" s="348"/>
      <c r="BX29" s="348"/>
      <c r="BY29" s="348"/>
      <c r="BZ29" s="348"/>
      <c r="CA29" s="348"/>
      <c r="CB29" s="348"/>
      <c r="CC29" s="348"/>
    </row>
    <row r="30" spans="1:81" s="352" customFormat="1" ht="19.899999999999999" customHeight="1">
      <c r="A30" s="348"/>
      <c r="B30" s="349"/>
      <c r="C30" s="754"/>
      <c r="D30" s="772"/>
      <c r="E30" s="772"/>
      <c r="F30" s="772"/>
      <c r="G30" s="772"/>
      <c r="H30" s="772"/>
      <c r="I30" s="772"/>
      <c r="J30" s="351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  <c r="AJ30" s="348"/>
      <c r="AK30" s="348"/>
      <c r="AL30" s="348"/>
      <c r="AM30" s="348"/>
      <c r="AN30" s="348"/>
      <c r="AO30" s="348"/>
      <c r="AP30" s="348"/>
      <c r="AQ30" s="348"/>
      <c r="AR30" s="348"/>
      <c r="AS30" s="348"/>
      <c r="AT30" s="348"/>
      <c r="AU30" s="348"/>
      <c r="AV30" s="348"/>
      <c r="AW30" s="348"/>
      <c r="AX30" s="348"/>
      <c r="AY30" s="348"/>
      <c r="AZ30" s="348"/>
      <c r="BA30" s="348"/>
      <c r="BB30" s="348"/>
      <c r="BC30" s="348"/>
      <c r="BD30" s="348"/>
      <c r="BE30" s="348"/>
      <c r="BF30" s="348"/>
      <c r="BG30" s="348"/>
      <c r="BH30" s="348"/>
      <c r="BI30" s="348"/>
      <c r="BJ30" s="348"/>
      <c r="BK30" s="348"/>
      <c r="BL30" s="348"/>
      <c r="BM30" s="348"/>
      <c r="BN30" s="348"/>
      <c r="BO30" s="348"/>
      <c r="BP30" s="348"/>
      <c r="BQ30" s="348"/>
      <c r="BR30" s="348"/>
      <c r="BS30" s="348"/>
      <c r="BT30" s="348"/>
      <c r="BU30" s="348"/>
      <c r="BV30" s="348"/>
      <c r="BW30" s="348"/>
      <c r="BX30" s="348"/>
      <c r="BY30" s="348"/>
      <c r="BZ30" s="348"/>
      <c r="CA30" s="348"/>
      <c r="CB30" s="348"/>
      <c r="CC30" s="348"/>
    </row>
    <row r="31" spans="1:81" s="352" customFormat="1" ht="19.899999999999999" customHeight="1">
      <c r="A31" s="348"/>
      <c r="B31" s="349"/>
      <c r="C31" s="353" t="s">
        <v>291</v>
      </c>
      <c r="D31" s="750" t="s">
        <v>409</v>
      </c>
      <c r="E31" s="364" t="s">
        <v>293</v>
      </c>
      <c r="F31" s="750" t="s">
        <v>409</v>
      </c>
      <c r="G31" s="353" t="s">
        <v>292</v>
      </c>
      <c r="H31" s="775"/>
      <c r="I31" s="775"/>
      <c r="J31" s="351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8"/>
      <c r="AI31" s="348"/>
      <c r="AJ31" s="348"/>
      <c r="AK31" s="348"/>
      <c r="AL31" s="348"/>
      <c r="AM31" s="348"/>
      <c r="AN31" s="348"/>
      <c r="AO31" s="348"/>
      <c r="AP31" s="348"/>
      <c r="AQ31" s="348"/>
      <c r="AR31" s="348"/>
      <c r="AS31" s="348"/>
      <c r="AT31" s="348"/>
      <c r="AU31" s="348"/>
      <c r="AV31" s="348"/>
      <c r="AW31" s="348"/>
      <c r="AX31" s="348"/>
      <c r="AY31" s="348"/>
      <c r="AZ31" s="348"/>
      <c r="BA31" s="348"/>
      <c r="BB31" s="348"/>
      <c r="BC31" s="348"/>
      <c r="BD31" s="348"/>
      <c r="BE31" s="348"/>
      <c r="BF31" s="348"/>
      <c r="BG31" s="348"/>
      <c r="BH31" s="348"/>
      <c r="BI31" s="348"/>
      <c r="BJ31" s="348"/>
      <c r="BK31" s="348"/>
      <c r="BL31" s="348"/>
      <c r="BM31" s="348"/>
      <c r="BN31" s="348"/>
      <c r="BO31" s="348"/>
      <c r="BP31" s="348"/>
      <c r="BQ31" s="348"/>
      <c r="BR31" s="348"/>
      <c r="BS31" s="348"/>
      <c r="BT31" s="348"/>
      <c r="BU31" s="348"/>
      <c r="BV31" s="348"/>
      <c r="BW31" s="348"/>
      <c r="BX31" s="348"/>
      <c r="BY31" s="348"/>
      <c r="BZ31" s="348"/>
      <c r="CA31" s="348"/>
      <c r="CB31" s="348"/>
      <c r="CC31" s="348"/>
    </row>
    <row r="32" spans="1:81" s="352" customFormat="1" ht="24" customHeight="1">
      <c r="A32" s="348"/>
      <c r="B32" s="354"/>
      <c r="C32" s="383" t="s">
        <v>402</v>
      </c>
      <c r="D32" s="776">
        <v>45181.4375</v>
      </c>
      <c r="E32" s="776"/>
      <c r="F32" s="355"/>
      <c r="G32" s="383" t="str">
        <f>IF(initial!C4=1, "Commenced Loading", "Commenced Discharging")</f>
        <v>Commenced Loading</v>
      </c>
      <c r="H32" s="776">
        <v>45181.454861111109</v>
      </c>
      <c r="I32" s="776"/>
      <c r="J32" s="356"/>
      <c r="K32" s="348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/>
      <c r="Z32" s="348"/>
      <c r="AA32" s="348"/>
      <c r="AB32" s="348"/>
      <c r="AC32" s="348"/>
      <c r="AD32" s="348"/>
      <c r="AE32" s="348"/>
      <c r="AF32" s="348"/>
      <c r="AG32" s="348"/>
      <c r="AH32" s="348"/>
      <c r="AI32" s="348"/>
      <c r="AJ32" s="348"/>
      <c r="AK32" s="348"/>
      <c r="AL32" s="348"/>
      <c r="AM32" s="348"/>
      <c r="AN32" s="348"/>
      <c r="AO32" s="348"/>
      <c r="AP32" s="348"/>
      <c r="AQ32" s="348"/>
      <c r="AR32" s="348"/>
      <c r="AS32" s="348"/>
      <c r="AT32" s="348"/>
      <c r="AU32" s="348"/>
      <c r="AV32" s="348"/>
      <c r="AW32" s="348"/>
      <c r="AX32" s="348"/>
      <c r="AY32" s="348"/>
      <c r="AZ32" s="348"/>
      <c r="BA32" s="348"/>
      <c r="BB32" s="348"/>
      <c r="BC32" s="348"/>
      <c r="BD32" s="348"/>
      <c r="BE32" s="348"/>
      <c r="BF32" s="348"/>
      <c r="BG32" s="348"/>
      <c r="BH32" s="348"/>
      <c r="BI32" s="348"/>
      <c r="BJ32" s="348"/>
      <c r="BK32" s="348"/>
      <c r="BL32" s="348"/>
      <c r="BM32" s="348"/>
      <c r="BN32" s="348"/>
      <c r="BO32" s="348"/>
      <c r="BP32" s="348"/>
      <c r="BQ32" s="348"/>
      <c r="BR32" s="348"/>
      <c r="BS32" s="348"/>
      <c r="BT32" s="348"/>
      <c r="BU32" s="348"/>
      <c r="BV32" s="348"/>
      <c r="BW32" s="348"/>
      <c r="BX32" s="348"/>
      <c r="BY32" s="348"/>
      <c r="BZ32" s="348"/>
      <c r="CA32" s="348"/>
      <c r="CB32" s="348"/>
      <c r="CC32" s="348"/>
    </row>
    <row r="33" spans="1:81" s="352" customFormat="1" ht="24" customHeight="1">
      <c r="A33" s="348"/>
      <c r="B33" s="354"/>
      <c r="C33" s="383" t="s">
        <v>401</v>
      </c>
      <c r="D33" s="776">
        <v>45181.451388888891</v>
      </c>
      <c r="E33" s="776"/>
      <c r="F33" s="357"/>
      <c r="G33" s="383"/>
      <c r="H33" s="777"/>
      <c r="I33" s="777"/>
      <c r="J33" s="356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348"/>
      <c r="AB33" s="348"/>
      <c r="AC33" s="348"/>
      <c r="AD33" s="348"/>
      <c r="AE33" s="348"/>
      <c r="AF33" s="348"/>
      <c r="AG33" s="348"/>
      <c r="AH33" s="348"/>
      <c r="AI33" s="348"/>
      <c r="AJ33" s="348"/>
      <c r="AK33" s="348"/>
      <c r="AL33" s="348"/>
      <c r="AM33" s="348"/>
      <c r="AN33" s="348"/>
      <c r="AO33" s="348"/>
      <c r="AP33" s="348"/>
      <c r="AQ33" s="348"/>
      <c r="AR33" s="348"/>
      <c r="AS33" s="348"/>
      <c r="AT33" s="348"/>
      <c r="AU33" s="348"/>
      <c r="AV33" s="348"/>
      <c r="AW33" s="348"/>
      <c r="AX33" s="348"/>
      <c r="AY33" s="348"/>
      <c r="AZ33" s="348"/>
      <c r="BA33" s="348"/>
      <c r="BB33" s="348"/>
      <c r="BC33" s="348"/>
      <c r="BD33" s="348"/>
      <c r="BE33" s="348"/>
      <c r="BF33" s="348"/>
      <c r="BG33" s="348"/>
      <c r="BH33" s="348"/>
      <c r="BI33" s="348"/>
      <c r="BJ33" s="348"/>
      <c r="BK33" s="348"/>
      <c r="BL33" s="348"/>
      <c r="BM33" s="348"/>
      <c r="BN33" s="348"/>
      <c r="BO33" s="348"/>
      <c r="BP33" s="348"/>
      <c r="BQ33" s="348"/>
      <c r="BR33" s="348"/>
      <c r="BS33" s="348"/>
      <c r="BT33" s="348"/>
      <c r="BU33" s="348"/>
      <c r="BV33" s="348"/>
      <c r="BW33" s="348"/>
      <c r="BX33" s="348"/>
      <c r="BY33" s="348"/>
      <c r="BZ33" s="348"/>
      <c r="CA33" s="348"/>
      <c r="CB33" s="348"/>
      <c r="CC33" s="348"/>
    </row>
    <row r="34" spans="1:81" s="352" customFormat="1" ht="9" customHeight="1" thickBot="1">
      <c r="A34" s="348"/>
      <c r="B34" s="354"/>
      <c r="C34" s="453"/>
      <c r="D34" s="454"/>
      <c r="E34" s="454"/>
      <c r="F34" s="455"/>
      <c r="G34" s="453"/>
      <c r="H34" s="454"/>
      <c r="I34" s="454"/>
      <c r="J34" s="351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48"/>
      <c r="AB34" s="348"/>
      <c r="AC34" s="348"/>
      <c r="AD34" s="348"/>
      <c r="AE34" s="348"/>
      <c r="AF34" s="348"/>
      <c r="AG34" s="348"/>
      <c r="AH34" s="348"/>
      <c r="AI34" s="348"/>
      <c r="AJ34" s="348"/>
      <c r="AK34" s="348"/>
      <c r="AL34" s="348"/>
      <c r="AM34" s="348"/>
      <c r="AN34" s="348"/>
      <c r="AO34" s="348"/>
      <c r="AP34" s="348"/>
      <c r="AQ34" s="348"/>
      <c r="AR34" s="348"/>
      <c r="AS34" s="348"/>
      <c r="AT34" s="348"/>
      <c r="AU34" s="348"/>
      <c r="AV34" s="348"/>
      <c r="AW34" s="348"/>
      <c r="AX34" s="348"/>
      <c r="AY34" s="348"/>
      <c r="AZ34" s="348"/>
      <c r="BA34" s="348"/>
      <c r="BB34" s="348"/>
      <c r="BC34" s="348"/>
      <c r="BD34" s="348"/>
      <c r="BE34" s="348"/>
      <c r="BF34" s="348"/>
      <c r="BG34" s="348"/>
      <c r="BH34" s="348"/>
      <c r="BI34" s="348"/>
      <c r="BJ34" s="348"/>
      <c r="BK34" s="348"/>
      <c r="BL34" s="348"/>
      <c r="BM34" s="348"/>
      <c r="BN34" s="348"/>
      <c r="BO34" s="348"/>
      <c r="BP34" s="348"/>
      <c r="BQ34" s="348"/>
      <c r="BR34" s="348"/>
      <c r="BS34" s="348"/>
      <c r="BT34" s="348"/>
      <c r="BU34" s="348"/>
      <c r="BV34" s="348"/>
      <c r="BW34" s="348"/>
      <c r="BX34" s="348"/>
      <c r="BY34" s="348"/>
      <c r="BZ34" s="348"/>
      <c r="CA34" s="348"/>
      <c r="CB34" s="348"/>
      <c r="CC34" s="348"/>
    </row>
    <row r="35" spans="1:81" s="352" customFormat="1" ht="9" customHeight="1" thickTop="1" thickBot="1">
      <c r="A35" s="348"/>
      <c r="B35" s="456"/>
      <c r="C35" s="457"/>
      <c r="D35" s="458"/>
      <c r="E35" s="458"/>
      <c r="F35" s="459"/>
      <c r="G35" s="457"/>
      <c r="H35" s="458"/>
      <c r="I35" s="458"/>
      <c r="J35" s="460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8"/>
      <c r="AK35" s="348"/>
      <c r="AL35" s="348"/>
      <c r="AM35" s="348"/>
      <c r="AN35" s="348"/>
      <c r="AO35" s="348"/>
      <c r="AP35" s="348"/>
      <c r="AQ35" s="348"/>
      <c r="AR35" s="348"/>
      <c r="AS35" s="348"/>
      <c r="AT35" s="348"/>
      <c r="AU35" s="348"/>
      <c r="AV35" s="348"/>
      <c r="AW35" s="348"/>
      <c r="AX35" s="348"/>
      <c r="AY35" s="348"/>
      <c r="AZ35" s="348"/>
      <c r="BA35" s="348"/>
      <c r="BB35" s="348"/>
      <c r="BC35" s="348"/>
      <c r="BD35" s="348"/>
      <c r="BE35" s="348"/>
      <c r="BF35" s="348"/>
      <c r="BG35" s="348"/>
      <c r="BH35" s="348"/>
      <c r="BI35" s="348"/>
      <c r="BJ35" s="348"/>
      <c r="BK35" s="348"/>
      <c r="BL35" s="348"/>
      <c r="BM35" s="348"/>
      <c r="BN35" s="348"/>
      <c r="BO35" s="348"/>
      <c r="BP35" s="348"/>
      <c r="BQ35" s="348"/>
      <c r="BR35" s="348"/>
      <c r="BS35" s="348"/>
      <c r="BT35" s="348"/>
      <c r="BU35" s="348"/>
      <c r="BV35" s="348"/>
      <c r="BW35" s="348"/>
      <c r="BX35" s="348"/>
      <c r="BY35" s="348"/>
      <c r="BZ35" s="348"/>
      <c r="CA35" s="348"/>
      <c r="CB35" s="348"/>
      <c r="CC35" s="348"/>
    </row>
    <row r="36" spans="1:81" s="224" customFormat="1" ht="19.899999999999999" hidden="1" customHeight="1">
      <c r="A36" s="358"/>
      <c r="B36" s="359"/>
      <c r="C36" s="764" t="s">
        <v>294</v>
      </c>
      <c r="D36" s="764"/>
      <c r="E36" s="764"/>
      <c r="F36" s="764"/>
      <c r="G36" s="765"/>
      <c r="H36" s="765"/>
      <c r="I36" s="765"/>
      <c r="J36" s="360"/>
      <c r="K36" s="358"/>
      <c r="L36" s="358"/>
      <c r="M36" s="358"/>
      <c r="N36" s="358"/>
      <c r="O36" s="358"/>
      <c r="P36" s="358"/>
      <c r="Q36" s="358"/>
      <c r="R36" s="358"/>
      <c r="S36" s="358"/>
      <c r="T36" s="358"/>
      <c r="U36" s="358"/>
      <c r="V36" s="358"/>
      <c r="W36" s="358"/>
      <c r="X36" s="358"/>
      <c r="Y36" s="358"/>
      <c r="Z36" s="358"/>
      <c r="AA36" s="358"/>
      <c r="AB36" s="358"/>
      <c r="AC36" s="358"/>
      <c r="AD36" s="358"/>
      <c r="AE36" s="358"/>
      <c r="AF36" s="358"/>
      <c r="AG36" s="358"/>
      <c r="AH36" s="358"/>
      <c r="AI36" s="358"/>
      <c r="AJ36" s="358"/>
      <c r="AK36" s="358"/>
      <c r="AL36" s="358"/>
      <c r="AM36" s="358"/>
      <c r="AN36" s="358"/>
      <c r="AO36" s="358"/>
      <c r="AP36" s="358"/>
      <c r="AQ36" s="358"/>
      <c r="AR36" s="358"/>
      <c r="AS36" s="358"/>
      <c r="AT36" s="358"/>
      <c r="AU36" s="358"/>
      <c r="AV36" s="358"/>
      <c r="AW36" s="358"/>
      <c r="AX36" s="358"/>
      <c r="AY36" s="358"/>
      <c r="AZ36" s="358"/>
      <c r="BA36" s="358"/>
      <c r="BB36" s="358"/>
      <c r="BC36" s="358"/>
      <c r="BD36" s="358"/>
      <c r="BE36" s="358"/>
      <c r="BF36" s="358"/>
      <c r="BG36" s="358"/>
      <c r="BH36" s="358"/>
      <c r="BI36" s="358"/>
      <c r="BJ36" s="358"/>
      <c r="BK36" s="358"/>
      <c r="BL36" s="358"/>
      <c r="BM36" s="358"/>
      <c r="BN36" s="358"/>
      <c r="BO36" s="358"/>
      <c r="BP36" s="358"/>
      <c r="BQ36" s="358"/>
      <c r="BR36" s="358"/>
      <c r="BS36" s="358"/>
      <c r="BT36" s="358"/>
      <c r="BU36" s="358"/>
      <c r="BV36" s="358"/>
      <c r="BW36" s="358"/>
      <c r="BX36" s="358"/>
      <c r="BY36" s="358"/>
      <c r="BZ36" s="358"/>
      <c r="CA36" s="358"/>
      <c r="CB36" s="358"/>
      <c r="CC36" s="358"/>
    </row>
    <row r="37" spans="1:81" s="224" customFormat="1" ht="19.899999999999999" hidden="1" customHeight="1">
      <c r="A37" s="358"/>
      <c r="B37" s="359"/>
      <c r="C37" s="369" t="s">
        <v>250</v>
      </c>
      <c r="D37" s="763">
        <v>1880</v>
      </c>
      <c r="E37" s="763"/>
      <c r="F37" s="381"/>
      <c r="G37" s="370" t="s">
        <v>279</v>
      </c>
      <c r="H37" s="769">
        <v>50</v>
      </c>
      <c r="I37" s="769"/>
      <c r="J37" s="360"/>
      <c r="K37" s="358"/>
      <c r="L37" s="358"/>
      <c r="M37" s="358"/>
      <c r="N37" s="358"/>
      <c r="O37" s="358"/>
      <c r="P37" s="358"/>
      <c r="Q37" s="358"/>
      <c r="R37" s="358"/>
      <c r="S37" s="358"/>
      <c r="T37" s="358"/>
      <c r="U37" s="358"/>
      <c r="V37" s="358"/>
      <c r="W37" s="358"/>
      <c r="X37" s="358"/>
      <c r="Y37" s="358"/>
      <c r="Z37" s="358"/>
      <c r="AA37" s="358"/>
      <c r="AB37" s="358"/>
      <c r="AC37" s="358"/>
      <c r="AD37" s="358"/>
      <c r="AE37" s="358"/>
      <c r="AF37" s="358"/>
      <c r="AG37" s="358"/>
      <c r="AH37" s="358"/>
      <c r="AI37" s="358"/>
      <c r="AJ37" s="358"/>
      <c r="AK37" s="358"/>
      <c r="AL37" s="358"/>
      <c r="AM37" s="358"/>
      <c r="AN37" s="358"/>
      <c r="AO37" s="358"/>
      <c r="AP37" s="358"/>
      <c r="AQ37" s="358"/>
      <c r="AR37" s="358"/>
      <c r="AS37" s="358"/>
      <c r="AT37" s="358"/>
      <c r="AU37" s="358"/>
      <c r="AV37" s="358"/>
      <c r="AW37" s="358"/>
      <c r="AX37" s="358"/>
      <c r="AY37" s="358"/>
      <c r="AZ37" s="358"/>
      <c r="BA37" s="358"/>
      <c r="BB37" s="358"/>
      <c r="BC37" s="358"/>
      <c r="BD37" s="358"/>
      <c r="BE37" s="358"/>
      <c r="BF37" s="358"/>
      <c r="BG37" s="358"/>
      <c r="BH37" s="358"/>
      <c r="BI37" s="358"/>
      <c r="BJ37" s="358"/>
      <c r="BK37" s="358"/>
      <c r="BL37" s="358"/>
      <c r="BM37" s="358"/>
      <c r="BN37" s="358"/>
      <c r="BO37" s="358"/>
      <c r="BP37" s="358"/>
      <c r="BQ37" s="358"/>
      <c r="BR37" s="358"/>
      <c r="BS37" s="358"/>
      <c r="BT37" s="358"/>
      <c r="BU37" s="358"/>
      <c r="BV37" s="358"/>
      <c r="BW37" s="358"/>
      <c r="BX37" s="358"/>
      <c r="BY37" s="358"/>
      <c r="BZ37" s="358"/>
      <c r="CA37" s="358"/>
      <c r="CB37" s="358"/>
      <c r="CC37" s="358"/>
    </row>
    <row r="38" spans="1:81" s="224" customFormat="1" ht="19.899999999999999" hidden="1" customHeight="1">
      <c r="A38" s="358"/>
      <c r="B38" s="359"/>
      <c r="C38" s="369" t="s">
        <v>268</v>
      </c>
      <c r="D38" s="763">
        <v>1963</v>
      </c>
      <c r="E38" s="763"/>
      <c r="F38" s="381"/>
      <c r="G38" s="370" t="s">
        <v>280</v>
      </c>
      <c r="H38" s="769">
        <v>50</v>
      </c>
      <c r="I38" s="769"/>
      <c r="J38" s="360"/>
      <c r="K38" s="358"/>
      <c r="L38" s="358"/>
      <c r="M38" s="358"/>
      <c r="N38" s="358"/>
      <c r="O38" s="358"/>
      <c r="P38" s="358"/>
      <c r="Q38" s="358"/>
      <c r="R38" s="358"/>
      <c r="S38" s="358"/>
      <c r="T38" s="358"/>
      <c r="U38" s="358"/>
      <c r="V38" s="358"/>
      <c r="W38" s="358"/>
      <c r="X38" s="358"/>
      <c r="Y38" s="358"/>
      <c r="Z38" s="358"/>
      <c r="AA38" s="358"/>
      <c r="AB38" s="358"/>
      <c r="AC38" s="358"/>
      <c r="AD38" s="358"/>
      <c r="AE38" s="358"/>
      <c r="AF38" s="358"/>
      <c r="AG38" s="358"/>
      <c r="AH38" s="358"/>
      <c r="AI38" s="358"/>
      <c r="AJ38" s="358"/>
      <c r="AK38" s="358"/>
      <c r="AL38" s="358"/>
      <c r="AM38" s="358"/>
      <c r="AN38" s="358"/>
      <c r="AO38" s="358"/>
      <c r="AP38" s="358"/>
      <c r="AQ38" s="358"/>
      <c r="AR38" s="358"/>
      <c r="AS38" s="358"/>
      <c r="AT38" s="358"/>
      <c r="AU38" s="358"/>
      <c r="AV38" s="358"/>
      <c r="AW38" s="358"/>
      <c r="AX38" s="358"/>
      <c r="AY38" s="358"/>
      <c r="AZ38" s="358"/>
      <c r="BA38" s="358"/>
      <c r="BB38" s="358"/>
      <c r="BC38" s="358"/>
      <c r="BD38" s="358"/>
      <c r="BE38" s="358"/>
      <c r="BF38" s="358"/>
      <c r="BG38" s="358"/>
      <c r="BH38" s="358"/>
      <c r="BI38" s="358"/>
      <c r="BJ38" s="358"/>
      <c r="BK38" s="358"/>
      <c r="BL38" s="358"/>
      <c r="BM38" s="358"/>
      <c r="BN38" s="358"/>
      <c r="BO38" s="358"/>
      <c r="BP38" s="358"/>
      <c r="BQ38" s="358"/>
      <c r="BR38" s="358"/>
      <c r="BS38" s="358"/>
      <c r="BT38" s="358"/>
      <c r="BU38" s="358"/>
      <c r="BV38" s="358"/>
      <c r="BW38" s="358"/>
      <c r="BX38" s="358"/>
      <c r="BY38" s="358"/>
      <c r="BZ38" s="358"/>
      <c r="CA38" s="358"/>
      <c r="CB38" s="358"/>
      <c r="CC38" s="358"/>
    </row>
    <row r="39" spans="1:81" s="224" customFormat="1" ht="19.899999999999999" hidden="1" customHeight="1">
      <c r="A39" s="358"/>
      <c r="B39" s="359"/>
      <c r="C39" s="369" t="s">
        <v>269</v>
      </c>
      <c r="D39" s="763">
        <v>1963</v>
      </c>
      <c r="E39" s="763"/>
      <c r="F39" s="381"/>
      <c r="G39" s="370" t="s">
        <v>281</v>
      </c>
      <c r="H39" s="769">
        <v>40</v>
      </c>
      <c r="I39" s="769"/>
      <c r="J39" s="360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  <c r="AA39" s="358"/>
      <c r="AB39" s="358"/>
      <c r="AC39" s="358"/>
      <c r="AD39" s="358"/>
      <c r="AE39" s="358"/>
      <c r="AF39" s="358"/>
      <c r="AG39" s="358"/>
      <c r="AH39" s="358"/>
      <c r="AI39" s="358"/>
      <c r="AJ39" s="358"/>
      <c r="AK39" s="358"/>
      <c r="AL39" s="358"/>
      <c r="AM39" s="358"/>
      <c r="AN39" s="358"/>
      <c r="AO39" s="358"/>
      <c r="AP39" s="358"/>
      <c r="AQ39" s="358"/>
      <c r="AR39" s="358"/>
      <c r="AS39" s="358"/>
      <c r="AT39" s="358"/>
      <c r="AU39" s="358"/>
      <c r="AV39" s="358"/>
      <c r="AW39" s="358"/>
      <c r="AX39" s="358"/>
      <c r="AY39" s="358"/>
      <c r="AZ39" s="358"/>
      <c r="BA39" s="358"/>
      <c r="BB39" s="358"/>
      <c r="BC39" s="358"/>
      <c r="BD39" s="358"/>
      <c r="BE39" s="358"/>
      <c r="BF39" s="358"/>
      <c r="BG39" s="358"/>
      <c r="BH39" s="358"/>
      <c r="BI39" s="358"/>
      <c r="BJ39" s="358"/>
      <c r="BK39" s="358"/>
      <c r="BL39" s="358"/>
      <c r="BM39" s="358"/>
      <c r="BN39" s="358"/>
      <c r="BO39" s="358"/>
      <c r="BP39" s="358"/>
      <c r="BQ39" s="358"/>
      <c r="BR39" s="358"/>
      <c r="BS39" s="358"/>
      <c r="BT39" s="358"/>
      <c r="BU39" s="358"/>
      <c r="BV39" s="358"/>
      <c r="BW39" s="358"/>
      <c r="BX39" s="358"/>
      <c r="BY39" s="358"/>
      <c r="BZ39" s="358"/>
      <c r="CA39" s="358"/>
      <c r="CB39" s="358"/>
      <c r="CC39" s="358"/>
    </row>
    <row r="40" spans="1:81" s="224" customFormat="1" ht="19.899999999999999" hidden="1" customHeight="1">
      <c r="A40" s="358"/>
      <c r="B40" s="359"/>
      <c r="C40" s="369" t="s">
        <v>270</v>
      </c>
      <c r="D40" s="763">
        <v>2542</v>
      </c>
      <c r="E40" s="763"/>
      <c r="F40" s="381"/>
      <c r="G40" s="370" t="s">
        <v>298</v>
      </c>
      <c r="H40" s="771">
        <f>SUM(H37:I39)</f>
        <v>140</v>
      </c>
      <c r="I40" s="771"/>
      <c r="J40" s="360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  <c r="AA40" s="358"/>
      <c r="AB40" s="358"/>
      <c r="AC40" s="358"/>
      <c r="AD40" s="358"/>
      <c r="AE40" s="358"/>
      <c r="AF40" s="358"/>
      <c r="AG40" s="358"/>
      <c r="AH40" s="358"/>
      <c r="AI40" s="358"/>
      <c r="AJ40" s="358"/>
      <c r="AK40" s="358"/>
      <c r="AL40" s="358"/>
      <c r="AM40" s="358"/>
      <c r="AN40" s="358"/>
      <c r="AO40" s="358"/>
      <c r="AP40" s="358"/>
      <c r="AQ40" s="358"/>
      <c r="AR40" s="358"/>
      <c r="AS40" s="358"/>
      <c r="AT40" s="358"/>
      <c r="AU40" s="358"/>
      <c r="AV40" s="358"/>
      <c r="AW40" s="358"/>
      <c r="AX40" s="358"/>
      <c r="AY40" s="358"/>
      <c r="AZ40" s="358"/>
      <c r="BA40" s="358"/>
      <c r="BB40" s="358"/>
      <c r="BC40" s="358"/>
      <c r="BD40" s="358"/>
      <c r="BE40" s="358"/>
      <c r="BF40" s="358"/>
      <c r="BG40" s="358"/>
      <c r="BH40" s="358"/>
      <c r="BI40" s="358"/>
      <c r="BJ40" s="358"/>
      <c r="BK40" s="358"/>
      <c r="BL40" s="358"/>
      <c r="BM40" s="358"/>
      <c r="BN40" s="358"/>
      <c r="BO40" s="358"/>
      <c r="BP40" s="358"/>
      <c r="BQ40" s="358"/>
      <c r="BR40" s="358"/>
      <c r="BS40" s="358"/>
      <c r="BT40" s="358"/>
      <c r="BU40" s="358"/>
      <c r="BV40" s="358"/>
      <c r="BW40" s="358"/>
      <c r="BX40" s="358"/>
      <c r="BY40" s="358"/>
      <c r="BZ40" s="358"/>
      <c r="CA40" s="358"/>
      <c r="CB40" s="358"/>
      <c r="CC40" s="358"/>
    </row>
    <row r="41" spans="1:81" s="224" customFormat="1" ht="19.899999999999999" hidden="1" customHeight="1">
      <c r="A41" s="358"/>
      <c r="B41" s="359"/>
      <c r="C41" s="369" t="s">
        <v>271</v>
      </c>
      <c r="D41" s="763">
        <v>2542</v>
      </c>
      <c r="E41" s="763"/>
      <c r="F41" s="381"/>
      <c r="G41" s="371" t="s">
        <v>282</v>
      </c>
      <c r="H41" s="768">
        <v>385</v>
      </c>
      <c r="I41" s="768"/>
      <c r="J41" s="360"/>
      <c r="K41" s="358"/>
      <c r="L41" s="358"/>
      <c r="M41" s="358"/>
      <c r="N41" s="358"/>
      <c r="O41" s="358"/>
      <c r="P41" s="358"/>
      <c r="Q41" s="358"/>
      <c r="R41" s="358"/>
      <c r="S41" s="358"/>
      <c r="T41" s="358"/>
      <c r="U41" s="358"/>
      <c r="V41" s="358"/>
      <c r="W41" s="358"/>
      <c r="X41" s="358"/>
      <c r="Y41" s="358"/>
      <c r="Z41" s="358"/>
      <c r="AA41" s="358"/>
      <c r="AB41" s="358"/>
      <c r="AC41" s="358"/>
      <c r="AD41" s="358"/>
      <c r="AE41" s="358"/>
      <c r="AF41" s="358"/>
      <c r="AG41" s="358"/>
      <c r="AH41" s="358"/>
      <c r="AI41" s="358"/>
      <c r="AJ41" s="358"/>
      <c r="AK41" s="358"/>
      <c r="AL41" s="358"/>
      <c r="AM41" s="358"/>
      <c r="AN41" s="358"/>
      <c r="AO41" s="358"/>
      <c r="AP41" s="358"/>
      <c r="AQ41" s="358"/>
      <c r="AR41" s="358"/>
      <c r="AS41" s="358"/>
      <c r="AT41" s="358"/>
      <c r="AU41" s="358"/>
      <c r="AV41" s="358"/>
      <c r="AW41" s="358"/>
      <c r="AX41" s="358"/>
      <c r="AY41" s="358"/>
      <c r="AZ41" s="358"/>
      <c r="BA41" s="358"/>
      <c r="BB41" s="358"/>
      <c r="BC41" s="358"/>
      <c r="BD41" s="358"/>
      <c r="BE41" s="358"/>
      <c r="BF41" s="358"/>
      <c r="BG41" s="358"/>
      <c r="BH41" s="358"/>
      <c r="BI41" s="358"/>
      <c r="BJ41" s="358"/>
      <c r="BK41" s="358"/>
      <c r="BL41" s="358"/>
      <c r="BM41" s="358"/>
      <c r="BN41" s="358"/>
      <c r="BO41" s="358"/>
      <c r="BP41" s="358"/>
      <c r="BQ41" s="358"/>
      <c r="BR41" s="358"/>
      <c r="BS41" s="358"/>
      <c r="BT41" s="358"/>
      <c r="BU41" s="358"/>
      <c r="BV41" s="358"/>
      <c r="BW41" s="358"/>
      <c r="BX41" s="358"/>
      <c r="BY41" s="358"/>
      <c r="BZ41" s="358"/>
      <c r="CA41" s="358"/>
      <c r="CB41" s="358"/>
      <c r="CC41" s="358"/>
    </row>
    <row r="42" spans="1:81" s="224" customFormat="1" ht="19.899999999999999" hidden="1" customHeight="1">
      <c r="A42" s="358"/>
      <c r="B42" s="359"/>
      <c r="C42" s="369" t="s">
        <v>272</v>
      </c>
      <c r="D42" s="763">
        <v>5245</v>
      </c>
      <c r="E42" s="763"/>
      <c r="F42" s="381"/>
      <c r="G42" s="371" t="s">
        <v>283</v>
      </c>
      <c r="H42" s="768">
        <v>386.4</v>
      </c>
      <c r="I42" s="768"/>
      <c r="J42" s="360"/>
      <c r="K42" s="358"/>
      <c r="L42" s="358"/>
      <c r="M42" s="358"/>
      <c r="N42" s="358"/>
      <c r="O42" s="358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358"/>
      <c r="AA42" s="358"/>
      <c r="AB42" s="358"/>
      <c r="AC42" s="358"/>
      <c r="AD42" s="358"/>
      <c r="AE42" s="358"/>
      <c r="AF42" s="358"/>
      <c r="AG42" s="358"/>
      <c r="AH42" s="358"/>
      <c r="AI42" s="358"/>
      <c r="AJ42" s="358"/>
      <c r="AK42" s="358"/>
      <c r="AL42" s="358"/>
      <c r="AM42" s="358"/>
      <c r="AN42" s="358"/>
      <c r="AO42" s="358"/>
      <c r="AP42" s="358"/>
      <c r="AQ42" s="358"/>
      <c r="AR42" s="358"/>
      <c r="AS42" s="358"/>
      <c r="AT42" s="358"/>
      <c r="AU42" s="358"/>
      <c r="AV42" s="358"/>
      <c r="AW42" s="358"/>
      <c r="AX42" s="358"/>
      <c r="AY42" s="358"/>
      <c r="AZ42" s="358"/>
      <c r="BA42" s="358"/>
      <c r="BB42" s="358"/>
      <c r="BC42" s="358"/>
      <c r="BD42" s="358"/>
      <c r="BE42" s="358"/>
      <c r="BF42" s="358"/>
      <c r="BG42" s="358"/>
      <c r="BH42" s="358"/>
      <c r="BI42" s="358"/>
      <c r="BJ42" s="358"/>
      <c r="BK42" s="358"/>
      <c r="BL42" s="358"/>
      <c r="BM42" s="358"/>
      <c r="BN42" s="358"/>
      <c r="BO42" s="358"/>
      <c r="BP42" s="358"/>
      <c r="BQ42" s="358"/>
      <c r="BR42" s="358"/>
      <c r="BS42" s="358"/>
      <c r="BT42" s="358"/>
      <c r="BU42" s="358"/>
      <c r="BV42" s="358"/>
      <c r="BW42" s="358"/>
      <c r="BX42" s="358"/>
      <c r="BY42" s="358"/>
      <c r="BZ42" s="358"/>
      <c r="CA42" s="358"/>
      <c r="CB42" s="358"/>
      <c r="CC42" s="358"/>
    </row>
    <row r="43" spans="1:81" s="224" customFormat="1" ht="19.899999999999999" hidden="1" customHeight="1">
      <c r="A43" s="358"/>
      <c r="B43" s="359"/>
      <c r="C43" s="369" t="s">
        <v>273</v>
      </c>
      <c r="D43" s="763">
        <v>5245</v>
      </c>
      <c r="E43" s="763"/>
      <c r="F43" s="381"/>
      <c r="G43" s="371" t="s">
        <v>284</v>
      </c>
      <c r="H43" s="768"/>
      <c r="I43" s="768"/>
      <c r="J43" s="360"/>
      <c r="K43" s="358"/>
      <c r="L43" s="358"/>
      <c r="M43" s="358"/>
      <c r="N43" s="358"/>
      <c r="O43" s="358"/>
      <c r="P43" s="358"/>
      <c r="Q43" s="358"/>
      <c r="R43" s="358"/>
      <c r="S43" s="358"/>
      <c r="T43" s="358"/>
      <c r="U43" s="358"/>
      <c r="V43" s="358"/>
      <c r="W43" s="358"/>
      <c r="X43" s="358"/>
      <c r="Y43" s="358"/>
      <c r="Z43" s="358"/>
      <c r="AA43" s="358"/>
      <c r="AB43" s="358"/>
      <c r="AC43" s="358"/>
      <c r="AD43" s="358"/>
      <c r="AE43" s="358"/>
      <c r="AF43" s="358"/>
      <c r="AG43" s="358"/>
      <c r="AH43" s="358"/>
      <c r="AI43" s="358"/>
      <c r="AJ43" s="358"/>
      <c r="AK43" s="358"/>
      <c r="AL43" s="358"/>
      <c r="AM43" s="358"/>
      <c r="AN43" s="358"/>
      <c r="AO43" s="358"/>
      <c r="AP43" s="358"/>
      <c r="AQ43" s="358"/>
      <c r="AR43" s="358"/>
      <c r="AS43" s="358"/>
      <c r="AT43" s="358"/>
      <c r="AU43" s="358"/>
      <c r="AV43" s="358"/>
      <c r="AW43" s="358"/>
      <c r="AX43" s="358"/>
      <c r="AY43" s="358"/>
      <c r="AZ43" s="358"/>
      <c r="BA43" s="358"/>
      <c r="BB43" s="358"/>
      <c r="BC43" s="358"/>
      <c r="BD43" s="358"/>
      <c r="BE43" s="358"/>
      <c r="BF43" s="358"/>
      <c r="BG43" s="358"/>
      <c r="BH43" s="358"/>
      <c r="BI43" s="358"/>
      <c r="BJ43" s="358"/>
      <c r="BK43" s="358"/>
      <c r="BL43" s="358"/>
      <c r="BM43" s="358"/>
      <c r="BN43" s="358"/>
      <c r="BO43" s="358"/>
      <c r="BP43" s="358"/>
      <c r="BQ43" s="358"/>
      <c r="BR43" s="358"/>
      <c r="BS43" s="358"/>
      <c r="BT43" s="358"/>
      <c r="BU43" s="358"/>
      <c r="BV43" s="358"/>
      <c r="BW43" s="358"/>
      <c r="BX43" s="358"/>
      <c r="BY43" s="358"/>
      <c r="BZ43" s="358"/>
      <c r="CA43" s="358"/>
      <c r="CB43" s="358"/>
      <c r="CC43" s="358"/>
    </row>
    <row r="44" spans="1:81" s="224" customFormat="1" ht="19.899999999999999" hidden="1" customHeight="1">
      <c r="A44" s="358"/>
      <c r="B44" s="359"/>
      <c r="C44" s="369" t="s">
        <v>274</v>
      </c>
      <c r="D44" s="763">
        <v>5100</v>
      </c>
      <c r="E44" s="763"/>
      <c r="F44" s="381"/>
      <c r="G44" s="371" t="s">
        <v>285</v>
      </c>
      <c r="H44" s="768"/>
      <c r="I44" s="768"/>
      <c r="J44" s="360"/>
      <c r="K44" s="358"/>
      <c r="L44" s="358"/>
      <c r="M44" s="358"/>
      <c r="N44" s="358"/>
      <c r="O44" s="358"/>
      <c r="P44" s="358"/>
      <c r="Q44" s="358"/>
      <c r="R44" s="358"/>
      <c r="S44" s="358"/>
      <c r="T44" s="358"/>
      <c r="U44" s="358"/>
      <c r="V44" s="358"/>
      <c r="W44" s="358"/>
      <c r="X44" s="358"/>
      <c r="Y44" s="358"/>
      <c r="Z44" s="358"/>
      <c r="AA44" s="358"/>
      <c r="AB44" s="358"/>
      <c r="AC44" s="358"/>
      <c r="AD44" s="358"/>
      <c r="AE44" s="358"/>
      <c r="AF44" s="358"/>
      <c r="AG44" s="358"/>
      <c r="AH44" s="358"/>
      <c r="AI44" s="358"/>
      <c r="AJ44" s="358"/>
      <c r="AK44" s="358"/>
      <c r="AL44" s="358"/>
      <c r="AM44" s="358"/>
      <c r="AN44" s="358"/>
      <c r="AO44" s="358"/>
      <c r="AP44" s="358"/>
      <c r="AQ44" s="358"/>
      <c r="AR44" s="358"/>
      <c r="AS44" s="358"/>
      <c r="AT44" s="358"/>
      <c r="AU44" s="358"/>
      <c r="AV44" s="358"/>
      <c r="AW44" s="358"/>
      <c r="AX44" s="358"/>
      <c r="AY44" s="358"/>
      <c r="AZ44" s="358"/>
      <c r="BA44" s="358"/>
      <c r="BB44" s="358"/>
      <c r="BC44" s="358"/>
      <c r="BD44" s="358"/>
      <c r="BE44" s="358"/>
      <c r="BF44" s="358"/>
      <c r="BG44" s="358"/>
      <c r="BH44" s="358"/>
      <c r="BI44" s="358"/>
      <c r="BJ44" s="358"/>
      <c r="BK44" s="358"/>
      <c r="BL44" s="358"/>
      <c r="BM44" s="358"/>
      <c r="BN44" s="358"/>
      <c r="BO44" s="358"/>
      <c r="BP44" s="358"/>
      <c r="BQ44" s="358"/>
      <c r="BR44" s="358"/>
      <c r="BS44" s="358"/>
      <c r="BT44" s="358"/>
      <c r="BU44" s="358"/>
      <c r="BV44" s="358"/>
      <c r="BW44" s="358"/>
      <c r="BX44" s="358"/>
      <c r="BY44" s="358"/>
      <c r="BZ44" s="358"/>
      <c r="CA44" s="358"/>
      <c r="CB44" s="358"/>
      <c r="CC44" s="358"/>
    </row>
    <row r="45" spans="1:81" s="224" customFormat="1" ht="19.899999999999999" hidden="1" customHeight="1">
      <c r="A45" s="358"/>
      <c r="B45" s="359"/>
      <c r="C45" s="369" t="s">
        <v>275</v>
      </c>
      <c r="D45" s="763">
        <v>5100</v>
      </c>
      <c r="E45" s="763"/>
      <c r="F45" s="381"/>
      <c r="G45" s="371" t="s">
        <v>286</v>
      </c>
      <c r="H45" s="768"/>
      <c r="I45" s="768"/>
      <c r="J45" s="360"/>
      <c r="K45" s="358"/>
      <c r="L45" s="358"/>
      <c r="M45" s="358"/>
      <c r="N45" s="358"/>
      <c r="O45" s="358"/>
      <c r="P45" s="358"/>
      <c r="Q45" s="358"/>
      <c r="R45" s="358"/>
      <c r="S45" s="361"/>
      <c r="T45" s="361"/>
      <c r="U45" s="358"/>
      <c r="V45" s="358"/>
      <c r="W45" s="358"/>
      <c r="X45" s="358"/>
      <c r="Y45" s="358"/>
      <c r="Z45" s="358"/>
      <c r="AA45" s="358"/>
      <c r="AB45" s="358"/>
      <c r="AC45" s="358"/>
      <c r="AD45" s="358"/>
      <c r="AE45" s="358"/>
      <c r="AF45" s="358"/>
      <c r="AG45" s="358"/>
      <c r="AH45" s="358"/>
      <c r="AI45" s="358"/>
      <c r="AJ45" s="358"/>
      <c r="AK45" s="358"/>
      <c r="AL45" s="358"/>
      <c r="AM45" s="358"/>
      <c r="AN45" s="358"/>
      <c r="AO45" s="358"/>
      <c r="AP45" s="358"/>
      <c r="AQ45" s="358"/>
      <c r="AR45" s="358"/>
      <c r="AS45" s="358"/>
      <c r="AT45" s="358"/>
      <c r="AU45" s="358"/>
      <c r="AV45" s="358"/>
      <c r="AW45" s="358"/>
      <c r="AX45" s="358"/>
      <c r="AY45" s="358"/>
      <c r="AZ45" s="358"/>
      <c r="BA45" s="358"/>
      <c r="BB45" s="358"/>
      <c r="BC45" s="358"/>
      <c r="BD45" s="358"/>
      <c r="BE45" s="358"/>
      <c r="BF45" s="358"/>
      <c r="BG45" s="358"/>
      <c r="BH45" s="358"/>
      <c r="BI45" s="358"/>
      <c r="BJ45" s="358"/>
      <c r="BK45" s="358"/>
      <c r="BL45" s="358"/>
      <c r="BM45" s="358"/>
      <c r="BN45" s="358"/>
      <c r="BO45" s="358"/>
      <c r="BP45" s="358"/>
      <c r="BQ45" s="358"/>
      <c r="BR45" s="358"/>
      <c r="BS45" s="358"/>
      <c r="BT45" s="358"/>
      <c r="BU45" s="358"/>
      <c r="BV45" s="358"/>
      <c r="BW45" s="358"/>
      <c r="BX45" s="358"/>
      <c r="BY45" s="358"/>
      <c r="BZ45" s="358"/>
      <c r="CA45" s="358"/>
      <c r="CB45" s="358"/>
      <c r="CC45" s="358"/>
    </row>
    <row r="46" spans="1:81" s="224" customFormat="1" ht="19.899999999999999" hidden="1" customHeight="1">
      <c r="A46" s="358"/>
      <c r="B46" s="359"/>
      <c r="C46" s="369" t="s">
        <v>276</v>
      </c>
      <c r="D46" s="763">
        <v>1286</v>
      </c>
      <c r="E46" s="763"/>
      <c r="F46" s="381"/>
      <c r="G46" s="371" t="s">
        <v>297</v>
      </c>
      <c r="H46" s="770">
        <f>SUM(H41:I45)</f>
        <v>771.4</v>
      </c>
      <c r="I46" s="770"/>
      <c r="J46" s="360"/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  <c r="AA46" s="358"/>
      <c r="AB46" s="358"/>
      <c r="AC46" s="358"/>
      <c r="AD46" s="358"/>
      <c r="AE46" s="358"/>
      <c r="AF46" s="358"/>
      <c r="AG46" s="358"/>
      <c r="AH46" s="358"/>
      <c r="AI46" s="358"/>
      <c r="AJ46" s="358"/>
      <c r="AK46" s="358"/>
      <c r="AL46" s="358"/>
      <c r="AM46" s="358"/>
      <c r="AN46" s="358"/>
      <c r="AO46" s="358"/>
      <c r="AP46" s="358"/>
      <c r="AQ46" s="358"/>
      <c r="AR46" s="358"/>
      <c r="AS46" s="358"/>
      <c r="AT46" s="358"/>
      <c r="AU46" s="358"/>
      <c r="AV46" s="358"/>
      <c r="AW46" s="358"/>
      <c r="AX46" s="358"/>
      <c r="AY46" s="358"/>
      <c r="AZ46" s="358"/>
      <c r="BA46" s="358"/>
      <c r="BB46" s="358"/>
      <c r="BC46" s="358"/>
      <c r="BD46" s="358"/>
      <c r="BE46" s="358"/>
      <c r="BF46" s="358"/>
      <c r="BG46" s="358"/>
      <c r="BH46" s="358"/>
      <c r="BI46" s="358"/>
      <c r="BJ46" s="358"/>
      <c r="BK46" s="358"/>
      <c r="BL46" s="358"/>
      <c r="BM46" s="358"/>
      <c r="BN46" s="358"/>
      <c r="BO46" s="358"/>
      <c r="BP46" s="358"/>
      <c r="BQ46" s="358"/>
      <c r="BR46" s="358"/>
      <c r="BS46" s="358"/>
      <c r="BT46" s="358"/>
      <c r="BU46" s="358"/>
      <c r="BV46" s="358"/>
      <c r="BW46" s="358"/>
      <c r="BX46" s="358"/>
      <c r="BY46" s="358"/>
      <c r="BZ46" s="358"/>
      <c r="CA46" s="358"/>
      <c r="CB46" s="358"/>
      <c r="CC46" s="358"/>
    </row>
    <row r="47" spans="1:81" s="224" customFormat="1" ht="19.899999999999999" hidden="1" customHeight="1">
      <c r="A47" s="358"/>
      <c r="B47" s="359"/>
      <c r="C47" s="369" t="s">
        <v>277</v>
      </c>
      <c r="D47" s="763">
        <v>1286</v>
      </c>
      <c r="E47" s="763"/>
      <c r="F47" s="381"/>
      <c r="G47" s="372" t="s">
        <v>287</v>
      </c>
      <c r="H47" s="768">
        <v>36.1</v>
      </c>
      <c r="I47" s="768"/>
      <c r="J47" s="360"/>
      <c r="K47" s="358"/>
      <c r="L47" s="358"/>
      <c r="M47" s="358"/>
      <c r="N47" s="358"/>
      <c r="O47" s="358"/>
      <c r="P47" s="358"/>
      <c r="Q47" s="358"/>
      <c r="R47" s="358"/>
      <c r="S47" s="358"/>
      <c r="T47" s="358"/>
      <c r="U47" s="358"/>
      <c r="V47" s="358"/>
      <c r="W47" s="358"/>
      <c r="X47" s="358"/>
      <c r="Y47" s="358"/>
      <c r="Z47" s="358"/>
      <c r="AA47" s="358"/>
      <c r="AB47" s="358"/>
      <c r="AC47" s="358"/>
      <c r="AD47" s="358"/>
      <c r="AE47" s="358"/>
      <c r="AF47" s="358"/>
      <c r="AG47" s="358"/>
      <c r="AH47" s="358"/>
      <c r="AI47" s="358"/>
      <c r="AJ47" s="358"/>
      <c r="AK47" s="358"/>
      <c r="AL47" s="358"/>
      <c r="AM47" s="358"/>
      <c r="AN47" s="358"/>
      <c r="AO47" s="358"/>
      <c r="AP47" s="358"/>
      <c r="AQ47" s="358"/>
      <c r="AR47" s="358"/>
      <c r="AS47" s="358"/>
      <c r="AT47" s="358"/>
      <c r="AU47" s="358"/>
      <c r="AV47" s="358"/>
      <c r="AW47" s="358"/>
      <c r="AX47" s="358"/>
      <c r="AY47" s="358"/>
      <c r="AZ47" s="358"/>
      <c r="BA47" s="358"/>
      <c r="BB47" s="358"/>
      <c r="BC47" s="358"/>
      <c r="BD47" s="358"/>
      <c r="BE47" s="358"/>
      <c r="BF47" s="358"/>
      <c r="BG47" s="358"/>
      <c r="BH47" s="358"/>
      <c r="BI47" s="358"/>
      <c r="BJ47" s="358"/>
      <c r="BK47" s="358"/>
      <c r="BL47" s="358"/>
      <c r="BM47" s="358"/>
      <c r="BN47" s="358"/>
      <c r="BO47" s="358"/>
      <c r="BP47" s="358"/>
      <c r="BQ47" s="358"/>
      <c r="BR47" s="358"/>
      <c r="BS47" s="358"/>
      <c r="BT47" s="358"/>
      <c r="BU47" s="358"/>
      <c r="BV47" s="358"/>
      <c r="BW47" s="358"/>
      <c r="BX47" s="358"/>
      <c r="BY47" s="358"/>
      <c r="BZ47" s="358"/>
      <c r="CA47" s="358"/>
      <c r="CB47" s="358"/>
      <c r="CC47" s="358"/>
    </row>
    <row r="48" spans="1:81" s="224" customFormat="1" ht="19.899999999999999" hidden="1" customHeight="1">
      <c r="A48" s="358"/>
      <c r="B48" s="359"/>
      <c r="C48" s="369" t="s">
        <v>228</v>
      </c>
      <c r="D48" s="763">
        <v>709</v>
      </c>
      <c r="E48" s="763"/>
      <c r="F48" s="381"/>
      <c r="G48" s="372" t="s">
        <v>288</v>
      </c>
      <c r="H48" s="768">
        <v>30</v>
      </c>
      <c r="I48" s="768"/>
      <c r="J48" s="360"/>
      <c r="K48" s="358"/>
      <c r="L48" s="358"/>
      <c r="M48" s="358"/>
      <c r="N48" s="358"/>
      <c r="O48" s="358"/>
      <c r="P48" s="358"/>
      <c r="Q48" s="358"/>
      <c r="R48" s="358"/>
      <c r="S48" s="358"/>
      <c r="T48" s="358"/>
      <c r="U48" s="358"/>
      <c r="V48" s="358"/>
      <c r="W48" s="358"/>
      <c r="X48" s="358"/>
      <c r="Y48" s="358"/>
      <c r="Z48" s="358"/>
      <c r="AA48" s="358"/>
      <c r="AB48" s="358"/>
      <c r="AC48" s="358"/>
      <c r="AD48" s="358"/>
      <c r="AE48" s="358"/>
      <c r="AF48" s="358"/>
      <c r="AG48" s="358"/>
      <c r="AH48" s="358"/>
      <c r="AI48" s="358"/>
      <c r="AJ48" s="358"/>
      <c r="AK48" s="358"/>
      <c r="AL48" s="358"/>
      <c r="AM48" s="358"/>
      <c r="AN48" s="358"/>
      <c r="AO48" s="358"/>
      <c r="AP48" s="358"/>
      <c r="AQ48" s="358"/>
      <c r="AR48" s="358"/>
      <c r="AS48" s="358"/>
      <c r="AT48" s="358"/>
      <c r="AU48" s="358"/>
      <c r="AV48" s="358"/>
      <c r="AW48" s="358"/>
      <c r="AX48" s="358"/>
      <c r="AY48" s="358"/>
      <c r="AZ48" s="358"/>
      <c r="BA48" s="358"/>
      <c r="BB48" s="358"/>
      <c r="BC48" s="358"/>
      <c r="BD48" s="358"/>
      <c r="BE48" s="358"/>
      <c r="BF48" s="358"/>
      <c r="BG48" s="358"/>
      <c r="BH48" s="358"/>
      <c r="BI48" s="358"/>
      <c r="BJ48" s="358"/>
      <c r="BK48" s="358"/>
      <c r="BL48" s="358"/>
      <c r="BM48" s="358"/>
      <c r="BN48" s="358"/>
      <c r="BO48" s="358"/>
      <c r="BP48" s="358"/>
      <c r="BQ48" s="358"/>
      <c r="BR48" s="358"/>
      <c r="BS48" s="358"/>
      <c r="BT48" s="358"/>
      <c r="BU48" s="358"/>
      <c r="BV48" s="358"/>
      <c r="BW48" s="358"/>
      <c r="BX48" s="358"/>
      <c r="BY48" s="358"/>
      <c r="BZ48" s="358"/>
      <c r="CA48" s="358"/>
      <c r="CB48" s="358"/>
      <c r="CC48" s="358"/>
    </row>
    <row r="49" spans="1:81" s="224" customFormat="1" ht="19.899999999999999" hidden="1" customHeight="1">
      <c r="A49" s="358"/>
      <c r="B49" s="359"/>
      <c r="C49" s="369" t="s">
        <v>278</v>
      </c>
      <c r="D49" s="763">
        <v>0</v>
      </c>
      <c r="E49" s="763"/>
      <c r="F49" s="381"/>
      <c r="G49" s="372" t="s">
        <v>289</v>
      </c>
      <c r="H49" s="768"/>
      <c r="I49" s="768"/>
      <c r="J49" s="360"/>
      <c r="K49" s="358"/>
      <c r="L49" s="358"/>
      <c r="M49" s="358"/>
      <c r="N49" s="358"/>
      <c r="O49" s="358"/>
      <c r="P49" s="358"/>
      <c r="Q49" s="358"/>
      <c r="R49" s="358"/>
      <c r="S49" s="358"/>
      <c r="T49" s="358"/>
      <c r="U49" s="358"/>
      <c r="V49" s="358"/>
      <c r="W49" s="358"/>
      <c r="X49" s="358"/>
      <c r="Y49" s="358"/>
      <c r="Z49" s="358"/>
      <c r="AA49" s="358"/>
      <c r="AB49" s="358"/>
      <c r="AC49" s="358"/>
      <c r="AD49" s="358"/>
      <c r="AE49" s="358"/>
      <c r="AF49" s="358"/>
      <c r="AG49" s="358"/>
      <c r="AH49" s="358"/>
      <c r="AI49" s="358"/>
      <c r="AJ49" s="358"/>
      <c r="AK49" s="358"/>
      <c r="AL49" s="358"/>
      <c r="AM49" s="358"/>
      <c r="AN49" s="358"/>
      <c r="AO49" s="358"/>
      <c r="AP49" s="358"/>
      <c r="AQ49" s="358"/>
      <c r="AR49" s="358"/>
      <c r="AS49" s="358"/>
      <c r="AT49" s="358"/>
      <c r="AU49" s="358"/>
      <c r="AV49" s="358"/>
      <c r="AW49" s="358"/>
      <c r="AX49" s="358"/>
      <c r="AY49" s="358"/>
      <c r="AZ49" s="358"/>
      <c r="BA49" s="358"/>
      <c r="BB49" s="358"/>
      <c r="BC49" s="358"/>
      <c r="BD49" s="358"/>
      <c r="BE49" s="358"/>
      <c r="BF49" s="358"/>
      <c r="BG49" s="358"/>
      <c r="BH49" s="358"/>
      <c r="BI49" s="358"/>
      <c r="BJ49" s="358"/>
      <c r="BK49" s="358"/>
      <c r="BL49" s="358"/>
      <c r="BM49" s="358"/>
      <c r="BN49" s="358"/>
      <c r="BO49" s="358"/>
      <c r="BP49" s="358"/>
      <c r="BQ49" s="358"/>
      <c r="BR49" s="358"/>
      <c r="BS49" s="358"/>
      <c r="BT49" s="358"/>
      <c r="BU49" s="358"/>
      <c r="BV49" s="358"/>
      <c r="BW49" s="358"/>
      <c r="BX49" s="358"/>
      <c r="BY49" s="358"/>
      <c r="BZ49" s="358"/>
      <c r="CA49" s="358"/>
      <c r="CB49" s="358"/>
      <c r="CC49" s="358"/>
    </row>
    <row r="50" spans="1:81" s="224" customFormat="1" ht="19.899999999999999" hidden="1" customHeight="1">
      <c r="A50" s="358"/>
      <c r="B50" s="359"/>
      <c r="C50" s="369" t="s">
        <v>304</v>
      </c>
      <c r="D50" s="778">
        <f>SUM(D37:E49)</f>
        <v>34861</v>
      </c>
      <c r="E50" s="778"/>
      <c r="F50" s="381"/>
      <c r="G50" s="372" t="s">
        <v>296</v>
      </c>
      <c r="H50" s="770">
        <f>SUM(H47:I49)</f>
        <v>66.099999999999994</v>
      </c>
      <c r="I50" s="770"/>
      <c r="J50" s="360"/>
      <c r="K50" s="358"/>
      <c r="L50" s="358"/>
      <c r="M50" s="358"/>
      <c r="N50" s="358"/>
      <c r="O50" s="358"/>
      <c r="P50" s="358"/>
      <c r="Q50" s="358"/>
      <c r="R50" s="358"/>
      <c r="S50" s="358"/>
      <c r="T50" s="358"/>
      <c r="U50" s="358"/>
      <c r="V50" s="358"/>
      <c r="W50" s="358"/>
      <c r="X50" s="358"/>
      <c r="Y50" s="358"/>
      <c r="Z50" s="358"/>
      <c r="AA50" s="358"/>
      <c r="AB50" s="358"/>
      <c r="AC50" s="358"/>
      <c r="AD50" s="358"/>
      <c r="AE50" s="358"/>
      <c r="AF50" s="358"/>
      <c r="AG50" s="358"/>
      <c r="AH50" s="358"/>
      <c r="AI50" s="358"/>
      <c r="AJ50" s="358"/>
      <c r="AK50" s="358"/>
      <c r="AL50" s="358"/>
      <c r="AM50" s="358"/>
      <c r="AN50" s="358"/>
      <c r="AO50" s="358"/>
      <c r="AP50" s="358"/>
      <c r="AQ50" s="358"/>
      <c r="AR50" s="358"/>
      <c r="AS50" s="358"/>
      <c r="AT50" s="358"/>
      <c r="AU50" s="358"/>
      <c r="AV50" s="358"/>
      <c r="AW50" s="358"/>
      <c r="AX50" s="358"/>
      <c r="AY50" s="358"/>
      <c r="AZ50" s="358"/>
      <c r="BA50" s="358"/>
      <c r="BB50" s="358"/>
      <c r="BC50" s="358"/>
      <c r="BD50" s="358"/>
      <c r="BE50" s="358"/>
      <c r="BF50" s="358"/>
      <c r="BG50" s="358"/>
      <c r="BH50" s="358"/>
      <c r="BI50" s="358"/>
      <c r="BJ50" s="358"/>
      <c r="BK50" s="358"/>
      <c r="BL50" s="358"/>
      <c r="BM50" s="358"/>
      <c r="BN50" s="358"/>
      <c r="BO50" s="358"/>
      <c r="BP50" s="358"/>
      <c r="BQ50" s="358"/>
      <c r="BR50" s="358"/>
      <c r="BS50" s="358"/>
      <c r="BT50" s="358"/>
      <c r="BU50" s="358"/>
      <c r="BV50" s="358"/>
      <c r="BW50" s="358"/>
      <c r="BX50" s="358"/>
      <c r="BY50" s="358"/>
      <c r="BZ50" s="358"/>
      <c r="CA50" s="358"/>
      <c r="CB50" s="358"/>
      <c r="CC50" s="358"/>
    </row>
    <row r="51" spans="1:81" s="224" customFormat="1" ht="19.899999999999999" hidden="1" customHeight="1">
      <c r="A51" s="358"/>
      <c r="B51" s="359"/>
      <c r="C51" s="369" t="s">
        <v>295</v>
      </c>
      <c r="D51" s="771">
        <f>D50*1.025</f>
        <v>35732.524999999994</v>
      </c>
      <c r="E51" s="771"/>
      <c r="F51" s="381"/>
      <c r="G51" s="373" t="s">
        <v>290</v>
      </c>
      <c r="H51" s="768">
        <v>33</v>
      </c>
      <c r="I51" s="768"/>
      <c r="J51" s="360"/>
      <c r="K51" s="358"/>
      <c r="L51" s="358"/>
      <c r="M51" s="358"/>
      <c r="N51" s="358"/>
      <c r="O51" s="358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358"/>
      <c r="AA51" s="358"/>
      <c r="AB51" s="358"/>
      <c r="AC51" s="358"/>
      <c r="AD51" s="358"/>
      <c r="AE51" s="358"/>
      <c r="AF51" s="358"/>
      <c r="AG51" s="358"/>
      <c r="AH51" s="358"/>
      <c r="AI51" s="358"/>
      <c r="AJ51" s="358"/>
      <c r="AK51" s="358"/>
      <c r="AL51" s="358"/>
      <c r="AM51" s="358"/>
      <c r="AN51" s="358"/>
      <c r="AO51" s="358"/>
      <c r="AP51" s="358"/>
      <c r="AQ51" s="358"/>
      <c r="AR51" s="358"/>
      <c r="AS51" s="358"/>
      <c r="AT51" s="358"/>
      <c r="AU51" s="358"/>
      <c r="AV51" s="358"/>
      <c r="AW51" s="358"/>
      <c r="AX51" s="358"/>
      <c r="AY51" s="358"/>
      <c r="AZ51" s="358"/>
      <c r="BA51" s="358"/>
      <c r="BB51" s="358"/>
      <c r="BC51" s="358"/>
      <c r="BD51" s="358"/>
      <c r="BE51" s="358"/>
      <c r="BF51" s="358"/>
      <c r="BG51" s="358"/>
      <c r="BH51" s="358"/>
      <c r="BI51" s="358"/>
      <c r="BJ51" s="358"/>
      <c r="BK51" s="358"/>
      <c r="BL51" s="358"/>
      <c r="BM51" s="358"/>
      <c r="BN51" s="358"/>
      <c r="BO51" s="358"/>
      <c r="BP51" s="358"/>
      <c r="BQ51" s="358"/>
      <c r="BR51" s="358"/>
      <c r="BS51" s="358"/>
      <c r="BT51" s="358"/>
      <c r="BU51" s="358"/>
      <c r="BV51" s="358"/>
      <c r="BW51" s="358"/>
      <c r="BX51" s="358"/>
      <c r="BY51" s="358"/>
      <c r="BZ51" s="358"/>
      <c r="CA51" s="358"/>
      <c r="CB51" s="358"/>
      <c r="CC51" s="358"/>
    </row>
    <row r="52" spans="1:81" s="224" customFormat="1" ht="24" hidden="1" customHeight="1">
      <c r="A52" s="358"/>
      <c r="B52" s="359"/>
      <c r="C52" s="382"/>
      <c r="D52" s="382"/>
      <c r="E52" s="382"/>
      <c r="F52" s="382"/>
      <c r="G52" s="382"/>
      <c r="H52" s="382"/>
      <c r="I52" s="382"/>
      <c r="J52" s="360"/>
      <c r="K52" s="358"/>
      <c r="L52" s="358"/>
      <c r="M52" s="358"/>
      <c r="N52" s="358"/>
      <c r="O52" s="358"/>
      <c r="P52" s="358"/>
      <c r="Q52" s="358"/>
      <c r="R52" s="358"/>
      <c r="S52" s="361"/>
      <c r="T52" s="362"/>
      <c r="U52" s="358"/>
      <c r="V52" s="358"/>
      <c r="W52" s="358"/>
      <c r="X52" s="358"/>
      <c r="Y52" s="358"/>
      <c r="Z52" s="358"/>
      <c r="AA52" s="358"/>
      <c r="AB52" s="358"/>
      <c r="AC52" s="358"/>
      <c r="AD52" s="358"/>
      <c r="AE52" s="358"/>
      <c r="AF52" s="358"/>
      <c r="AG52" s="358"/>
      <c r="AH52" s="358"/>
      <c r="AI52" s="358"/>
      <c r="AJ52" s="358"/>
      <c r="AK52" s="358"/>
      <c r="AL52" s="358"/>
      <c r="AM52" s="358"/>
      <c r="AN52" s="358"/>
      <c r="AO52" s="358"/>
      <c r="AP52" s="358"/>
      <c r="AQ52" s="358"/>
      <c r="AR52" s="358"/>
      <c r="AS52" s="358"/>
      <c r="AT52" s="358"/>
      <c r="AU52" s="358"/>
      <c r="AV52" s="358"/>
      <c r="AW52" s="358"/>
      <c r="AX52" s="358"/>
      <c r="AY52" s="358"/>
      <c r="AZ52" s="358"/>
      <c r="BA52" s="358"/>
      <c r="BB52" s="358"/>
      <c r="BC52" s="358"/>
      <c r="BD52" s="358"/>
      <c r="BE52" s="358"/>
      <c r="BF52" s="358"/>
      <c r="BG52" s="358"/>
      <c r="BH52" s="358"/>
      <c r="BI52" s="358"/>
      <c r="BJ52" s="358"/>
      <c r="BK52" s="358"/>
      <c r="BL52" s="358"/>
      <c r="BM52" s="358"/>
      <c r="BN52" s="358"/>
      <c r="BO52" s="358"/>
      <c r="BP52" s="358"/>
      <c r="BQ52" s="358"/>
      <c r="BR52" s="358"/>
      <c r="BS52" s="358"/>
      <c r="BT52" s="358"/>
      <c r="BU52" s="358"/>
      <c r="BV52" s="358"/>
      <c r="BW52" s="358"/>
      <c r="BX52" s="358"/>
      <c r="BY52" s="358"/>
      <c r="BZ52" s="358"/>
      <c r="CA52" s="358"/>
      <c r="CB52" s="358"/>
      <c r="CC52" s="358"/>
    </row>
    <row r="53" spans="1:81" s="224" customFormat="1" ht="19.899999999999999" hidden="1" customHeight="1">
      <c r="A53" s="358"/>
      <c r="B53" s="377"/>
      <c r="C53" s="375"/>
      <c r="D53" s="375"/>
      <c r="E53" s="375"/>
      <c r="F53" s="375"/>
      <c r="G53" s="375"/>
      <c r="H53" s="773" t="s">
        <v>229</v>
      </c>
      <c r="I53" s="773"/>
      <c r="J53" s="378"/>
      <c r="K53" s="358"/>
      <c r="L53" s="358"/>
      <c r="M53" s="358"/>
      <c r="N53" s="358"/>
      <c r="O53" s="358"/>
      <c r="P53" s="358"/>
      <c r="Q53" s="358"/>
      <c r="R53" s="358"/>
      <c r="S53" s="361"/>
      <c r="T53" s="363"/>
      <c r="U53" s="358"/>
      <c r="V53" s="358"/>
      <c r="W53" s="358"/>
      <c r="X53" s="358"/>
      <c r="Y53" s="358"/>
      <c r="Z53" s="358"/>
      <c r="AA53" s="358"/>
      <c r="AB53" s="358"/>
      <c r="AC53" s="358"/>
      <c r="AD53" s="358"/>
      <c r="AE53" s="358"/>
      <c r="AF53" s="358"/>
      <c r="AG53" s="358"/>
      <c r="AH53" s="358"/>
      <c r="AI53" s="358"/>
      <c r="AJ53" s="358"/>
      <c r="AK53" s="358"/>
      <c r="AL53" s="358"/>
      <c r="AM53" s="358"/>
      <c r="AN53" s="358"/>
      <c r="AO53" s="358"/>
      <c r="AP53" s="358"/>
      <c r="AQ53" s="358"/>
      <c r="AR53" s="358"/>
      <c r="AS53" s="358"/>
      <c r="AT53" s="358"/>
      <c r="AU53" s="358"/>
      <c r="AV53" s="358"/>
      <c r="AW53" s="358"/>
      <c r="AX53" s="358"/>
      <c r="AY53" s="358"/>
      <c r="AZ53" s="358"/>
      <c r="BA53" s="358"/>
      <c r="BB53" s="358"/>
      <c r="BC53" s="358"/>
      <c r="BD53" s="358"/>
      <c r="BE53" s="358"/>
      <c r="BF53" s="358"/>
      <c r="BG53" s="358"/>
      <c r="BH53" s="358"/>
      <c r="BI53" s="358"/>
      <c r="BJ53" s="358"/>
      <c r="BK53" s="358"/>
      <c r="BL53" s="358"/>
      <c r="BM53" s="358"/>
      <c r="BN53" s="358"/>
      <c r="BO53" s="358"/>
      <c r="BP53" s="358"/>
      <c r="BQ53" s="358"/>
      <c r="BR53" s="358"/>
      <c r="BS53" s="358"/>
      <c r="BT53" s="358"/>
      <c r="BU53" s="358"/>
      <c r="BV53" s="358"/>
      <c r="BW53" s="358"/>
      <c r="BX53" s="358"/>
      <c r="BY53" s="358"/>
      <c r="BZ53" s="358"/>
      <c r="CA53" s="358"/>
      <c r="CB53" s="358"/>
      <c r="CC53" s="358"/>
    </row>
    <row r="54" spans="1:81" s="224" customFormat="1" ht="10.15" hidden="1" customHeight="1" thickBot="1">
      <c r="A54" s="358"/>
      <c r="B54" s="379"/>
      <c r="C54" s="376"/>
      <c r="D54" s="376"/>
      <c r="E54" s="376"/>
      <c r="F54" s="376"/>
      <c r="G54" s="376"/>
      <c r="H54" s="376"/>
      <c r="I54" s="376"/>
      <c r="J54" s="380"/>
      <c r="K54" s="358"/>
      <c r="L54" s="358"/>
      <c r="M54" s="358"/>
      <c r="N54" s="358"/>
      <c r="O54" s="358"/>
      <c r="P54" s="358"/>
      <c r="Q54" s="358"/>
      <c r="R54" s="358"/>
      <c r="S54" s="361"/>
      <c r="T54" s="361"/>
      <c r="U54" s="358"/>
      <c r="V54" s="358"/>
      <c r="W54" s="358"/>
      <c r="X54" s="358"/>
      <c r="Y54" s="358"/>
      <c r="Z54" s="358"/>
      <c r="AA54" s="358"/>
      <c r="AB54" s="358"/>
      <c r="AC54" s="358"/>
      <c r="AD54" s="358"/>
      <c r="AE54" s="358"/>
      <c r="AF54" s="358"/>
      <c r="AG54" s="358"/>
      <c r="AH54" s="358"/>
      <c r="AI54" s="358"/>
      <c r="AJ54" s="358"/>
      <c r="AK54" s="358"/>
      <c r="AL54" s="358"/>
      <c r="AM54" s="358"/>
      <c r="AN54" s="358"/>
      <c r="AO54" s="358"/>
      <c r="AP54" s="358"/>
      <c r="AQ54" s="358"/>
      <c r="AR54" s="358"/>
      <c r="AS54" s="358"/>
      <c r="AT54" s="358"/>
      <c r="AU54" s="358"/>
      <c r="AV54" s="358"/>
      <c r="AW54" s="358"/>
      <c r="AX54" s="358"/>
      <c r="AY54" s="358"/>
      <c r="AZ54" s="358"/>
      <c r="BA54" s="358"/>
      <c r="BB54" s="358"/>
      <c r="BC54" s="358"/>
      <c r="BD54" s="358"/>
      <c r="BE54" s="358"/>
      <c r="BF54" s="358"/>
      <c r="BG54" s="358"/>
      <c r="BH54" s="358"/>
      <c r="BI54" s="358"/>
      <c r="BJ54" s="358"/>
      <c r="BK54" s="358"/>
      <c r="BL54" s="358"/>
      <c r="BM54" s="358"/>
      <c r="BN54" s="358"/>
      <c r="BO54" s="358"/>
      <c r="BP54" s="358"/>
      <c r="BQ54" s="358"/>
      <c r="BR54" s="358"/>
      <c r="BS54" s="358"/>
      <c r="BT54" s="358"/>
      <c r="BU54" s="358"/>
      <c r="BV54" s="358"/>
      <c r="BW54" s="358"/>
      <c r="BX54" s="358"/>
      <c r="BY54" s="358"/>
      <c r="BZ54" s="358"/>
      <c r="CA54" s="358"/>
      <c r="CB54" s="358"/>
      <c r="CC54" s="358"/>
    </row>
    <row r="55" spans="1:81" s="224" customFormat="1" ht="15">
      <c r="A55" s="358"/>
      <c r="B55" s="358"/>
      <c r="C55" s="358"/>
      <c r="D55" s="358"/>
      <c r="E55" s="358"/>
      <c r="F55" s="358"/>
      <c r="G55" s="358"/>
      <c r="H55" s="358"/>
      <c r="I55" s="358"/>
      <c r="J55" s="358"/>
      <c r="K55" s="358"/>
      <c r="L55" s="358"/>
      <c r="M55" s="358"/>
      <c r="N55" s="358"/>
      <c r="O55" s="358"/>
      <c r="P55" s="358"/>
      <c r="Q55" s="358"/>
      <c r="R55" s="358"/>
      <c r="S55" s="358"/>
      <c r="T55" s="358"/>
      <c r="U55" s="358"/>
      <c r="V55" s="358"/>
      <c r="W55" s="358"/>
      <c r="X55" s="358"/>
      <c r="Y55" s="358"/>
      <c r="Z55" s="358"/>
      <c r="AA55" s="358"/>
      <c r="AB55" s="358"/>
      <c r="AC55" s="358"/>
      <c r="AD55" s="358"/>
      <c r="AE55" s="358"/>
      <c r="AF55" s="358"/>
      <c r="AG55" s="358"/>
      <c r="AH55" s="358"/>
      <c r="AI55" s="358"/>
      <c r="AJ55" s="358"/>
      <c r="AK55" s="358"/>
      <c r="AL55" s="358"/>
      <c r="AM55" s="358"/>
      <c r="AN55" s="358"/>
      <c r="AO55" s="358"/>
      <c r="AP55" s="358"/>
      <c r="AQ55" s="358"/>
      <c r="AR55" s="358"/>
      <c r="AS55" s="358"/>
      <c r="AT55" s="358"/>
      <c r="AU55" s="358"/>
      <c r="AV55" s="358"/>
      <c r="AW55" s="358"/>
      <c r="AX55" s="358"/>
      <c r="AY55" s="358"/>
      <c r="AZ55" s="358"/>
      <c r="BA55" s="358"/>
      <c r="BB55" s="358"/>
      <c r="BC55" s="358"/>
      <c r="BD55" s="358"/>
      <c r="BE55" s="358"/>
      <c r="BF55" s="358"/>
      <c r="BG55" s="358"/>
      <c r="BH55" s="358"/>
      <c r="BI55" s="358"/>
      <c r="BJ55" s="358"/>
      <c r="BK55" s="358"/>
      <c r="BL55" s="358"/>
      <c r="BM55" s="358"/>
      <c r="BN55" s="358"/>
      <c r="BO55" s="358"/>
      <c r="BP55" s="358"/>
      <c r="BQ55" s="358"/>
      <c r="BR55" s="358"/>
      <c r="BS55" s="358"/>
      <c r="BT55" s="358"/>
      <c r="BU55" s="358"/>
      <c r="BV55" s="358"/>
      <c r="BW55" s="358"/>
      <c r="BX55" s="358"/>
      <c r="BY55" s="358"/>
      <c r="BZ55" s="358"/>
      <c r="CA55" s="358"/>
      <c r="CB55" s="358"/>
      <c r="CC55" s="358"/>
    </row>
    <row r="56" spans="1:81" s="224" customFormat="1" ht="15">
      <c r="A56" s="358"/>
      <c r="B56" s="358"/>
      <c r="C56" s="358"/>
      <c r="D56" s="358"/>
      <c r="E56" s="358"/>
      <c r="F56" s="358"/>
      <c r="G56" s="358"/>
      <c r="H56" s="358"/>
      <c r="I56" s="358"/>
      <c r="J56" s="358"/>
      <c r="K56" s="358"/>
      <c r="L56" s="358"/>
      <c r="M56" s="358"/>
      <c r="N56" s="358"/>
      <c r="O56" s="358"/>
      <c r="P56" s="358"/>
      <c r="Q56" s="358"/>
      <c r="R56" s="358"/>
      <c r="S56" s="358"/>
      <c r="T56" s="358"/>
      <c r="U56" s="358"/>
      <c r="V56" s="358"/>
      <c r="W56" s="358"/>
      <c r="X56" s="358"/>
      <c r="Y56" s="358"/>
      <c r="Z56" s="358"/>
      <c r="AA56" s="358"/>
      <c r="AB56" s="358"/>
      <c r="AC56" s="358"/>
      <c r="AD56" s="358"/>
      <c r="AE56" s="358"/>
      <c r="AF56" s="358"/>
      <c r="AG56" s="358"/>
      <c r="AH56" s="358"/>
      <c r="AI56" s="358"/>
      <c r="AJ56" s="358"/>
      <c r="AK56" s="358"/>
      <c r="AL56" s="358"/>
      <c r="AM56" s="358"/>
      <c r="AN56" s="358"/>
      <c r="AO56" s="358"/>
      <c r="AP56" s="358"/>
      <c r="AQ56" s="358"/>
      <c r="AR56" s="358"/>
      <c r="AS56" s="358"/>
      <c r="AT56" s="358"/>
      <c r="AU56" s="358"/>
      <c r="AV56" s="358"/>
      <c r="AW56" s="358"/>
      <c r="AX56" s="358"/>
      <c r="AY56" s="358"/>
      <c r="AZ56" s="358"/>
      <c r="BA56" s="358"/>
      <c r="BB56" s="358"/>
      <c r="BC56" s="358"/>
      <c r="BD56" s="358"/>
      <c r="BE56" s="358"/>
      <c r="BF56" s="358"/>
      <c r="BG56" s="358"/>
      <c r="BH56" s="358"/>
      <c r="BI56" s="358"/>
      <c r="BJ56" s="358"/>
      <c r="BK56" s="358"/>
      <c r="BL56" s="358"/>
      <c r="BM56" s="358"/>
      <c r="BN56" s="358"/>
      <c r="BO56" s="358"/>
      <c r="BP56" s="358"/>
      <c r="BQ56" s="358"/>
      <c r="BR56" s="358"/>
      <c r="BS56" s="358"/>
      <c r="BT56" s="358"/>
      <c r="BU56" s="358"/>
      <c r="BV56" s="358"/>
      <c r="BW56" s="358"/>
      <c r="BX56" s="358"/>
      <c r="BY56" s="358"/>
      <c r="BZ56" s="358"/>
      <c r="CA56" s="358"/>
      <c r="CB56" s="358"/>
      <c r="CC56" s="358"/>
    </row>
    <row r="57" spans="1:81" s="224" customFormat="1" ht="15">
      <c r="A57" s="358"/>
      <c r="B57" s="358"/>
      <c r="C57" s="358"/>
      <c r="D57" s="358"/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8"/>
      <c r="P57" s="358"/>
      <c r="Q57" s="358"/>
      <c r="R57" s="358"/>
      <c r="S57" s="358"/>
      <c r="T57" s="358"/>
      <c r="U57" s="358"/>
      <c r="V57" s="358"/>
      <c r="W57" s="358"/>
      <c r="X57" s="358"/>
      <c r="Y57" s="358"/>
      <c r="Z57" s="358"/>
      <c r="AA57" s="358"/>
      <c r="AB57" s="358"/>
      <c r="AC57" s="358"/>
      <c r="AD57" s="358"/>
      <c r="AE57" s="358"/>
      <c r="AF57" s="358"/>
      <c r="AG57" s="358"/>
      <c r="AH57" s="358"/>
      <c r="AI57" s="358"/>
      <c r="AJ57" s="358"/>
      <c r="AK57" s="358"/>
      <c r="AL57" s="358"/>
      <c r="AM57" s="358"/>
      <c r="AN57" s="358"/>
      <c r="AO57" s="358"/>
      <c r="AP57" s="358"/>
      <c r="AQ57" s="358"/>
      <c r="AR57" s="358"/>
      <c r="AS57" s="358"/>
      <c r="AT57" s="358"/>
      <c r="AU57" s="358"/>
      <c r="AV57" s="358"/>
      <c r="AW57" s="358"/>
      <c r="AX57" s="358"/>
      <c r="AY57" s="358"/>
      <c r="AZ57" s="358"/>
      <c r="BA57" s="358"/>
      <c r="BB57" s="358"/>
      <c r="BC57" s="358"/>
      <c r="BD57" s="358"/>
      <c r="BE57" s="358"/>
      <c r="BF57" s="358"/>
      <c r="BG57" s="358"/>
      <c r="BH57" s="358"/>
      <c r="BI57" s="358"/>
      <c r="BJ57" s="358"/>
      <c r="BK57" s="358"/>
      <c r="BL57" s="358"/>
      <c r="BM57" s="358"/>
      <c r="BN57" s="358"/>
      <c r="BO57" s="358"/>
      <c r="BP57" s="358"/>
      <c r="BQ57" s="358"/>
      <c r="BR57" s="358"/>
      <c r="BS57" s="358"/>
      <c r="BT57" s="358"/>
      <c r="BU57" s="358"/>
      <c r="BV57" s="358"/>
      <c r="BW57" s="358"/>
      <c r="BX57" s="358"/>
      <c r="BY57" s="358"/>
      <c r="BZ57" s="358"/>
      <c r="CA57" s="358"/>
      <c r="CB57" s="358"/>
      <c r="CC57" s="358"/>
    </row>
    <row r="58" spans="1:81" s="224" customFormat="1" ht="15">
      <c r="A58" s="358"/>
      <c r="B58" s="358"/>
      <c r="C58" s="358"/>
      <c r="D58" s="358"/>
      <c r="E58" s="358"/>
      <c r="F58" s="358"/>
      <c r="G58" s="358"/>
      <c r="H58" s="358"/>
      <c r="I58" s="358"/>
      <c r="J58" s="358"/>
      <c r="K58" s="358"/>
      <c r="L58" s="358"/>
      <c r="M58" s="358"/>
      <c r="N58" s="358"/>
      <c r="O58" s="358"/>
      <c r="P58" s="358"/>
      <c r="Q58" s="358"/>
      <c r="R58" s="358"/>
      <c r="S58" s="358"/>
      <c r="T58" s="358"/>
      <c r="U58" s="358"/>
      <c r="V58" s="358"/>
      <c r="W58" s="358"/>
      <c r="X58" s="358"/>
      <c r="Y58" s="358"/>
      <c r="Z58" s="358"/>
      <c r="AA58" s="358"/>
      <c r="AB58" s="358"/>
      <c r="AC58" s="358"/>
      <c r="AD58" s="358"/>
      <c r="AE58" s="358"/>
      <c r="AF58" s="358"/>
      <c r="AG58" s="358"/>
      <c r="AH58" s="358"/>
      <c r="AI58" s="358"/>
      <c r="AJ58" s="358"/>
      <c r="AK58" s="358"/>
      <c r="AL58" s="358"/>
      <c r="AM58" s="358"/>
      <c r="AN58" s="358"/>
      <c r="AO58" s="358"/>
      <c r="AP58" s="358"/>
      <c r="AQ58" s="358"/>
      <c r="AR58" s="358"/>
      <c r="AS58" s="358"/>
      <c r="AT58" s="358"/>
      <c r="AU58" s="358"/>
      <c r="AV58" s="358"/>
      <c r="AW58" s="358"/>
      <c r="AX58" s="358"/>
      <c r="AY58" s="358"/>
      <c r="AZ58" s="358"/>
      <c r="BA58" s="358"/>
      <c r="BB58" s="358"/>
      <c r="BC58" s="358"/>
      <c r="BD58" s="358"/>
      <c r="BE58" s="358"/>
      <c r="BF58" s="358"/>
      <c r="BG58" s="358"/>
      <c r="BH58" s="358"/>
      <c r="BI58" s="358"/>
      <c r="BJ58" s="358"/>
      <c r="BK58" s="358"/>
      <c r="BL58" s="358"/>
      <c r="BM58" s="358"/>
      <c r="BN58" s="358"/>
      <c r="BO58" s="358"/>
      <c r="BP58" s="358"/>
      <c r="BQ58" s="358"/>
      <c r="BR58" s="358"/>
      <c r="BS58" s="358"/>
      <c r="BT58" s="358"/>
      <c r="BU58" s="358"/>
      <c r="BV58" s="358"/>
      <c r="BW58" s="358"/>
      <c r="BX58" s="358"/>
      <c r="BY58" s="358"/>
      <c r="BZ58" s="358"/>
      <c r="CA58" s="358"/>
      <c r="CB58" s="358"/>
      <c r="CC58" s="358"/>
    </row>
    <row r="59" spans="1:81" s="224" customFormat="1" ht="15">
      <c r="A59" s="358"/>
      <c r="B59" s="358"/>
      <c r="C59" s="358"/>
      <c r="D59" s="358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  <c r="AA59" s="358"/>
      <c r="AB59" s="358"/>
      <c r="AC59" s="358"/>
      <c r="AD59" s="358"/>
      <c r="AE59" s="358"/>
      <c r="AF59" s="358"/>
      <c r="AG59" s="358"/>
      <c r="AH59" s="358"/>
      <c r="AI59" s="358"/>
      <c r="AJ59" s="358"/>
      <c r="AK59" s="358"/>
      <c r="AL59" s="358"/>
      <c r="AM59" s="358"/>
      <c r="AN59" s="358"/>
      <c r="AO59" s="358"/>
      <c r="AP59" s="358"/>
      <c r="AQ59" s="358"/>
      <c r="AR59" s="358"/>
      <c r="AS59" s="358"/>
      <c r="AT59" s="358"/>
      <c r="AU59" s="358"/>
      <c r="AV59" s="358"/>
      <c r="AW59" s="358"/>
      <c r="AX59" s="358"/>
      <c r="AY59" s="358"/>
      <c r="AZ59" s="358"/>
      <c r="BA59" s="358"/>
      <c r="BB59" s="358"/>
      <c r="BC59" s="358"/>
      <c r="BD59" s="358"/>
      <c r="BE59" s="358"/>
      <c r="BF59" s="358"/>
      <c r="BG59" s="358"/>
      <c r="BH59" s="358"/>
      <c r="BI59" s="358"/>
      <c r="BJ59" s="358"/>
      <c r="BK59" s="358"/>
      <c r="BL59" s="358"/>
      <c r="BM59" s="358"/>
      <c r="BN59" s="358"/>
      <c r="BO59" s="358"/>
      <c r="BP59" s="358"/>
      <c r="BQ59" s="358"/>
      <c r="BR59" s="358"/>
      <c r="BS59" s="358"/>
      <c r="BT59" s="358"/>
      <c r="BU59" s="358"/>
      <c r="BV59" s="358"/>
      <c r="BW59" s="358"/>
      <c r="BX59" s="358"/>
      <c r="BY59" s="358"/>
      <c r="BZ59" s="358"/>
      <c r="CA59" s="358"/>
      <c r="CB59" s="358"/>
      <c r="CC59" s="358"/>
    </row>
    <row r="60" spans="1:81" s="224" customFormat="1" ht="15">
      <c r="A60" s="358"/>
      <c r="B60" s="358"/>
      <c r="C60" s="358"/>
      <c r="D60" s="358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  <c r="AA60" s="358"/>
      <c r="AB60" s="358"/>
      <c r="AC60" s="358"/>
      <c r="AD60" s="358"/>
      <c r="AE60" s="358"/>
      <c r="AF60" s="358"/>
      <c r="AG60" s="358"/>
      <c r="AH60" s="358"/>
      <c r="AI60" s="358"/>
      <c r="AJ60" s="358"/>
      <c r="AK60" s="358"/>
      <c r="AL60" s="358"/>
      <c r="AM60" s="358"/>
      <c r="AN60" s="358"/>
      <c r="AO60" s="358"/>
      <c r="AP60" s="358"/>
      <c r="AQ60" s="358"/>
      <c r="AR60" s="358"/>
      <c r="AS60" s="358"/>
      <c r="AT60" s="358"/>
      <c r="AU60" s="358"/>
      <c r="AV60" s="358"/>
      <c r="AW60" s="358"/>
      <c r="AX60" s="358"/>
      <c r="AY60" s="358"/>
      <c r="AZ60" s="358"/>
      <c r="BA60" s="358"/>
      <c r="BB60" s="358"/>
      <c r="BC60" s="358"/>
      <c r="BD60" s="358"/>
      <c r="BE60" s="358"/>
      <c r="BF60" s="358"/>
      <c r="BG60" s="358"/>
      <c r="BH60" s="358"/>
      <c r="BI60" s="358"/>
      <c r="BJ60" s="358"/>
      <c r="BK60" s="358"/>
      <c r="BL60" s="358"/>
      <c r="BM60" s="358"/>
      <c r="BN60" s="358"/>
      <c r="BO60" s="358"/>
      <c r="BP60" s="358"/>
      <c r="BQ60" s="358"/>
      <c r="BR60" s="358"/>
      <c r="BS60" s="358"/>
      <c r="BT60" s="358"/>
      <c r="BU60" s="358"/>
      <c r="BV60" s="358"/>
      <c r="BW60" s="358"/>
      <c r="BX60" s="358"/>
      <c r="BY60" s="358"/>
      <c r="BZ60" s="358"/>
      <c r="CA60" s="358"/>
      <c r="CB60" s="358"/>
      <c r="CC60" s="358"/>
    </row>
    <row r="61" spans="1:81" s="224" customFormat="1" ht="15">
      <c r="A61" s="358"/>
      <c r="B61" s="358"/>
      <c r="C61" s="358"/>
      <c r="D61" s="358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58"/>
      <c r="V61" s="358"/>
      <c r="W61" s="358"/>
      <c r="X61" s="358"/>
      <c r="Y61" s="358"/>
      <c r="Z61" s="358"/>
      <c r="AA61" s="358"/>
      <c r="AB61" s="358"/>
      <c r="AC61" s="358"/>
      <c r="AD61" s="358"/>
      <c r="AE61" s="358"/>
      <c r="AF61" s="358"/>
      <c r="AG61" s="358"/>
      <c r="AH61" s="358"/>
      <c r="AI61" s="358"/>
      <c r="AJ61" s="358"/>
      <c r="AK61" s="358"/>
      <c r="AL61" s="358"/>
      <c r="AM61" s="358"/>
      <c r="AN61" s="358"/>
      <c r="AO61" s="358"/>
      <c r="AP61" s="358"/>
      <c r="AQ61" s="358"/>
      <c r="AR61" s="358"/>
      <c r="AS61" s="358"/>
      <c r="AT61" s="358"/>
      <c r="AU61" s="358"/>
      <c r="AV61" s="358"/>
      <c r="AW61" s="358"/>
      <c r="AX61" s="358"/>
      <c r="AY61" s="358"/>
      <c r="AZ61" s="358"/>
      <c r="BA61" s="358"/>
      <c r="BB61" s="358"/>
      <c r="BC61" s="358"/>
      <c r="BD61" s="358"/>
      <c r="BE61" s="358"/>
      <c r="BF61" s="358"/>
      <c r="BG61" s="358"/>
      <c r="BH61" s="358"/>
      <c r="BI61" s="358"/>
      <c r="BJ61" s="358"/>
      <c r="BK61" s="358"/>
      <c r="BL61" s="358"/>
      <c r="BM61" s="358"/>
      <c r="BN61" s="358"/>
      <c r="BO61" s="358"/>
      <c r="BP61" s="358"/>
      <c r="BQ61" s="358"/>
      <c r="BR61" s="358"/>
      <c r="BS61" s="358"/>
      <c r="BT61" s="358"/>
      <c r="BU61" s="358"/>
      <c r="BV61" s="358"/>
      <c r="BW61" s="358"/>
      <c r="BX61" s="358"/>
      <c r="BY61" s="358"/>
      <c r="BZ61" s="358"/>
      <c r="CA61" s="358"/>
      <c r="CB61" s="358"/>
      <c r="CC61" s="358"/>
    </row>
    <row r="62" spans="1:81" s="224" customFormat="1" ht="15">
      <c r="A62" s="358"/>
      <c r="B62" s="358"/>
      <c r="C62" s="358"/>
      <c r="D62" s="358"/>
      <c r="E62" s="358"/>
      <c r="F62" s="358"/>
      <c r="G62" s="358"/>
      <c r="H62" s="358"/>
      <c r="I62" s="358"/>
      <c r="J62" s="358"/>
      <c r="K62" s="358"/>
      <c r="L62" s="358"/>
      <c r="M62" s="358"/>
      <c r="N62" s="358"/>
      <c r="O62" s="358"/>
      <c r="P62" s="358"/>
      <c r="Q62" s="358"/>
      <c r="R62" s="358"/>
      <c r="S62" s="358"/>
      <c r="T62" s="358"/>
      <c r="U62" s="358"/>
      <c r="V62" s="358"/>
      <c r="W62" s="358"/>
      <c r="X62" s="358"/>
      <c r="Y62" s="358"/>
      <c r="Z62" s="358"/>
      <c r="AA62" s="358"/>
      <c r="AB62" s="358"/>
      <c r="AC62" s="358"/>
      <c r="AD62" s="358"/>
      <c r="AE62" s="358"/>
      <c r="AF62" s="358"/>
      <c r="AG62" s="358"/>
      <c r="AH62" s="358"/>
      <c r="AI62" s="358"/>
      <c r="AJ62" s="358"/>
      <c r="AK62" s="358"/>
      <c r="AL62" s="358"/>
      <c r="AM62" s="358"/>
      <c r="AN62" s="358"/>
      <c r="AO62" s="358"/>
      <c r="AP62" s="358"/>
      <c r="AQ62" s="358"/>
      <c r="AR62" s="358"/>
      <c r="AS62" s="358"/>
      <c r="AT62" s="358"/>
      <c r="AU62" s="358"/>
      <c r="AV62" s="358"/>
      <c r="AW62" s="358"/>
      <c r="AX62" s="358"/>
      <c r="AY62" s="358"/>
      <c r="AZ62" s="358"/>
      <c r="BA62" s="358"/>
      <c r="BB62" s="358"/>
      <c r="BC62" s="358"/>
      <c r="BD62" s="358"/>
      <c r="BE62" s="358"/>
      <c r="BF62" s="358"/>
      <c r="BG62" s="358"/>
      <c r="BH62" s="358"/>
      <c r="BI62" s="358"/>
      <c r="BJ62" s="358"/>
      <c r="BK62" s="358"/>
      <c r="BL62" s="358"/>
      <c r="BM62" s="358"/>
      <c r="BN62" s="358"/>
      <c r="BO62" s="358"/>
      <c r="BP62" s="358"/>
      <c r="BQ62" s="358"/>
      <c r="BR62" s="358"/>
      <c r="BS62" s="358"/>
      <c r="BT62" s="358"/>
      <c r="BU62" s="358"/>
      <c r="BV62" s="358"/>
      <c r="BW62" s="358"/>
      <c r="BX62" s="358"/>
      <c r="BY62" s="358"/>
      <c r="BZ62" s="358"/>
      <c r="CA62" s="358"/>
      <c r="CB62" s="358"/>
      <c r="CC62" s="358"/>
    </row>
    <row r="63" spans="1:81" s="224" customFormat="1" ht="15">
      <c r="A63" s="358"/>
      <c r="B63" s="358"/>
      <c r="C63" s="358"/>
      <c r="D63" s="358"/>
      <c r="E63" s="358"/>
      <c r="F63" s="358"/>
      <c r="G63" s="358"/>
      <c r="H63" s="358"/>
      <c r="I63" s="358"/>
      <c r="J63" s="358"/>
      <c r="K63" s="358"/>
      <c r="L63" s="358"/>
      <c r="M63" s="358"/>
      <c r="N63" s="358"/>
      <c r="O63" s="358"/>
      <c r="P63" s="358"/>
      <c r="Q63" s="358"/>
      <c r="R63" s="358"/>
      <c r="S63" s="358"/>
      <c r="T63" s="358"/>
      <c r="U63" s="358"/>
      <c r="V63" s="358"/>
      <c r="W63" s="358"/>
      <c r="X63" s="358"/>
      <c r="Y63" s="358"/>
      <c r="Z63" s="358"/>
      <c r="AA63" s="358"/>
      <c r="AB63" s="358"/>
      <c r="AC63" s="358"/>
      <c r="AD63" s="358"/>
      <c r="AE63" s="358"/>
      <c r="AF63" s="358"/>
      <c r="AG63" s="358"/>
      <c r="AH63" s="358"/>
      <c r="AI63" s="358"/>
      <c r="AJ63" s="358"/>
      <c r="AK63" s="358"/>
      <c r="AL63" s="358"/>
      <c r="AM63" s="358"/>
      <c r="AN63" s="358"/>
      <c r="AO63" s="358"/>
      <c r="AP63" s="358"/>
      <c r="AQ63" s="358"/>
      <c r="AR63" s="358"/>
      <c r="AS63" s="358"/>
      <c r="AT63" s="358"/>
      <c r="AU63" s="358"/>
      <c r="AV63" s="358"/>
      <c r="AW63" s="358"/>
      <c r="AX63" s="358"/>
      <c r="AY63" s="358"/>
      <c r="AZ63" s="358"/>
      <c r="BA63" s="358"/>
      <c r="BB63" s="358"/>
      <c r="BC63" s="358"/>
      <c r="BD63" s="358"/>
      <c r="BE63" s="358"/>
      <c r="BF63" s="358"/>
      <c r="BG63" s="358"/>
      <c r="BH63" s="358"/>
      <c r="BI63" s="358"/>
      <c r="BJ63" s="358"/>
      <c r="BK63" s="358"/>
      <c r="BL63" s="358"/>
      <c r="BM63" s="358"/>
      <c r="BN63" s="358"/>
      <c r="BO63" s="358"/>
      <c r="BP63" s="358"/>
      <c r="BQ63" s="358"/>
      <c r="BR63" s="358"/>
      <c r="BS63" s="358"/>
      <c r="BT63" s="358"/>
      <c r="BU63" s="358"/>
      <c r="BV63" s="358"/>
      <c r="BW63" s="358"/>
      <c r="BX63" s="358"/>
      <c r="BY63" s="358"/>
      <c r="BZ63" s="358"/>
      <c r="CA63" s="358"/>
      <c r="CB63" s="358"/>
      <c r="CC63" s="358"/>
    </row>
    <row r="64" spans="1:81" s="224" customFormat="1" ht="15">
      <c r="A64" s="358"/>
      <c r="B64" s="358"/>
      <c r="C64" s="358"/>
      <c r="D64" s="358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  <c r="AA64" s="358"/>
      <c r="AB64" s="358"/>
      <c r="AC64" s="358"/>
      <c r="AD64" s="358"/>
      <c r="AE64" s="358"/>
      <c r="AF64" s="358"/>
      <c r="AG64" s="358"/>
      <c r="AH64" s="358"/>
      <c r="AI64" s="358"/>
      <c r="AJ64" s="358"/>
      <c r="AK64" s="358"/>
      <c r="AL64" s="358"/>
      <c r="AM64" s="358"/>
      <c r="AN64" s="358"/>
      <c r="AO64" s="358"/>
      <c r="AP64" s="358"/>
      <c r="AQ64" s="358"/>
      <c r="AR64" s="358"/>
      <c r="AS64" s="358"/>
      <c r="AT64" s="358"/>
      <c r="AU64" s="358"/>
      <c r="AV64" s="358"/>
      <c r="AW64" s="358"/>
      <c r="AX64" s="358"/>
      <c r="AY64" s="358"/>
      <c r="AZ64" s="358"/>
      <c r="BA64" s="358"/>
      <c r="BB64" s="358"/>
      <c r="BC64" s="358"/>
      <c r="BD64" s="358"/>
      <c r="BE64" s="358"/>
      <c r="BF64" s="358"/>
      <c r="BG64" s="358"/>
      <c r="BH64" s="358"/>
      <c r="BI64" s="358"/>
      <c r="BJ64" s="358"/>
      <c r="BK64" s="358"/>
      <c r="BL64" s="358"/>
      <c r="BM64" s="358"/>
      <c r="BN64" s="358"/>
      <c r="BO64" s="358"/>
      <c r="BP64" s="358"/>
      <c r="BQ64" s="358"/>
      <c r="BR64" s="358"/>
      <c r="BS64" s="358"/>
      <c r="BT64" s="358"/>
      <c r="BU64" s="358"/>
      <c r="BV64" s="358"/>
      <c r="BW64" s="358"/>
      <c r="BX64" s="358"/>
      <c r="BY64" s="358"/>
      <c r="BZ64" s="358"/>
      <c r="CA64" s="358"/>
      <c r="CB64" s="358"/>
      <c r="CC64" s="358"/>
    </row>
    <row r="65" spans="1:81" s="224" customFormat="1" ht="15">
      <c r="A65" s="358"/>
      <c r="B65" s="358"/>
      <c r="C65" s="358"/>
      <c r="D65" s="358"/>
      <c r="E65" s="358"/>
      <c r="F65" s="358"/>
      <c r="G65" s="358"/>
      <c r="H65" s="358"/>
      <c r="I65" s="358"/>
      <c r="J65" s="358"/>
      <c r="K65" s="358"/>
      <c r="L65" s="358"/>
      <c r="M65" s="358"/>
      <c r="N65" s="358"/>
      <c r="O65" s="358"/>
      <c r="P65" s="358"/>
      <c r="Q65" s="358"/>
      <c r="R65" s="358"/>
      <c r="S65" s="358"/>
      <c r="T65" s="358"/>
      <c r="U65" s="358"/>
      <c r="V65" s="358"/>
      <c r="W65" s="358"/>
      <c r="X65" s="358"/>
      <c r="Y65" s="358"/>
      <c r="Z65" s="358"/>
      <c r="AA65" s="358"/>
      <c r="AB65" s="358"/>
      <c r="AC65" s="358"/>
      <c r="AD65" s="358"/>
      <c r="AE65" s="358"/>
      <c r="AF65" s="358"/>
      <c r="AG65" s="358"/>
      <c r="AH65" s="358"/>
      <c r="AI65" s="358"/>
      <c r="AJ65" s="358"/>
      <c r="AK65" s="358"/>
      <c r="AL65" s="358"/>
      <c r="AM65" s="358"/>
      <c r="AN65" s="358"/>
      <c r="AO65" s="358"/>
      <c r="AP65" s="358"/>
      <c r="AQ65" s="358"/>
      <c r="AR65" s="358"/>
      <c r="AS65" s="358"/>
      <c r="AT65" s="358"/>
      <c r="AU65" s="358"/>
      <c r="AV65" s="358"/>
      <c r="AW65" s="358"/>
      <c r="AX65" s="358"/>
      <c r="AY65" s="358"/>
      <c r="AZ65" s="358"/>
      <c r="BA65" s="358"/>
      <c r="BB65" s="358"/>
      <c r="BC65" s="358"/>
      <c r="BD65" s="358"/>
      <c r="BE65" s="358"/>
      <c r="BF65" s="358"/>
      <c r="BG65" s="358"/>
      <c r="BH65" s="358"/>
      <c r="BI65" s="358"/>
      <c r="BJ65" s="358"/>
      <c r="BK65" s="358"/>
      <c r="BL65" s="358"/>
      <c r="BM65" s="358"/>
      <c r="BN65" s="358"/>
      <c r="BO65" s="358"/>
      <c r="BP65" s="358"/>
      <c r="BQ65" s="358"/>
      <c r="BR65" s="358"/>
      <c r="BS65" s="358"/>
      <c r="BT65" s="358"/>
      <c r="BU65" s="358"/>
      <c r="BV65" s="358"/>
      <c r="BW65" s="358"/>
      <c r="BX65" s="358"/>
      <c r="BY65" s="358"/>
      <c r="BZ65" s="358"/>
      <c r="CA65" s="358"/>
      <c r="CB65" s="358"/>
      <c r="CC65" s="358"/>
    </row>
    <row r="66" spans="1:81" s="224" customFormat="1" ht="15">
      <c r="A66" s="358"/>
      <c r="B66" s="358"/>
      <c r="C66" s="358"/>
      <c r="D66" s="358"/>
      <c r="E66" s="358"/>
      <c r="F66" s="358"/>
      <c r="G66" s="358"/>
      <c r="H66" s="358"/>
      <c r="I66" s="358"/>
      <c r="J66" s="358"/>
      <c r="K66" s="358"/>
      <c r="L66" s="358"/>
      <c r="M66" s="358"/>
      <c r="N66" s="358"/>
      <c r="O66" s="358"/>
      <c r="P66" s="358"/>
      <c r="Q66" s="358"/>
      <c r="R66" s="358"/>
      <c r="S66" s="358"/>
      <c r="T66" s="358"/>
      <c r="U66" s="358"/>
      <c r="V66" s="358"/>
      <c r="W66" s="358"/>
      <c r="X66" s="358"/>
      <c r="Y66" s="358"/>
      <c r="Z66" s="358"/>
      <c r="AA66" s="358"/>
      <c r="AB66" s="358"/>
      <c r="AC66" s="358"/>
      <c r="AD66" s="358"/>
      <c r="AE66" s="358"/>
      <c r="AF66" s="358"/>
      <c r="AG66" s="358"/>
      <c r="AH66" s="358"/>
      <c r="AI66" s="358"/>
      <c r="AJ66" s="358"/>
      <c r="AK66" s="358"/>
      <c r="AL66" s="358"/>
      <c r="AM66" s="358"/>
      <c r="AN66" s="358"/>
      <c r="AO66" s="358"/>
      <c r="AP66" s="358"/>
      <c r="AQ66" s="358"/>
      <c r="AR66" s="358"/>
      <c r="AS66" s="358"/>
      <c r="AT66" s="358"/>
      <c r="AU66" s="358"/>
      <c r="AV66" s="358"/>
      <c r="AW66" s="358"/>
      <c r="AX66" s="358"/>
      <c r="AY66" s="358"/>
      <c r="AZ66" s="358"/>
      <c r="BA66" s="358"/>
      <c r="BB66" s="358"/>
      <c r="BC66" s="358"/>
      <c r="BD66" s="358"/>
      <c r="BE66" s="358"/>
      <c r="BF66" s="358"/>
      <c r="BG66" s="358"/>
      <c r="BH66" s="358"/>
      <c r="BI66" s="358"/>
      <c r="BJ66" s="358"/>
      <c r="BK66" s="358"/>
      <c r="BL66" s="358"/>
      <c r="BM66" s="358"/>
      <c r="BN66" s="358"/>
      <c r="BO66" s="358"/>
      <c r="BP66" s="358"/>
      <c r="BQ66" s="358"/>
      <c r="BR66" s="358"/>
      <c r="BS66" s="358"/>
      <c r="BT66" s="358"/>
      <c r="BU66" s="358"/>
      <c r="BV66" s="358"/>
      <c r="BW66" s="358"/>
      <c r="BX66" s="358"/>
      <c r="BY66" s="358"/>
      <c r="BZ66" s="358"/>
      <c r="CA66" s="358"/>
      <c r="CB66" s="358"/>
      <c r="CC66" s="358"/>
    </row>
    <row r="67" spans="1:81" s="224" customFormat="1" ht="15">
      <c r="A67" s="358"/>
      <c r="B67" s="358"/>
      <c r="C67" s="358"/>
      <c r="D67" s="358"/>
      <c r="E67" s="358"/>
      <c r="F67" s="358"/>
      <c r="G67" s="358"/>
      <c r="H67" s="358"/>
      <c r="I67" s="358"/>
      <c r="J67" s="358"/>
      <c r="K67" s="358"/>
      <c r="L67" s="358"/>
      <c r="M67" s="358"/>
      <c r="N67" s="358"/>
      <c r="O67" s="358"/>
      <c r="P67" s="358"/>
      <c r="Q67" s="358"/>
      <c r="R67" s="358"/>
      <c r="S67" s="358"/>
      <c r="T67" s="358"/>
      <c r="U67" s="358"/>
      <c r="V67" s="358"/>
      <c r="W67" s="358"/>
      <c r="X67" s="358"/>
      <c r="Y67" s="358"/>
      <c r="Z67" s="358"/>
      <c r="AA67" s="358"/>
      <c r="AB67" s="358"/>
      <c r="AC67" s="358"/>
      <c r="AD67" s="358"/>
      <c r="AE67" s="358"/>
      <c r="AF67" s="358"/>
      <c r="AG67" s="358"/>
      <c r="AH67" s="358"/>
      <c r="AI67" s="358"/>
      <c r="AJ67" s="358"/>
      <c r="AK67" s="358"/>
      <c r="AL67" s="358"/>
      <c r="AM67" s="358"/>
      <c r="AN67" s="358"/>
      <c r="AO67" s="358"/>
      <c r="AP67" s="358"/>
      <c r="AQ67" s="358"/>
      <c r="AR67" s="358"/>
      <c r="AS67" s="358"/>
      <c r="AT67" s="358"/>
      <c r="AU67" s="358"/>
      <c r="AV67" s="358"/>
      <c r="AW67" s="358"/>
      <c r="AX67" s="358"/>
      <c r="AY67" s="358"/>
      <c r="AZ67" s="358"/>
      <c r="BA67" s="358"/>
      <c r="BB67" s="358"/>
      <c r="BC67" s="358"/>
      <c r="BD67" s="358"/>
      <c r="BE67" s="358"/>
      <c r="BF67" s="358"/>
      <c r="BG67" s="358"/>
      <c r="BH67" s="358"/>
      <c r="BI67" s="358"/>
      <c r="BJ67" s="358"/>
      <c r="BK67" s="358"/>
      <c r="BL67" s="358"/>
      <c r="BM67" s="358"/>
      <c r="BN67" s="358"/>
      <c r="BO67" s="358"/>
      <c r="BP67" s="358"/>
      <c r="BQ67" s="358"/>
      <c r="BR67" s="358"/>
      <c r="BS67" s="358"/>
      <c r="BT67" s="358"/>
      <c r="BU67" s="358"/>
      <c r="BV67" s="358"/>
      <c r="BW67" s="358"/>
      <c r="BX67" s="358"/>
      <c r="BY67" s="358"/>
      <c r="BZ67" s="358"/>
      <c r="CA67" s="358"/>
      <c r="CB67" s="358"/>
      <c r="CC67" s="358"/>
    </row>
    <row r="68" spans="1:81" s="224" customFormat="1" ht="15">
      <c r="A68" s="358"/>
      <c r="B68" s="358"/>
      <c r="C68" s="358"/>
      <c r="D68" s="358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358"/>
      <c r="AA68" s="358"/>
      <c r="AB68" s="358"/>
      <c r="AC68" s="358"/>
      <c r="AD68" s="358"/>
      <c r="AE68" s="358"/>
      <c r="AF68" s="358"/>
      <c r="AG68" s="358"/>
      <c r="AH68" s="358"/>
      <c r="AI68" s="358"/>
      <c r="AJ68" s="358"/>
      <c r="AK68" s="358"/>
      <c r="AL68" s="358"/>
      <c r="AM68" s="358"/>
      <c r="AN68" s="358"/>
      <c r="AO68" s="358"/>
      <c r="AP68" s="358"/>
      <c r="AQ68" s="358"/>
      <c r="AR68" s="358"/>
      <c r="AS68" s="358"/>
      <c r="AT68" s="358"/>
      <c r="AU68" s="358"/>
      <c r="AV68" s="358"/>
      <c r="AW68" s="358"/>
      <c r="AX68" s="358"/>
      <c r="AY68" s="358"/>
      <c r="AZ68" s="358"/>
      <c r="BA68" s="358"/>
      <c r="BB68" s="358"/>
      <c r="BC68" s="358"/>
      <c r="BD68" s="358"/>
      <c r="BE68" s="358"/>
      <c r="BF68" s="358"/>
      <c r="BG68" s="358"/>
      <c r="BH68" s="358"/>
      <c r="BI68" s="358"/>
      <c r="BJ68" s="358"/>
      <c r="BK68" s="358"/>
      <c r="BL68" s="358"/>
      <c r="BM68" s="358"/>
      <c r="BN68" s="358"/>
      <c r="BO68" s="358"/>
      <c r="BP68" s="358"/>
      <c r="BQ68" s="358"/>
      <c r="BR68" s="358"/>
      <c r="BS68" s="358"/>
      <c r="BT68" s="358"/>
      <c r="BU68" s="358"/>
      <c r="BV68" s="358"/>
      <c r="BW68" s="358"/>
      <c r="BX68" s="358"/>
      <c r="BY68" s="358"/>
      <c r="BZ68" s="358"/>
      <c r="CA68" s="358"/>
      <c r="CB68" s="358"/>
      <c r="CC68" s="358"/>
    </row>
    <row r="69" spans="1:81" s="224" customFormat="1" ht="15">
      <c r="A69" s="358"/>
      <c r="B69" s="358"/>
      <c r="C69" s="358"/>
      <c r="D69" s="358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  <c r="P69" s="358"/>
      <c r="Q69" s="358"/>
      <c r="R69" s="358"/>
      <c r="S69" s="358"/>
      <c r="T69" s="358"/>
      <c r="U69" s="358"/>
      <c r="V69" s="358"/>
      <c r="W69" s="358"/>
      <c r="X69" s="358"/>
      <c r="Y69" s="358"/>
      <c r="Z69" s="358"/>
      <c r="AA69" s="358"/>
      <c r="AB69" s="358"/>
      <c r="AC69" s="358"/>
      <c r="AD69" s="358"/>
      <c r="AE69" s="358"/>
      <c r="AF69" s="358"/>
      <c r="AG69" s="358"/>
      <c r="AH69" s="358"/>
      <c r="AI69" s="358"/>
      <c r="AJ69" s="358"/>
      <c r="AK69" s="358"/>
      <c r="AL69" s="358"/>
      <c r="AM69" s="358"/>
      <c r="AN69" s="358"/>
      <c r="AO69" s="358"/>
      <c r="AP69" s="358"/>
      <c r="AQ69" s="358"/>
      <c r="AR69" s="358"/>
      <c r="AS69" s="358"/>
      <c r="AT69" s="358"/>
      <c r="AU69" s="358"/>
      <c r="AV69" s="358"/>
      <c r="AW69" s="358"/>
      <c r="AX69" s="358"/>
      <c r="AY69" s="358"/>
      <c r="AZ69" s="358"/>
      <c r="BA69" s="358"/>
      <c r="BB69" s="358"/>
      <c r="BC69" s="358"/>
      <c r="BD69" s="358"/>
      <c r="BE69" s="358"/>
      <c r="BF69" s="358"/>
      <c r="BG69" s="358"/>
      <c r="BH69" s="358"/>
      <c r="BI69" s="358"/>
      <c r="BJ69" s="358"/>
      <c r="BK69" s="358"/>
      <c r="BL69" s="358"/>
      <c r="BM69" s="358"/>
      <c r="BN69" s="358"/>
      <c r="BO69" s="358"/>
      <c r="BP69" s="358"/>
      <c r="BQ69" s="358"/>
      <c r="BR69" s="358"/>
      <c r="BS69" s="358"/>
      <c r="BT69" s="358"/>
      <c r="BU69" s="358"/>
      <c r="BV69" s="358"/>
      <c r="BW69" s="358"/>
      <c r="BX69" s="358"/>
      <c r="BY69" s="358"/>
      <c r="BZ69" s="358"/>
      <c r="CA69" s="358"/>
      <c r="CB69" s="358"/>
      <c r="CC69" s="358"/>
    </row>
    <row r="70" spans="1:81" s="224" customFormat="1" ht="15">
      <c r="A70" s="358"/>
      <c r="B70" s="358"/>
      <c r="C70" s="358"/>
      <c r="D70" s="358"/>
      <c r="E70" s="358"/>
      <c r="F70" s="358"/>
      <c r="G70" s="358"/>
      <c r="H70" s="358"/>
      <c r="I70" s="358"/>
      <c r="J70" s="358"/>
      <c r="K70" s="358"/>
      <c r="L70" s="358"/>
      <c r="M70" s="358"/>
      <c r="N70" s="358"/>
      <c r="O70" s="358"/>
      <c r="P70" s="358"/>
      <c r="Q70" s="358"/>
      <c r="R70" s="358"/>
      <c r="S70" s="358"/>
      <c r="T70" s="358"/>
      <c r="U70" s="358"/>
      <c r="V70" s="358"/>
      <c r="W70" s="358"/>
      <c r="X70" s="358"/>
      <c r="Y70" s="358"/>
      <c r="Z70" s="358"/>
      <c r="AA70" s="358"/>
      <c r="AB70" s="358"/>
      <c r="AC70" s="358"/>
      <c r="AD70" s="358"/>
      <c r="AE70" s="358"/>
      <c r="AF70" s="358"/>
      <c r="AG70" s="358"/>
      <c r="AH70" s="358"/>
      <c r="AI70" s="358"/>
      <c r="AJ70" s="358"/>
      <c r="AK70" s="358"/>
      <c r="AL70" s="358"/>
      <c r="AM70" s="358"/>
      <c r="AN70" s="358"/>
      <c r="AO70" s="358"/>
      <c r="AP70" s="358"/>
      <c r="AQ70" s="358"/>
      <c r="AR70" s="358"/>
      <c r="AS70" s="358"/>
      <c r="AT70" s="358"/>
      <c r="AU70" s="358"/>
      <c r="AV70" s="358"/>
      <c r="AW70" s="358"/>
      <c r="AX70" s="358"/>
      <c r="AY70" s="358"/>
      <c r="AZ70" s="358"/>
      <c r="BA70" s="358"/>
      <c r="BB70" s="358"/>
      <c r="BC70" s="358"/>
      <c r="BD70" s="358"/>
      <c r="BE70" s="358"/>
      <c r="BF70" s="358"/>
      <c r="BG70" s="358"/>
      <c r="BH70" s="358"/>
      <c r="BI70" s="358"/>
      <c r="BJ70" s="358"/>
      <c r="BK70" s="358"/>
      <c r="BL70" s="358"/>
      <c r="BM70" s="358"/>
      <c r="BN70" s="358"/>
      <c r="BO70" s="358"/>
      <c r="BP70" s="358"/>
      <c r="BQ70" s="358"/>
      <c r="BR70" s="358"/>
      <c r="BS70" s="358"/>
      <c r="BT70" s="358"/>
      <c r="BU70" s="358"/>
      <c r="BV70" s="358"/>
      <c r="BW70" s="358"/>
      <c r="BX70" s="358"/>
      <c r="BY70" s="358"/>
      <c r="BZ70" s="358"/>
      <c r="CA70" s="358"/>
      <c r="CB70" s="358"/>
      <c r="CC70" s="358"/>
    </row>
    <row r="71" spans="1:81" s="224" customFormat="1" ht="15">
      <c r="A71" s="358"/>
      <c r="B71" s="358"/>
      <c r="C71" s="358"/>
      <c r="D71" s="358"/>
      <c r="E71" s="358"/>
      <c r="F71" s="358"/>
      <c r="G71" s="358"/>
      <c r="H71" s="358"/>
      <c r="I71" s="358"/>
      <c r="J71" s="358"/>
      <c r="K71" s="358"/>
      <c r="L71" s="358"/>
      <c r="M71" s="358"/>
      <c r="N71" s="358"/>
      <c r="O71" s="358"/>
      <c r="P71" s="358"/>
      <c r="Q71" s="358"/>
      <c r="R71" s="358"/>
      <c r="S71" s="358"/>
      <c r="T71" s="358"/>
      <c r="U71" s="358"/>
      <c r="V71" s="358"/>
      <c r="W71" s="358"/>
      <c r="X71" s="358"/>
      <c r="Y71" s="358"/>
      <c r="Z71" s="358"/>
      <c r="AA71" s="358"/>
      <c r="AB71" s="358"/>
      <c r="AC71" s="358"/>
      <c r="AD71" s="358"/>
      <c r="AE71" s="358"/>
      <c r="AF71" s="358"/>
      <c r="AG71" s="358"/>
      <c r="AH71" s="358"/>
      <c r="AI71" s="358"/>
      <c r="AJ71" s="358"/>
      <c r="AK71" s="358"/>
      <c r="AL71" s="358"/>
      <c r="AM71" s="358"/>
      <c r="AN71" s="358"/>
      <c r="AO71" s="358"/>
      <c r="AP71" s="358"/>
      <c r="AQ71" s="358"/>
      <c r="AR71" s="358"/>
      <c r="AS71" s="358"/>
      <c r="AT71" s="358"/>
      <c r="AU71" s="358"/>
      <c r="AV71" s="358"/>
      <c r="AW71" s="358"/>
      <c r="AX71" s="358"/>
      <c r="AY71" s="358"/>
      <c r="AZ71" s="358"/>
      <c r="BA71" s="358"/>
      <c r="BB71" s="358"/>
      <c r="BC71" s="358"/>
      <c r="BD71" s="358"/>
      <c r="BE71" s="358"/>
      <c r="BF71" s="358"/>
      <c r="BG71" s="358"/>
      <c r="BH71" s="358"/>
      <c r="BI71" s="358"/>
      <c r="BJ71" s="358"/>
      <c r="BK71" s="358"/>
      <c r="BL71" s="358"/>
      <c r="BM71" s="358"/>
      <c r="BN71" s="358"/>
      <c r="BO71" s="358"/>
      <c r="BP71" s="358"/>
      <c r="BQ71" s="358"/>
      <c r="BR71" s="358"/>
      <c r="BS71" s="358"/>
      <c r="BT71" s="358"/>
      <c r="BU71" s="358"/>
      <c r="BV71" s="358"/>
      <c r="BW71" s="358"/>
      <c r="BX71" s="358"/>
      <c r="BY71" s="358"/>
      <c r="BZ71" s="358"/>
      <c r="CA71" s="358"/>
      <c r="CB71" s="358"/>
      <c r="CC71" s="358"/>
    </row>
    <row r="72" spans="1:81" s="224" customFormat="1" ht="15">
      <c r="A72" s="358"/>
      <c r="B72" s="358"/>
      <c r="C72" s="358"/>
      <c r="D72" s="358"/>
      <c r="E72" s="358"/>
      <c r="F72" s="358"/>
      <c r="G72" s="358"/>
      <c r="H72" s="358"/>
      <c r="I72" s="358"/>
      <c r="J72" s="358"/>
      <c r="K72" s="358"/>
      <c r="L72" s="358"/>
      <c r="M72" s="358"/>
      <c r="N72" s="358"/>
      <c r="O72" s="358"/>
      <c r="P72" s="358"/>
      <c r="Q72" s="358"/>
      <c r="R72" s="358"/>
      <c r="S72" s="358"/>
      <c r="T72" s="358"/>
      <c r="U72" s="358"/>
      <c r="V72" s="358"/>
      <c r="W72" s="358"/>
      <c r="X72" s="358"/>
      <c r="Y72" s="358"/>
      <c r="Z72" s="358"/>
      <c r="AA72" s="358"/>
      <c r="AB72" s="358"/>
      <c r="AC72" s="358"/>
      <c r="AD72" s="358"/>
      <c r="AE72" s="358"/>
      <c r="AF72" s="358"/>
      <c r="AG72" s="358"/>
      <c r="AH72" s="358"/>
      <c r="AI72" s="358"/>
      <c r="AJ72" s="358"/>
      <c r="AK72" s="358"/>
      <c r="AL72" s="358"/>
      <c r="AM72" s="358"/>
      <c r="AN72" s="358"/>
      <c r="AO72" s="358"/>
      <c r="AP72" s="358"/>
      <c r="AQ72" s="358"/>
      <c r="AR72" s="358"/>
      <c r="AS72" s="358"/>
      <c r="AT72" s="358"/>
      <c r="AU72" s="358"/>
      <c r="AV72" s="358"/>
      <c r="AW72" s="358"/>
      <c r="AX72" s="358"/>
      <c r="AY72" s="358"/>
      <c r="AZ72" s="358"/>
      <c r="BA72" s="358"/>
      <c r="BB72" s="358"/>
      <c r="BC72" s="358"/>
      <c r="BD72" s="358"/>
      <c r="BE72" s="358"/>
      <c r="BF72" s="358"/>
      <c r="BG72" s="358"/>
      <c r="BH72" s="358"/>
      <c r="BI72" s="358"/>
      <c r="BJ72" s="358"/>
      <c r="BK72" s="358"/>
      <c r="BL72" s="358"/>
      <c r="BM72" s="358"/>
      <c r="BN72" s="358"/>
      <c r="BO72" s="358"/>
      <c r="BP72" s="358"/>
      <c r="BQ72" s="358"/>
      <c r="BR72" s="358"/>
      <c r="BS72" s="358"/>
      <c r="BT72" s="358"/>
      <c r="BU72" s="358"/>
      <c r="BV72" s="358"/>
      <c r="BW72" s="358"/>
      <c r="BX72" s="358"/>
      <c r="BY72" s="358"/>
      <c r="BZ72" s="358"/>
      <c r="CA72" s="358"/>
      <c r="CB72" s="358"/>
      <c r="CC72" s="358"/>
    </row>
    <row r="73" spans="1:81" s="224" customFormat="1" ht="15">
      <c r="A73" s="358"/>
      <c r="B73" s="358"/>
      <c r="C73" s="358"/>
      <c r="D73" s="358"/>
      <c r="E73" s="358"/>
      <c r="F73" s="358"/>
      <c r="G73" s="358"/>
      <c r="H73" s="358"/>
      <c r="I73" s="358"/>
      <c r="J73" s="358"/>
      <c r="K73" s="358"/>
      <c r="L73" s="358"/>
      <c r="M73" s="358"/>
      <c r="N73" s="358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358"/>
      <c r="AA73" s="358"/>
      <c r="AB73" s="358"/>
      <c r="AC73" s="358"/>
      <c r="AD73" s="358"/>
      <c r="AE73" s="358"/>
      <c r="AF73" s="358"/>
      <c r="AG73" s="358"/>
      <c r="AH73" s="358"/>
      <c r="AI73" s="358"/>
      <c r="AJ73" s="358"/>
      <c r="AK73" s="358"/>
      <c r="AL73" s="358"/>
      <c r="AM73" s="358"/>
      <c r="AN73" s="358"/>
      <c r="AO73" s="358"/>
      <c r="AP73" s="358"/>
      <c r="AQ73" s="358"/>
      <c r="AR73" s="358"/>
      <c r="AS73" s="358"/>
      <c r="AT73" s="358"/>
      <c r="AU73" s="358"/>
      <c r="AV73" s="358"/>
      <c r="AW73" s="358"/>
      <c r="AX73" s="358"/>
      <c r="AY73" s="358"/>
      <c r="AZ73" s="358"/>
      <c r="BA73" s="358"/>
      <c r="BB73" s="358"/>
      <c r="BC73" s="358"/>
      <c r="BD73" s="358"/>
      <c r="BE73" s="358"/>
      <c r="BF73" s="358"/>
      <c r="BG73" s="358"/>
      <c r="BH73" s="358"/>
      <c r="BI73" s="358"/>
      <c r="BJ73" s="358"/>
      <c r="BK73" s="358"/>
      <c r="BL73" s="358"/>
      <c r="BM73" s="358"/>
      <c r="BN73" s="358"/>
      <c r="BO73" s="358"/>
      <c r="BP73" s="358"/>
      <c r="BQ73" s="358"/>
      <c r="BR73" s="358"/>
      <c r="BS73" s="358"/>
      <c r="BT73" s="358"/>
      <c r="BU73" s="358"/>
      <c r="BV73" s="358"/>
      <c r="BW73" s="358"/>
      <c r="BX73" s="358"/>
      <c r="BY73" s="358"/>
      <c r="BZ73" s="358"/>
      <c r="CA73" s="358"/>
      <c r="CB73" s="358"/>
      <c r="CC73" s="358"/>
    </row>
    <row r="74" spans="1:81" s="224" customFormat="1" ht="15">
      <c r="A74" s="358"/>
      <c r="B74" s="358"/>
      <c r="C74" s="358"/>
      <c r="D74" s="358"/>
      <c r="E74" s="358"/>
      <c r="F74" s="358"/>
      <c r="G74" s="358"/>
      <c r="H74" s="358"/>
      <c r="I74" s="358"/>
      <c r="J74" s="358"/>
      <c r="K74" s="358"/>
      <c r="L74" s="358"/>
      <c r="M74" s="358"/>
      <c r="N74" s="358"/>
      <c r="O74" s="358"/>
      <c r="P74" s="358"/>
      <c r="Q74" s="358"/>
      <c r="R74" s="358"/>
      <c r="S74" s="358"/>
      <c r="T74" s="358"/>
      <c r="U74" s="358"/>
      <c r="V74" s="358"/>
      <c r="W74" s="358"/>
      <c r="X74" s="358"/>
      <c r="Y74" s="358"/>
      <c r="Z74" s="358"/>
      <c r="AA74" s="358"/>
      <c r="AB74" s="358"/>
      <c r="AC74" s="358"/>
      <c r="AD74" s="358"/>
      <c r="AE74" s="358"/>
      <c r="AF74" s="358"/>
      <c r="AG74" s="358"/>
      <c r="AH74" s="358"/>
      <c r="AI74" s="358"/>
      <c r="AJ74" s="358"/>
      <c r="AK74" s="358"/>
      <c r="AL74" s="358"/>
      <c r="AM74" s="358"/>
      <c r="AN74" s="358"/>
      <c r="AO74" s="358"/>
      <c r="AP74" s="358"/>
      <c r="AQ74" s="358"/>
      <c r="AR74" s="358"/>
      <c r="AS74" s="358"/>
      <c r="AT74" s="358"/>
      <c r="AU74" s="358"/>
      <c r="AV74" s="358"/>
      <c r="AW74" s="358"/>
      <c r="AX74" s="358"/>
      <c r="AY74" s="358"/>
      <c r="AZ74" s="358"/>
      <c r="BA74" s="358"/>
      <c r="BB74" s="358"/>
      <c r="BC74" s="358"/>
      <c r="BD74" s="358"/>
      <c r="BE74" s="358"/>
      <c r="BF74" s="358"/>
      <c r="BG74" s="358"/>
      <c r="BH74" s="358"/>
      <c r="BI74" s="358"/>
      <c r="BJ74" s="358"/>
      <c r="BK74" s="358"/>
      <c r="BL74" s="358"/>
      <c r="BM74" s="358"/>
      <c r="BN74" s="358"/>
      <c r="BO74" s="358"/>
      <c r="BP74" s="358"/>
      <c r="BQ74" s="358"/>
      <c r="BR74" s="358"/>
      <c r="BS74" s="358"/>
      <c r="BT74" s="358"/>
      <c r="BU74" s="358"/>
      <c r="BV74" s="358"/>
      <c r="BW74" s="358"/>
      <c r="BX74" s="358"/>
      <c r="BY74" s="358"/>
      <c r="BZ74" s="358"/>
      <c r="CA74" s="358"/>
      <c r="CB74" s="358"/>
      <c r="CC74" s="358"/>
    </row>
    <row r="75" spans="1:81" s="224" customFormat="1" ht="15">
      <c r="A75" s="358"/>
      <c r="B75" s="358"/>
      <c r="C75" s="358"/>
      <c r="D75" s="358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  <c r="AA75" s="358"/>
      <c r="AB75" s="358"/>
      <c r="AC75" s="358"/>
      <c r="AD75" s="358"/>
      <c r="AE75" s="358"/>
      <c r="AF75" s="358"/>
      <c r="AG75" s="358"/>
      <c r="AH75" s="358"/>
      <c r="AI75" s="358"/>
      <c r="AJ75" s="358"/>
      <c r="AK75" s="358"/>
      <c r="AL75" s="358"/>
      <c r="AM75" s="358"/>
      <c r="AN75" s="358"/>
      <c r="AO75" s="358"/>
      <c r="AP75" s="358"/>
      <c r="AQ75" s="358"/>
      <c r="AR75" s="358"/>
      <c r="AS75" s="358"/>
      <c r="AT75" s="358"/>
      <c r="AU75" s="358"/>
      <c r="AV75" s="358"/>
      <c r="AW75" s="358"/>
      <c r="AX75" s="358"/>
      <c r="AY75" s="358"/>
      <c r="AZ75" s="358"/>
      <c r="BA75" s="358"/>
      <c r="BB75" s="358"/>
      <c r="BC75" s="358"/>
      <c r="BD75" s="358"/>
      <c r="BE75" s="358"/>
      <c r="BF75" s="358"/>
      <c r="BG75" s="358"/>
      <c r="BH75" s="358"/>
      <c r="BI75" s="358"/>
      <c r="BJ75" s="358"/>
      <c r="BK75" s="358"/>
      <c r="BL75" s="358"/>
      <c r="BM75" s="358"/>
      <c r="BN75" s="358"/>
      <c r="BO75" s="358"/>
      <c r="BP75" s="358"/>
      <c r="BQ75" s="358"/>
      <c r="BR75" s="358"/>
      <c r="BS75" s="358"/>
      <c r="BT75" s="358"/>
      <c r="BU75" s="358"/>
      <c r="BV75" s="358"/>
      <c r="BW75" s="358"/>
      <c r="BX75" s="358"/>
      <c r="BY75" s="358"/>
      <c r="BZ75" s="358"/>
      <c r="CA75" s="358"/>
      <c r="CB75" s="358"/>
      <c r="CC75" s="358"/>
    </row>
    <row r="76" spans="1:81" s="224" customFormat="1" ht="15">
      <c r="A76" s="358"/>
      <c r="B76" s="358"/>
      <c r="C76" s="358"/>
      <c r="D76" s="358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358"/>
      <c r="AA76" s="358"/>
      <c r="AB76" s="358"/>
      <c r="AC76" s="358"/>
      <c r="AD76" s="358"/>
      <c r="AE76" s="358"/>
      <c r="AF76" s="358"/>
      <c r="AG76" s="358"/>
      <c r="AH76" s="358"/>
      <c r="AI76" s="358"/>
      <c r="AJ76" s="358"/>
      <c r="AK76" s="358"/>
      <c r="AL76" s="358"/>
      <c r="AM76" s="358"/>
      <c r="AN76" s="358"/>
      <c r="AO76" s="358"/>
      <c r="AP76" s="358"/>
      <c r="AQ76" s="358"/>
      <c r="AR76" s="358"/>
      <c r="AS76" s="358"/>
      <c r="AT76" s="358"/>
      <c r="AU76" s="358"/>
      <c r="AV76" s="358"/>
      <c r="AW76" s="358"/>
      <c r="AX76" s="358"/>
      <c r="AY76" s="358"/>
      <c r="AZ76" s="358"/>
      <c r="BA76" s="358"/>
      <c r="BB76" s="358"/>
      <c r="BC76" s="358"/>
      <c r="BD76" s="358"/>
      <c r="BE76" s="358"/>
      <c r="BF76" s="358"/>
      <c r="BG76" s="358"/>
      <c r="BH76" s="358"/>
      <c r="BI76" s="358"/>
      <c r="BJ76" s="358"/>
      <c r="BK76" s="358"/>
      <c r="BL76" s="358"/>
      <c r="BM76" s="358"/>
      <c r="BN76" s="358"/>
      <c r="BO76" s="358"/>
      <c r="BP76" s="358"/>
      <c r="BQ76" s="358"/>
      <c r="BR76" s="358"/>
      <c r="BS76" s="358"/>
      <c r="BT76" s="358"/>
      <c r="BU76" s="358"/>
      <c r="BV76" s="358"/>
      <c r="BW76" s="358"/>
      <c r="BX76" s="358"/>
      <c r="BY76" s="358"/>
      <c r="BZ76" s="358"/>
      <c r="CA76" s="358"/>
      <c r="CB76" s="358"/>
      <c r="CC76" s="358"/>
    </row>
    <row r="77" spans="1:81" s="224" customFormat="1" ht="15">
      <c r="A77" s="358"/>
      <c r="B77" s="358"/>
      <c r="C77" s="358"/>
      <c r="D77" s="358"/>
      <c r="E77" s="358"/>
      <c r="F77" s="358"/>
      <c r="G77" s="358"/>
      <c r="H77" s="358"/>
      <c r="I77" s="358"/>
      <c r="J77" s="358"/>
      <c r="K77" s="358"/>
      <c r="L77" s="358"/>
      <c r="M77" s="358"/>
      <c r="N77" s="358"/>
      <c r="O77" s="358"/>
      <c r="P77" s="358"/>
      <c r="Q77" s="358"/>
      <c r="R77" s="358"/>
      <c r="S77" s="358"/>
      <c r="T77" s="358"/>
      <c r="U77" s="358"/>
      <c r="V77" s="358"/>
      <c r="W77" s="358"/>
      <c r="X77" s="358"/>
      <c r="Y77" s="358"/>
      <c r="Z77" s="358"/>
      <c r="AA77" s="358"/>
      <c r="AB77" s="358"/>
      <c r="AC77" s="358"/>
      <c r="AD77" s="358"/>
      <c r="AE77" s="358"/>
      <c r="AF77" s="358"/>
      <c r="AG77" s="358"/>
      <c r="AH77" s="358"/>
      <c r="AI77" s="358"/>
      <c r="AJ77" s="358"/>
      <c r="AK77" s="358"/>
      <c r="AL77" s="358"/>
      <c r="AM77" s="358"/>
      <c r="AN77" s="358"/>
      <c r="AO77" s="358"/>
      <c r="AP77" s="358"/>
      <c r="AQ77" s="358"/>
      <c r="AR77" s="358"/>
      <c r="AS77" s="358"/>
      <c r="AT77" s="358"/>
      <c r="AU77" s="358"/>
      <c r="AV77" s="358"/>
      <c r="AW77" s="358"/>
      <c r="AX77" s="358"/>
      <c r="AY77" s="358"/>
      <c r="AZ77" s="358"/>
      <c r="BA77" s="358"/>
      <c r="BB77" s="358"/>
      <c r="BC77" s="358"/>
      <c r="BD77" s="358"/>
      <c r="BE77" s="358"/>
      <c r="BF77" s="358"/>
      <c r="BG77" s="358"/>
      <c r="BH77" s="358"/>
      <c r="BI77" s="358"/>
      <c r="BJ77" s="358"/>
      <c r="BK77" s="358"/>
      <c r="BL77" s="358"/>
      <c r="BM77" s="358"/>
      <c r="BN77" s="358"/>
      <c r="BO77" s="358"/>
      <c r="BP77" s="358"/>
      <c r="BQ77" s="358"/>
      <c r="BR77" s="358"/>
      <c r="BS77" s="358"/>
      <c r="BT77" s="358"/>
      <c r="BU77" s="358"/>
      <c r="BV77" s="358"/>
      <c r="BW77" s="358"/>
      <c r="BX77" s="358"/>
      <c r="BY77" s="358"/>
      <c r="BZ77" s="358"/>
      <c r="CA77" s="358"/>
      <c r="CB77" s="358"/>
      <c r="CC77" s="358"/>
    </row>
    <row r="78" spans="1:81" s="224" customFormat="1" ht="15">
      <c r="A78" s="358"/>
      <c r="B78" s="358"/>
      <c r="C78" s="358"/>
      <c r="D78" s="358"/>
      <c r="E78" s="358"/>
      <c r="F78" s="358"/>
      <c r="G78" s="358"/>
      <c r="H78" s="358"/>
      <c r="I78" s="358"/>
      <c r="J78" s="358"/>
      <c r="K78" s="358"/>
      <c r="L78" s="358"/>
      <c r="M78" s="358"/>
      <c r="N78" s="358"/>
      <c r="O78" s="358"/>
      <c r="P78" s="358"/>
      <c r="Q78" s="358"/>
      <c r="R78" s="358"/>
      <c r="S78" s="358"/>
      <c r="T78" s="358"/>
      <c r="U78" s="358"/>
      <c r="V78" s="358"/>
      <c r="W78" s="358"/>
      <c r="X78" s="358"/>
      <c r="Y78" s="358"/>
      <c r="Z78" s="358"/>
      <c r="AA78" s="358"/>
      <c r="AB78" s="358"/>
      <c r="AC78" s="358"/>
      <c r="AD78" s="358"/>
      <c r="AE78" s="358"/>
      <c r="AF78" s="358"/>
      <c r="AG78" s="358"/>
      <c r="AH78" s="358"/>
      <c r="AI78" s="358"/>
      <c r="AJ78" s="358"/>
      <c r="AK78" s="358"/>
      <c r="AL78" s="358"/>
      <c r="AM78" s="358"/>
      <c r="AN78" s="358"/>
      <c r="AO78" s="358"/>
      <c r="AP78" s="358"/>
      <c r="AQ78" s="358"/>
      <c r="AR78" s="358"/>
      <c r="AS78" s="358"/>
      <c r="AT78" s="358"/>
      <c r="AU78" s="358"/>
      <c r="AV78" s="358"/>
      <c r="AW78" s="358"/>
      <c r="AX78" s="358"/>
      <c r="AY78" s="358"/>
      <c r="AZ78" s="358"/>
      <c r="BA78" s="358"/>
      <c r="BB78" s="358"/>
      <c r="BC78" s="358"/>
      <c r="BD78" s="358"/>
      <c r="BE78" s="358"/>
      <c r="BF78" s="358"/>
      <c r="BG78" s="358"/>
      <c r="BH78" s="358"/>
      <c r="BI78" s="358"/>
      <c r="BJ78" s="358"/>
      <c r="BK78" s="358"/>
      <c r="BL78" s="358"/>
      <c r="BM78" s="358"/>
      <c r="BN78" s="358"/>
      <c r="BO78" s="358"/>
      <c r="BP78" s="358"/>
      <c r="BQ78" s="358"/>
      <c r="BR78" s="358"/>
      <c r="BS78" s="358"/>
      <c r="BT78" s="358"/>
      <c r="BU78" s="358"/>
      <c r="BV78" s="358"/>
      <c r="BW78" s="358"/>
      <c r="BX78" s="358"/>
      <c r="BY78" s="358"/>
      <c r="BZ78" s="358"/>
      <c r="CA78" s="358"/>
      <c r="CB78" s="358"/>
      <c r="CC78" s="358"/>
    </row>
    <row r="79" spans="1:81" s="224" customFormat="1" ht="15">
      <c r="A79" s="358"/>
      <c r="B79" s="358"/>
      <c r="C79" s="358"/>
      <c r="D79" s="358"/>
      <c r="E79" s="358"/>
      <c r="F79" s="358"/>
      <c r="G79" s="358"/>
      <c r="H79" s="358"/>
      <c r="I79" s="358"/>
      <c r="J79" s="358"/>
      <c r="K79" s="358"/>
      <c r="L79" s="358"/>
      <c r="M79" s="358"/>
      <c r="N79" s="358"/>
      <c r="O79" s="358"/>
      <c r="P79" s="358"/>
      <c r="Q79" s="358"/>
      <c r="R79" s="358"/>
      <c r="S79" s="358"/>
      <c r="T79" s="358"/>
      <c r="U79" s="358"/>
      <c r="V79" s="358"/>
      <c r="W79" s="358"/>
      <c r="X79" s="358"/>
      <c r="Y79" s="358"/>
      <c r="Z79" s="358"/>
      <c r="AA79" s="358"/>
      <c r="AB79" s="358"/>
      <c r="AC79" s="358"/>
      <c r="AD79" s="358"/>
      <c r="AE79" s="358"/>
      <c r="AF79" s="358"/>
      <c r="AG79" s="358"/>
      <c r="AH79" s="358"/>
      <c r="AI79" s="358"/>
      <c r="AJ79" s="358"/>
      <c r="AK79" s="358"/>
      <c r="AL79" s="358"/>
      <c r="AM79" s="358"/>
      <c r="AN79" s="358"/>
      <c r="AO79" s="358"/>
      <c r="AP79" s="358"/>
      <c r="AQ79" s="358"/>
      <c r="AR79" s="358"/>
      <c r="AS79" s="358"/>
      <c r="AT79" s="358"/>
      <c r="AU79" s="358"/>
      <c r="AV79" s="358"/>
      <c r="AW79" s="358"/>
      <c r="AX79" s="358"/>
      <c r="AY79" s="358"/>
      <c r="AZ79" s="358"/>
      <c r="BA79" s="358"/>
      <c r="BB79" s="358"/>
      <c r="BC79" s="358"/>
      <c r="BD79" s="358"/>
      <c r="BE79" s="358"/>
      <c r="BF79" s="358"/>
      <c r="BG79" s="358"/>
      <c r="BH79" s="358"/>
      <c r="BI79" s="358"/>
      <c r="BJ79" s="358"/>
      <c r="BK79" s="358"/>
      <c r="BL79" s="358"/>
      <c r="BM79" s="358"/>
      <c r="BN79" s="358"/>
      <c r="BO79" s="358"/>
      <c r="BP79" s="358"/>
      <c r="BQ79" s="358"/>
      <c r="BR79" s="358"/>
      <c r="BS79" s="358"/>
      <c r="BT79" s="358"/>
      <c r="BU79" s="358"/>
      <c r="BV79" s="358"/>
      <c r="BW79" s="358"/>
      <c r="BX79" s="358"/>
      <c r="BY79" s="358"/>
      <c r="BZ79" s="358"/>
      <c r="CA79" s="358"/>
      <c r="CB79" s="358"/>
      <c r="CC79" s="358"/>
    </row>
    <row r="80" spans="1:81" s="224" customFormat="1" ht="15">
      <c r="A80" s="358"/>
      <c r="B80" s="358"/>
      <c r="C80" s="358"/>
      <c r="D80" s="358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  <c r="AA80" s="358"/>
      <c r="AB80" s="358"/>
      <c r="AC80" s="358"/>
      <c r="AD80" s="358"/>
      <c r="AE80" s="358"/>
      <c r="AF80" s="358"/>
      <c r="AG80" s="358"/>
      <c r="AH80" s="358"/>
      <c r="AI80" s="358"/>
      <c r="AJ80" s="358"/>
      <c r="AK80" s="358"/>
      <c r="AL80" s="358"/>
      <c r="AM80" s="358"/>
      <c r="AN80" s="358"/>
      <c r="AO80" s="358"/>
      <c r="AP80" s="358"/>
      <c r="AQ80" s="358"/>
      <c r="AR80" s="358"/>
      <c r="AS80" s="358"/>
      <c r="AT80" s="358"/>
      <c r="AU80" s="358"/>
      <c r="AV80" s="358"/>
      <c r="AW80" s="358"/>
      <c r="AX80" s="358"/>
      <c r="AY80" s="358"/>
      <c r="AZ80" s="358"/>
      <c r="BA80" s="358"/>
      <c r="BB80" s="358"/>
      <c r="BC80" s="358"/>
      <c r="BD80" s="358"/>
      <c r="BE80" s="358"/>
      <c r="BF80" s="358"/>
      <c r="BG80" s="358"/>
      <c r="BH80" s="358"/>
      <c r="BI80" s="358"/>
      <c r="BJ80" s="358"/>
      <c r="BK80" s="358"/>
      <c r="BL80" s="358"/>
      <c r="BM80" s="358"/>
      <c r="BN80" s="358"/>
      <c r="BO80" s="358"/>
      <c r="BP80" s="358"/>
      <c r="BQ80" s="358"/>
      <c r="BR80" s="358"/>
      <c r="BS80" s="358"/>
      <c r="BT80" s="358"/>
      <c r="BU80" s="358"/>
      <c r="BV80" s="358"/>
      <c r="BW80" s="358"/>
      <c r="BX80" s="358"/>
      <c r="BY80" s="358"/>
      <c r="BZ80" s="358"/>
      <c r="CA80" s="358"/>
      <c r="CB80" s="358"/>
      <c r="CC80" s="358"/>
    </row>
    <row r="81" spans="1:81" s="224" customFormat="1" ht="15">
      <c r="A81" s="358"/>
      <c r="B81" s="358"/>
      <c r="C81" s="358"/>
      <c r="D81" s="358"/>
      <c r="E81" s="358"/>
      <c r="F81" s="358"/>
      <c r="G81" s="358"/>
      <c r="H81" s="358"/>
      <c r="I81" s="358"/>
      <c r="J81" s="358"/>
      <c r="K81" s="358"/>
      <c r="L81" s="358"/>
      <c r="M81" s="358"/>
      <c r="N81" s="358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358"/>
      <c r="AA81" s="358"/>
      <c r="AB81" s="358"/>
      <c r="AC81" s="358"/>
      <c r="AD81" s="358"/>
      <c r="AE81" s="358"/>
      <c r="AF81" s="358"/>
      <c r="AG81" s="358"/>
      <c r="AH81" s="358"/>
      <c r="AI81" s="358"/>
      <c r="AJ81" s="358"/>
      <c r="AK81" s="358"/>
      <c r="AL81" s="358"/>
      <c r="AM81" s="358"/>
      <c r="AN81" s="358"/>
      <c r="AO81" s="358"/>
      <c r="AP81" s="358"/>
      <c r="AQ81" s="358"/>
      <c r="AR81" s="358"/>
      <c r="AS81" s="358"/>
      <c r="AT81" s="358"/>
      <c r="AU81" s="358"/>
      <c r="AV81" s="358"/>
      <c r="AW81" s="358"/>
      <c r="AX81" s="358"/>
      <c r="AY81" s="358"/>
      <c r="AZ81" s="358"/>
      <c r="BA81" s="358"/>
      <c r="BB81" s="358"/>
      <c r="BC81" s="358"/>
      <c r="BD81" s="358"/>
      <c r="BE81" s="358"/>
      <c r="BF81" s="358"/>
      <c r="BG81" s="358"/>
      <c r="BH81" s="358"/>
      <c r="BI81" s="358"/>
      <c r="BJ81" s="358"/>
      <c r="BK81" s="358"/>
      <c r="BL81" s="358"/>
      <c r="BM81" s="358"/>
      <c r="BN81" s="358"/>
      <c r="BO81" s="358"/>
      <c r="BP81" s="358"/>
      <c r="BQ81" s="358"/>
      <c r="BR81" s="358"/>
      <c r="BS81" s="358"/>
      <c r="BT81" s="358"/>
      <c r="BU81" s="358"/>
      <c r="BV81" s="358"/>
      <c r="BW81" s="358"/>
      <c r="BX81" s="358"/>
      <c r="BY81" s="358"/>
      <c r="BZ81" s="358"/>
      <c r="CA81" s="358"/>
      <c r="CB81" s="358"/>
      <c r="CC81" s="358"/>
    </row>
    <row r="82" spans="1:81" s="224" customFormat="1" ht="15">
      <c r="A82" s="358"/>
      <c r="B82" s="358"/>
      <c r="C82" s="358"/>
      <c r="D82" s="358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8"/>
      <c r="P82" s="358"/>
      <c r="Q82" s="358"/>
      <c r="R82" s="358"/>
      <c r="S82" s="358"/>
      <c r="T82" s="358"/>
      <c r="U82" s="358"/>
      <c r="V82" s="358"/>
      <c r="W82" s="358"/>
      <c r="X82" s="358"/>
      <c r="Y82" s="358"/>
      <c r="Z82" s="358"/>
      <c r="AA82" s="358"/>
      <c r="AB82" s="358"/>
      <c r="AC82" s="358"/>
      <c r="AD82" s="358"/>
      <c r="AE82" s="358"/>
      <c r="AF82" s="358"/>
      <c r="AG82" s="358"/>
      <c r="AH82" s="358"/>
      <c r="AI82" s="358"/>
      <c r="AJ82" s="358"/>
      <c r="AK82" s="358"/>
      <c r="AL82" s="358"/>
      <c r="AM82" s="358"/>
      <c r="AN82" s="358"/>
      <c r="AO82" s="358"/>
      <c r="AP82" s="358"/>
      <c r="AQ82" s="358"/>
      <c r="AR82" s="358"/>
      <c r="AS82" s="358"/>
      <c r="AT82" s="358"/>
      <c r="AU82" s="358"/>
      <c r="AV82" s="358"/>
      <c r="AW82" s="358"/>
      <c r="AX82" s="358"/>
      <c r="AY82" s="358"/>
      <c r="AZ82" s="358"/>
      <c r="BA82" s="358"/>
      <c r="BB82" s="358"/>
      <c r="BC82" s="358"/>
      <c r="BD82" s="358"/>
      <c r="BE82" s="358"/>
      <c r="BF82" s="358"/>
      <c r="BG82" s="358"/>
      <c r="BH82" s="358"/>
      <c r="BI82" s="358"/>
      <c r="BJ82" s="358"/>
      <c r="BK82" s="358"/>
      <c r="BL82" s="358"/>
      <c r="BM82" s="358"/>
      <c r="BN82" s="358"/>
      <c r="BO82" s="358"/>
      <c r="BP82" s="358"/>
      <c r="BQ82" s="358"/>
      <c r="BR82" s="358"/>
      <c r="BS82" s="358"/>
      <c r="BT82" s="358"/>
      <c r="BU82" s="358"/>
      <c r="BV82" s="358"/>
      <c r="BW82" s="358"/>
      <c r="BX82" s="358"/>
      <c r="BY82" s="358"/>
      <c r="BZ82" s="358"/>
      <c r="CA82" s="358"/>
      <c r="CB82" s="358"/>
      <c r="CC82" s="358"/>
    </row>
    <row r="83" spans="1:81" s="224" customFormat="1" ht="15">
      <c r="A83" s="358"/>
      <c r="B83" s="358"/>
      <c r="C83" s="358"/>
      <c r="D83" s="358"/>
      <c r="E83" s="358"/>
      <c r="F83" s="358"/>
      <c r="G83" s="358"/>
      <c r="H83" s="358"/>
      <c r="I83" s="358"/>
      <c r="J83" s="358"/>
      <c r="K83" s="358"/>
      <c r="L83" s="358"/>
      <c r="M83" s="358"/>
      <c r="N83" s="358"/>
      <c r="O83" s="358"/>
      <c r="P83" s="358"/>
      <c r="Q83" s="358"/>
      <c r="R83" s="358"/>
      <c r="S83" s="358"/>
      <c r="T83" s="358"/>
      <c r="U83" s="358"/>
      <c r="V83" s="358"/>
      <c r="W83" s="358"/>
      <c r="X83" s="358"/>
      <c r="Y83" s="358"/>
      <c r="Z83" s="358"/>
      <c r="AA83" s="358"/>
      <c r="AB83" s="358"/>
      <c r="AC83" s="358"/>
      <c r="AD83" s="358"/>
      <c r="AE83" s="358"/>
      <c r="AF83" s="358"/>
      <c r="AG83" s="358"/>
      <c r="AH83" s="358"/>
      <c r="AI83" s="358"/>
      <c r="AJ83" s="358"/>
      <c r="AK83" s="358"/>
      <c r="AL83" s="358"/>
      <c r="AM83" s="358"/>
      <c r="AN83" s="358"/>
      <c r="AO83" s="358"/>
      <c r="AP83" s="358"/>
      <c r="AQ83" s="358"/>
      <c r="AR83" s="358"/>
      <c r="AS83" s="358"/>
      <c r="AT83" s="358"/>
      <c r="AU83" s="358"/>
      <c r="AV83" s="358"/>
      <c r="AW83" s="358"/>
      <c r="AX83" s="358"/>
      <c r="AY83" s="358"/>
      <c r="AZ83" s="358"/>
      <c r="BA83" s="358"/>
      <c r="BB83" s="358"/>
      <c r="BC83" s="358"/>
      <c r="BD83" s="358"/>
      <c r="BE83" s="358"/>
      <c r="BF83" s="358"/>
      <c r="BG83" s="358"/>
      <c r="BH83" s="358"/>
      <c r="BI83" s="358"/>
      <c r="BJ83" s="358"/>
      <c r="BK83" s="358"/>
      <c r="BL83" s="358"/>
      <c r="BM83" s="358"/>
      <c r="BN83" s="358"/>
      <c r="BO83" s="358"/>
      <c r="BP83" s="358"/>
      <c r="BQ83" s="358"/>
      <c r="BR83" s="358"/>
      <c r="BS83" s="358"/>
      <c r="BT83" s="358"/>
      <c r="BU83" s="358"/>
      <c r="BV83" s="358"/>
      <c r="BW83" s="358"/>
      <c r="BX83" s="358"/>
      <c r="BY83" s="358"/>
      <c r="BZ83" s="358"/>
      <c r="CA83" s="358"/>
      <c r="CB83" s="358"/>
      <c r="CC83" s="358"/>
    </row>
    <row r="84" spans="1:81" s="224" customFormat="1" ht="15">
      <c r="A84" s="358"/>
      <c r="B84" s="358"/>
      <c r="C84" s="358"/>
      <c r="D84" s="358"/>
      <c r="E84" s="358"/>
      <c r="F84" s="358"/>
      <c r="G84" s="358"/>
      <c r="H84" s="358"/>
      <c r="I84" s="358"/>
      <c r="J84" s="358"/>
      <c r="K84" s="358"/>
      <c r="L84" s="358"/>
      <c r="M84" s="358"/>
      <c r="N84" s="358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  <c r="AA84" s="358"/>
      <c r="AB84" s="358"/>
      <c r="AC84" s="358"/>
      <c r="AD84" s="358"/>
      <c r="AE84" s="358"/>
      <c r="AF84" s="358"/>
      <c r="AG84" s="358"/>
      <c r="AH84" s="358"/>
      <c r="AI84" s="358"/>
      <c r="AJ84" s="358"/>
      <c r="AK84" s="358"/>
      <c r="AL84" s="358"/>
      <c r="AM84" s="358"/>
      <c r="AN84" s="358"/>
      <c r="AO84" s="358"/>
      <c r="AP84" s="358"/>
      <c r="AQ84" s="358"/>
      <c r="AR84" s="358"/>
      <c r="AS84" s="358"/>
      <c r="AT84" s="358"/>
      <c r="AU84" s="358"/>
      <c r="AV84" s="358"/>
      <c r="AW84" s="358"/>
      <c r="AX84" s="358"/>
      <c r="AY84" s="358"/>
      <c r="AZ84" s="358"/>
      <c r="BA84" s="358"/>
      <c r="BB84" s="358"/>
      <c r="BC84" s="358"/>
      <c r="BD84" s="358"/>
      <c r="BE84" s="358"/>
      <c r="BF84" s="358"/>
      <c r="BG84" s="358"/>
      <c r="BH84" s="358"/>
      <c r="BI84" s="358"/>
      <c r="BJ84" s="358"/>
      <c r="BK84" s="358"/>
      <c r="BL84" s="358"/>
      <c r="BM84" s="358"/>
      <c r="BN84" s="358"/>
      <c r="BO84" s="358"/>
      <c r="BP84" s="358"/>
      <c r="BQ84" s="358"/>
      <c r="BR84" s="358"/>
      <c r="BS84" s="358"/>
      <c r="BT84" s="358"/>
      <c r="BU84" s="358"/>
      <c r="BV84" s="358"/>
      <c r="BW84" s="358"/>
      <c r="BX84" s="358"/>
      <c r="BY84" s="358"/>
      <c r="BZ84" s="358"/>
      <c r="CA84" s="358"/>
      <c r="CB84" s="358"/>
      <c r="CC84" s="358"/>
    </row>
    <row r="85" spans="1:81" s="224" customFormat="1" ht="15">
      <c r="A85" s="358"/>
      <c r="B85" s="358"/>
      <c r="C85" s="358"/>
      <c r="D85" s="358"/>
      <c r="E85" s="358"/>
      <c r="F85" s="358"/>
      <c r="G85" s="358"/>
      <c r="H85" s="358"/>
      <c r="I85" s="358"/>
      <c r="J85" s="358"/>
      <c r="K85" s="358"/>
      <c r="L85" s="358"/>
      <c r="M85" s="358"/>
      <c r="N85" s="358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  <c r="AA85" s="358"/>
      <c r="AB85" s="358"/>
      <c r="AC85" s="358"/>
      <c r="AD85" s="358"/>
      <c r="AE85" s="358"/>
      <c r="AF85" s="358"/>
      <c r="AG85" s="358"/>
      <c r="AH85" s="358"/>
      <c r="AI85" s="358"/>
      <c r="AJ85" s="358"/>
      <c r="AK85" s="358"/>
      <c r="AL85" s="358"/>
      <c r="AM85" s="358"/>
      <c r="AN85" s="358"/>
      <c r="AO85" s="358"/>
      <c r="AP85" s="358"/>
      <c r="AQ85" s="358"/>
      <c r="AR85" s="358"/>
      <c r="AS85" s="358"/>
      <c r="AT85" s="358"/>
      <c r="AU85" s="358"/>
      <c r="AV85" s="358"/>
      <c r="AW85" s="358"/>
      <c r="AX85" s="358"/>
      <c r="AY85" s="358"/>
      <c r="AZ85" s="358"/>
      <c r="BA85" s="358"/>
      <c r="BB85" s="358"/>
      <c r="BC85" s="358"/>
      <c r="BD85" s="358"/>
      <c r="BE85" s="358"/>
      <c r="BF85" s="358"/>
      <c r="BG85" s="358"/>
      <c r="BH85" s="358"/>
      <c r="BI85" s="358"/>
      <c r="BJ85" s="358"/>
      <c r="BK85" s="358"/>
      <c r="BL85" s="358"/>
      <c r="BM85" s="358"/>
      <c r="BN85" s="358"/>
      <c r="BO85" s="358"/>
      <c r="BP85" s="358"/>
      <c r="BQ85" s="358"/>
      <c r="BR85" s="358"/>
      <c r="BS85" s="358"/>
      <c r="BT85" s="358"/>
      <c r="BU85" s="358"/>
      <c r="BV85" s="358"/>
      <c r="BW85" s="358"/>
      <c r="BX85" s="358"/>
      <c r="BY85" s="358"/>
      <c r="BZ85" s="358"/>
      <c r="CA85" s="358"/>
      <c r="CB85" s="358"/>
      <c r="CC85" s="358"/>
    </row>
    <row r="86" spans="1:81" s="224" customFormat="1" ht="15">
      <c r="A86" s="358"/>
      <c r="B86" s="358"/>
      <c r="C86" s="358"/>
      <c r="D86" s="358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  <c r="AA86" s="358"/>
      <c r="AB86" s="358"/>
      <c r="AC86" s="358"/>
      <c r="AD86" s="358"/>
      <c r="AE86" s="358"/>
      <c r="AF86" s="358"/>
      <c r="AG86" s="358"/>
      <c r="AH86" s="358"/>
      <c r="AI86" s="358"/>
      <c r="AJ86" s="358"/>
      <c r="AK86" s="358"/>
      <c r="AL86" s="358"/>
      <c r="AM86" s="358"/>
      <c r="AN86" s="358"/>
      <c r="AO86" s="358"/>
      <c r="AP86" s="358"/>
      <c r="AQ86" s="358"/>
      <c r="AR86" s="358"/>
      <c r="AS86" s="358"/>
      <c r="AT86" s="358"/>
      <c r="AU86" s="358"/>
      <c r="AV86" s="358"/>
      <c r="AW86" s="358"/>
      <c r="AX86" s="358"/>
      <c r="AY86" s="358"/>
      <c r="AZ86" s="358"/>
      <c r="BA86" s="358"/>
      <c r="BB86" s="358"/>
      <c r="BC86" s="358"/>
      <c r="BD86" s="358"/>
      <c r="BE86" s="358"/>
      <c r="BF86" s="358"/>
      <c r="BG86" s="358"/>
      <c r="BH86" s="358"/>
      <c r="BI86" s="358"/>
      <c r="BJ86" s="358"/>
      <c r="BK86" s="358"/>
      <c r="BL86" s="358"/>
      <c r="BM86" s="358"/>
      <c r="BN86" s="358"/>
      <c r="BO86" s="358"/>
      <c r="BP86" s="358"/>
      <c r="BQ86" s="358"/>
      <c r="BR86" s="358"/>
      <c r="BS86" s="358"/>
      <c r="BT86" s="358"/>
      <c r="BU86" s="358"/>
      <c r="BV86" s="358"/>
      <c r="BW86" s="358"/>
      <c r="BX86" s="358"/>
      <c r="BY86" s="358"/>
      <c r="BZ86" s="358"/>
      <c r="CA86" s="358"/>
      <c r="CB86" s="358"/>
      <c r="CC86" s="358"/>
    </row>
    <row r="87" spans="1:81" s="224" customFormat="1" ht="15">
      <c r="A87" s="358"/>
      <c r="B87" s="358"/>
      <c r="C87" s="358"/>
      <c r="D87" s="358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  <c r="AA87" s="358"/>
      <c r="AB87" s="358"/>
      <c r="AC87" s="358"/>
      <c r="AD87" s="358"/>
      <c r="AE87" s="358"/>
      <c r="AF87" s="358"/>
      <c r="AG87" s="358"/>
      <c r="AH87" s="358"/>
      <c r="AI87" s="358"/>
      <c r="AJ87" s="358"/>
      <c r="AK87" s="358"/>
      <c r="AL87" s="358"/>
      <c r="AM87" s="358"/>
      <c r="AN87" s="358"/>
      <c r="AO87" s="358"/>
      <c r="AP87" s="358"/>
      <c r="AQ87" s="358"/>
      <c r="AR87" s="358"/>
      <c r="AS87" s="358"/>
      <c r="AT87" s="358"/>
      <c r="AU87" s="358"/>
      <c r="AV87" s="358"/>
      <c r="AW87" s="358"/>
      <c r="AX87" s="358"/>
      <c r="AY87" s="358"/>
      <c r="AZ87" s="358"/>
      <c r="BA87" s="358"/>
      <c r="BB87" s="358"/>
      <c r="BC87" s="358"/>
      <c r="BD87" s="358"/>
      <c r="BE87" s="358"/>
      <c r="BF87" s="358"/>
      <c r="BG87" s="358"/>
      <c r="BH87" s="358"/>
      <c r="BI87" s="358"/>
      <c r="BJ87" s="358"/>
      <c r="BK87" s="358"/>
      <c r="BL87" s="358"/>
      <c r="BM87" s="358"/>
      <c r="BN87" s="358"/>
      <c r="BO87" s="358"/>
      <c r="BP87" s="358"/>
      <c r="BQ87" s="358"/>
      <c r="BR87" s="358"/>
      <c r="BS87" s="358"/>
      <c r="BT87" s="358"/>
      <c r="BU87" s="358"/>
      <c r="BV87" s="358"/>
      <c r="BW87" s="358"/>
      <c r="BX87" s="358"/>
      <c r="BY87" s="358"/>
      <c r="BZ87" s="358"/>
      <c r="CA87" s="358"/>
      <c r="CB87" s="358"/>
      <c r="CC87" s="358"/>
    </row>
    <row r="88" spans="1:81" s="224" customFormat="1" ht="15">
      <c r="A88" s="358"/>
      <c r="B88" s="358"/>
      <c r="C88" s="358"/>
      <c r="D88" s="358"/>
      <c r="E88" s="358"/>
      <c r="F88" s="358"/>
      <c r="G88" s="358"/>
      <c r="H88" s="358"/>
      <c r="I88" s="358"/>
      <c r="J88" s="358"/>
      <c r="K88" s="358"/>
      <c r="L88" s="358"/>
      <c r="M88" s="358"/>
      <c r="N88" s="358"/>
      <c r="O88" s="358"/>
      <c r="P88" s="358"/>
      <c r="Q88" s="358"/>
      <c r="R88" s="358"/>
      <c r="S88" s="358"/>
      <c r="T88" s="358"/>
      <c r="U88" s="358"/>
      <c r="V88" s="358"/>
      <c r="W88" s="358"/>
      <c r="X88" s="358"/>
      <c r="Y88" s="358"/>
      <c r="Z88" s="358"/>
      <c r="AA88" s="358"/>
      <c r="AB88" s="358"/>
      <c r="AC88" s="358"/>
      <c r="AD88" s="358"/>
      <c r="AE88" s="358"/>
      <c r="AF88" s="358"/>
      <c r="AG88" s="358"/>
      <c r="AH88" s="358"/>
      <c r="AI88" s="358"/>
      <c r="AJ88" s="358"/>
      <c r="AK88" s="358"/>
      <c r="AL88" s="358"/>
      <c r="AM88" s="358"/>
      <c r="AN88" s="358"/>
      <c r="AO88" s="358"/>
      <c r="AP88" s="358"/>
      <c r="AQ88" s="358"/>
      <c r="AR88" s="358"/>
      <c r="AS88" s="358"/>
      <c r="AT88" s="358"/>
      <c r="AU88" s="358"/>
      <c r="AV88" s="358"/>
      <c r="AW88" s="358"/>
      <c r="AX88" s="358"/>
      <c r="AY88" s="358"/>
      <c r="AZ88" s="358"/>
      <c r="BA88" s="358"/>
      <c r="BB88" s="358"/>
      <c r="BC88" s="358"/>
      <c r="BD88" s="358"/>
      <c r="BE88" s="358"/>
      <c r="BF88" s="358"/>
      <c r="BG88" s="358"/>
      <c r="BH88" s="358"/>
      <c r="BI88" s="358"/>
      <c r="BJ88" s="358"/>
      <c r="BK88" s="358"/>
      <c r="BL88" s="358"/>
      <c r="BM88" s="358"/>
      <c r="BN88" s="358"/>
      <c r="BO88" s="358"/>
      <c r="BP88" s="358"/>
      <c r="BQ88" s="358"/>
      <c r="BR88" s="358"/>
      <c r="BS88" s="358"/>
      <c r="BT88" s="358"/>
      <c r="BU88" s="358"/>
      <c r="BV88" s="358"/>
      <c r="BW88" s="358"/>
      <c r="BX88" s="358"/>
      <c r="BY88" s="358"/>
      <c r="BZ88" s="358"/>
      <c r="CA88" s="358"/>
      <c r="CB88" s="358"/>
      <c r="CC88" s="358"/>
    </row>
    <row r="89" spans="1:81" s="224" customFormat="1" ht="15">
      <c r="A89" s="358"/>
      <c r="B89" s="358"/>
      <c r="C89" s="358"/>
      <c r="D89" s="358"/>
      <c r="E89" s="358"/>
      <c r="F89" s="358"/>
      <c r="G89" s="358"/>
      <c r="H89" s="358"/>
      <c r="I89" s="358"/>
      <c r="J89" s="358"/>
      <c r="K89" s="358"/>
      <c r="L89" s="358"/>
      <c r="M89" s="358"/>
      <c r="N89" s="358"/>
      <c r="O89" s="358"/>
      <c r="P89" s="358"/>
      <c r="Q89" s="358"/>
      <c r="R89" s="358"/>
      <c r="S89" s="358"/>
      <c r="T89" s="358"/>
      <c r="U89" s="358"/>
      <c r="V89" s="358"/>
      <c r="W89" s="358"/>
      <c r="X89" s="358"/>
      <c r="Y89" s="358"/>
      <c r="Z89" s="358"/>
      <c r="AA89" s="358"/>
      <c r="AB89" s="358"/>
      <c r="AC89" s="358"/>
      <c r="AD89" s="358"/>
      <c r="AE89" s="358"/>
      <c r="AF89" s="358"/>
      <c r="AG89" s="358"/>
      <c r="AH89" s="358"/>
      <c r="AI89" s="358"/>
      <c r="AJ89" s="358"/>
      <c r="AK89" s="358"/>
      <c r="AL89" s="358"/>
      <c r="AM89" s="358"/>
      <c r="AN89" s="358"/>
      <c r="AO89" s="358"/>
      <c r="AP89" s="358"/>
      <c r="AQ89" s="358"/>
      <c r="AR89" s="358"/>
      <c r="AS89" s="358"/>
      <c r="AT89" s="358"/>
      <c r="AU89" s="358"/>
      <c r="AV89" s="358"/>
      <c r="AW89" s="358"/>
      <c r="AX89" s="358"/>
      <c r="AY89" s="358"/>
      <c r="AZ89" s="358"/>
      <c r="BA89" s="358"/>
      <c r="BB89" s="358"/>
      <c r="BC89" s="358"/>
      <c r="BD89" s="358"/>
      <c r="BE89" s="358"/>
      <c r="BF89" s="358"/>
      <c r="BG89" s="358"/>
      <c r="BH89" s="358"/>
      <c r="BI89" s="358"/>
      <c r="BJ89" s="358"/>
      <c r="BK89" s="358"/>
      <c r="BL89" s="358"/>
      <c r="BM89" s="358"/>
      <c r="BN89" s="358"/>
      <c r="BO89" s="358"/>
      <c r="BP89" s="358"/>
      <c r="BQ89" s="358"/>
      <c r="BR89" s="358"/>
      <c r="BS89" s="358"/>
      <c r="BT89" s="358"/>
      <c r="BU89" s="358"/>
      <c r="BV89" s="358"/>
      <c r="BW89" s="358"/>
      <c r="BX89" s="358"/>
      <c r="BY89" s="358"/>
      <c r="BZ89" s="358"/>
      <c r="CA89" s="358"/>
      <c r="CB89" s="358"/>
      <c r="CC89" s="358"/>
    </row>
    <row r="90" spans="1:81" s="224" customFormat="1" ht="15">
      <c r="A90" s="358"/>
      <c r="B90" s="358"/>
      <c r="C90" s="358"/>
      <c r="D90" s="358"/>
      <c r="E90" s="358"/>
      <c r="F90" s="358"/>
      <c r="G90" s="358"/>
      <c r="H90" s="358"/>
      <c r="I90" s="358"/>
      <c r="J90" s="358"/>
      <c r="K90" s="358"/>
      <c r="L90" s="358"/>
      <c r="M90" s="358"/>
      <c r="N90" s="358"/>
      <c r="O90" s="358"/>
      <c r="P90" s="358"/>
      <c r="Q90" s="358"/>
      <c r="R90" s="358"/>
      <c r="S90" s="358"/>
      <c r="T90" s="358"/>
      <c r="U90" s="358"/>
      <c r="V90" s="358"/>
      <c r="W90" s="358"/>
      <c r="X90" s="358"/>
      <c r="Y90" s="358"/>
      <c r="Z90" s="358"/>
      <c r="AA90" s="358"/>
      <c r="AB90" s="358"/>
      <c r="AC90" s="358"/>
      <c r="AD90" s="358"/>
      <c r="AE90" s="358"/>
      <c r="AF90" s="358"/>
      <c r="AG90" s="358"/>
      <c r="AH90" s="358"/>
      <c r="AI90" s="358"/>
      <c r="AJ90" s="358"/>
      <c r="AK90" s="358"/>
      <c r="AL90" s="358"/>
      <c r="AM90" s="358"/>
      <c r="AN90" s="358"/>
      <c r="AO90" s="358"/>
      <c r="AP90" s="358"/>
      <c r="AQ90" s="358"/>
      <c r="AR90" s="358"/>
      <c r="AS90" s="358"/>
      <c r="AT90" s="358"/>
      <c r="AU90" s="358"/>
      <c r="AV90" s="358"/>
      <c r="AW90" s="358"/>
      <c r="AX90" s="358"/>
      <c r="AY90" s="358"/>
      <c r="AZ90" s="358"/>
      <c r="BA90" s="358"/>
      <c r="BB90" s="358"/>
      <c r="BC90" s="358"/>
      <c r="BD90" s="358"/>
      <c r="BE90" s="358"/>
      <c r="BF90" s="358"/>
      <c r="BG90" s="358"/>
      <c r="BH90" s="358"/>
      <c r="BI90" s="358"/>
      <c r="BJ90" s="358"/>
      <c r="BK90" s="358"/>
      <c r="BL90" s="358"/>
      <c r="BM90" s="358"/>
      <c r="BN90" s="358"/>
      <c r="BO90" s="358"/>
      <c r="BP90" s="358"/>
      <c r="BQ90" s="358"/>
      <c r="BR90" s="358"/>
      <c r="BS90" s="358"/>
      <c r="BT90" s="358"/>
      <c r="BU90" s="358"/>
      <c r="BV90" s="358"/>
      <c r="BW90" s="358"/>
      <c r="BX90" s="358"/>
      <c r="BY90" s="358"/>
      <c r="BZ90" s="358"/>
      <c r="CA90" s="358"/>
      <c r="CB90" s="358"/>
      <c r="CC90" s="358"/>
    </row>
    <row r="91" spans="1:81" s="224" customFormat="1" ht="15">
      <c r="A91" s="358"/>
      <c r="B91" s="358"/>
      <c r="C91" s="358"/>
      <c r="D91" s="358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  <c r="AA91" s="358"/>
      <c r="AB91" s="358"/>
      <c r="AC91" s="358"/>
      <c r="AD91" s="358"/>
      <c r="AE91" s="358"/>
      <c r="AF91" s="358"/>
      <c r="AG91" s="358"/>
      <c r="AH91" s="358"/>
      <c r="AI91" s="358"/>
      <c r="AJ91" s="358"/>
      <c r="AK91" s="358"/>
      <c r="AL91" s="358"/>
      <c r="AM91" s="358"/>
      <c r="AN91" s="358"/>
      <c r="AO91" s="358"/>
      <c r="AP91" s="358"/>
      <c r="AQ91" s="358"/>
      <c r="AR91" s="358"/>
      <c r="AS91" s="358"/>
      <c r="AT91" s="358"/>
      <c r="AU91" s="358"/>
      <c r="AV91" s="358"/>
      <c r="AW91" s="358"/>
      <c r="AX91" s="358"/>
      <c r="AY91" s="358"/>
      <c r="AZ91" s="358"/>
      <c r="BA91" s="358"/>
      <c r="BB91" s="358"/>
      <c r="BC91" s="358"/>
      <c r="BD91" s="358"/>
      <c r="BE91" s="358"/>
      <c r="BF91" s="358"/>
      <c r="BG91" s="358"/>
      <c r="BH91" s="358"/>
      <c r="BI91" s="358"/>
      <c r="BJ91" s="358"/>
      <c r="BK91" s="358"/>
      <c r="BL91" s="358"/>
      <c r="BM91" s="358"/>
      <c r="BN91" s="358"/>
      <c r="BO91" s="358"/>
      <c r="BP91" s="358"/>
      <c r="BQ91" s="358"/>
      <c r="BR91" s="358"/>
      <c r="BS91" s="358"/>
      <c r="BT91" s="358"/>
      <c r="BU91" s="358"/>
      <c r="BV91" s="358"/>
      <c r="BW91" s="358"/>
      <c r="BX91" s="358"/>
      <c r="BY91" s="358"/>
      <c r="BZ91" s="358"/>
      <c r="CA91" s="358"/>
      <c r="CB91" s="358"/>
      <c r="CC91" s="358"/>
    </row>
    <row r="92" spans="1:8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</row>
    <row r="93" spans="1:8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</row>
    <row r="94" spans="1:8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</row>
    <row r="95" spans="1:8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</row>
    <row r="96" spans="1:8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</row>
    <row r="97" spans="1:8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41"/>
      <c r="BR97" s="41"/>
      <c r="BS97" s="41"/>
      <c r="BT97" s="41"/>
      <c r="BU97" s="41"/>
      <c r="BV97" s="41"/>
      <c r="BW97" s="41"/>
      <c r="BX97" s="41"/>
      <c r="BY97" s="41"/>
      <c r="BZ97" s="41"/>
      <c r="CA97" s="41"/>
      <c r="CB97" s="41"/>
      <c r="CC97" s="41"/>
    </row>
    <row r="98" spans="1:8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</row>
    <row r="99" spans="1:8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</row>
    <row r="100" spans="1:8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</row>
    <row r="101" spans="1:8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</row>
    <row r="102" spans="1:8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</row>
    <row r="103" spans="1:8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</row>
    <row r="104" spans="1:8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</row>
    <row r="105" spans="1:8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</row>
    <row r="106" spans="1:8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</row>
    <row r="107" spans="1:8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</row>
    <row r="108" spans="1:8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</row>
    <row r="109" spans="1:8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</row>
    <row r="110" spans="1:8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</row>
    <row r="111" spans="1:8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  <c r="BZ111" s="41"/>
      <c r="CA111" s="41"/>
      <c r="CB111" s="41"/>
      <c r="CC111" s="41"/>
    </row>
    <row r="112" spans="1:8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</row>
    <row r="113" spans="1:8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</row>
    <row r="114" spans="1:8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</row>
    <row r="115" spans="1:8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</row>
    <row r="116" spans="1:8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</row>
    <row r="117" spans="1:8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</row>
    <row r="118" spans="1:8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</row>
    <row r="119" spans="1:8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</row>
    <row r="120" spans="1:8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</row>
    <row r="121" spans="1:8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</row>
    <row r="122" spans="1:8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</row>
    <row r="123" spans="1:8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41"/>
      <c r="BX123" s="41"/>
      <c r="BY123" s="41"/>
      <c r="BZ123" s="41"/>
      <c r="CA123" s="41"/>
      <c r="CB123" s="41"/>
      <c r="CC123" s="41"/>
    </row>
    <row r="124" spans="1:8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</row>
    <row r="125" spans="1:8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41"/>
      <c r="BX125" s="41"/>
      <c r="BY125" s="41"/>
      <c r="BZ125" s="41"/>
      <c r="CA125" s="41"/>
      <c r="CB125" s="41"/>
      <c r="CC125" s="41"/>
    </row>
    <row r="126" spans="1:8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41"/>
      <c r="BX126" s="41"/>
      <c r="BY126" s="41"/>
      <c r="BZ126" s="41"/>
      <c r="CA126" s="41"/>
      <c r="CB126" s="41"/>
      <c r="CC126" s="41"/>
    </row>
    <row r="127" spans="1:8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  <c r="BT127" s="41"/>
      <c r="BU127" s="41"/>
      <c r="BV127" s="41"/>
      <c r="BW127" s="41"/>
      <c r="BX127" s="41"/>
      <c r="BY127" s="41"/>
      <c r="BZ127" s="41"/>
      <c r="CA127" s="41"/>
      <c r="CB127" s="41"/>
      <c r="CC127" s="41"/>
    </row>
    <row r="128" spans="1:8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1"/>
      <c r="BK128" s="41"/>
      <c r="BL128" s="41"/>
      <c r="BM128" s="41"/>
      <c r="BN128" s="41"/>
      <c r="BO128" s="41"/>
      <c r="BP128" s="41"/>
      <c r="BQ128" s="41"/>
      <c r="BR128" s="41"/>
      <c r="BS128" s="41"/>
      <c r="BT128" s="41"/>
      <c r="BU128" s="41"/>
      <c r="BV128" s="41"/>
      <c r="BW128" s="41"/>
      <c r="BX128" s="41"/>
      <c r="BY128" s="41"/>
      <c r="BZ128" s="41"/>
      <c r="CA128" s="41"/>
      <c r="CB128" s="41"/>
      <c r="CC128" s="41"/>
    </row>
    <row r="129" spans="1:8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41"/>
      <c r="BV129" s="41"/>
      <c r="BW129" s="41"/>
      <c r="BX129" s="41"/>
      <c r="BY129" s="41"/>
      <c r="BZ129" s="41"/>
      <c r="CA129" s="41"/>
      <c r="CB129" s="41"/>
      <c r="CC129" s="41"/>
    </row>
    <row r="130" spans="1:8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</row>
    <row r="131" spans="1:8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41"/>
      <c r="BK131" s="41"/>
      <c r="BL131" s="41"/>
      <c r="BM131" s="41"/>
      <c r="BN131" s="41"/>
      <c r="BO131" s="41"/>
      <c r="BP131" s="41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</row>
    <row r="132" spans="1:8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</row>
    <row r="133" spans="1:8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</row>
    <row r="134" spans="1:8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</row>
    <row r="135" spans="1:8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1"/>
      <c r="BU135" s="41"/>
      <c r="BV135" s="41"/>
      <c r="BW135" s="41"/>
      <c r="BX135" s="41"/>
      <c r="BY135" s="41"/>
      <c r="BZ135" s="41"/>
      <c r="CA135" s="41"/>
      <c r="CB135" s="41"/>
      <c r="CC135" s="41"/>
    </row>
    <row r="136" spans="1:8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1"/>
      <c r="BK136" s="41"/>
      <c r="BL136" s="41"/>
      <c r="BM136" s="41"/>
      <c r="BN136" s="41"/>
      <c r="BO136" s="41"/>
      <c r="BP136" s="41"/>
      <c r="BQ136" s="41"/>
      <c r="BR136" s="41"/>
      <c r="BS136" s="41"/>
      <c r="BT136" s="41"/>
      <c r="BU136" s="41"/>
      <c r="BV136" s="41"/>
      <c r="BW136" s="41"/>
      <c r="BX136" s="41"/>
      <c r="BY136" s="41"/>
      <c r="BZ136" s="41"/>
      <c r="CA136" s="41"/>
      <c r="CB136" s="41"/>
      <c r="CC136" s="41"/>
    </row>
    <row r="137" spans="1:8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41"/>
      <c r="BQ137" s="41"/>
      <c r="BR137" s="41"/>
      <c r="BS137" s="41"/>
      <c r="BT137" s="41"/>
      <c r="BU137" s="41"/>
      <c r="BV137" s="41"/>
      <c r="BW137" s="41"/>
      <c r="BX137" s="41"/>
      <c r="BY137" s="41"/>
      <c r="BZ137" s="41"/>
      <c r="CA137" s="41"/>
      <c r="CB137" s="41"/>
      <c r="CC137" s="41"/>
    </row>
    <row r="138" spans="1:8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  <c r="BO138" s="41"/>
      <c r="BP138" s="41"/>
      <c r="BQ138" s="41"/>
      <c r="BR138" s="41"/>
      <c r="BS138" s="41"/>
      <c r="BT138" s="41"/>
      <c r="BU138" s="41"/>
      <c r="BV138" s="41"/>
      <c r="BW138" s="41"/>
      <c r="BX138" s="41"/>
      <c r="BY138" s="41"/>
      <c r="BZ138" s="41"/>
      <c r="CA138" s="41"/>
      <c r="CB138" s="41"/>
      <c r="CC138" s="41"/>
    </row>
    <row r="139" spans="1:8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  <c r="BT139" s="41"/>
      <c r="BU139" s="41"/>
      <c r="BV139" s="41"/>
      <c r="BW139" s="41"/>
      <c r="BX139" s="41"/>
      <c r="BY139" s="41"/>
      <c r="BZ139" s="41"/>
      <c r="CA139" s="41"/>
      <c r="CB139" s="41"/>
      <c r="CC139" s="41"/>
    </row>
    <row r="140" spans="1:8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41"/>
      <c r="BV140" s="41"/>
      <c r="BW140" s="41"/>
      <c r="BX140" s="41"/>
      <c r="BY140" s="41"/>
      <c r="BZ140" s="41"/>
      <c r="CA140" s="41"/>
      <c r="CB140" s="41"/>
      <c r="CC140" s="41"/>
    </row>
    <row r="141" spans="1:8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41"/>
      <c r="BV141" s="41"/>
      <c r="BW141" s="41"/>
      <c r="BX141" s="41"/>
      <c r="BY141" s="41"/>
      <c r="BZ141" s="41"/>
      <c r="CA141" s="41"/>
      <c r="CB141" s="41"/>
      <c r="CC141" s="41"/>
    </row>
    <row r="142" spans="1:8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/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1"/>
      <c r="CA142" s="41"/>
      <c r="CB142" s="41"/>
      <c r="CC142" s="41"/>
    </row>
    <row r="143" spans="1:8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  <c r="BK143" s="41"/>
      <c r="BL143" s="41"/>
      <c r="BM143" s="41"/>
      <c r="BN143" s="41"/>
      <c r="BO143" s="41"/>
      <c r="BP143" s="41"/>
      <c r="BQ143" s="41"/>
      <c r="BR143" s="41"/>
      <c r="BS143" s="41"/>
      <c r="BT143" s="41"/>
      <c r="BU143" s="41"/>
      <c r="BV143" s="41"/>
      <c r="BW143" s="41"/>
      <c r="BX143" s="41"/>
      <c r="BY143" s="41"/>
      <c r="BZ143" s="41"/>
      <c r="CA143" s="41"/>
      <c r="CB143" s="41"/>
      <c r="CC143" s="41"/>
    </row>
    <row r="144" spans="1:8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41"/>
      <c r="BK144" s="41"/>
      <c r="BL144" s="41"/>
      <c r="BM144" s="41"/>
      <c r="BN144" s="41"/>
      <c r="BO144" s="41"/>
      <c r="BP144" s="41"/>
      <c r="BQ144" s="41"/>
      <c r="BR144" s="41"/>
      <c r="BS144" s="41"/>
      <c r="BT144" s="41"/>
      <c r="BU144" s="41"/>
      <c r="BV144" s="41"/>
      <c r="BW144" s="41"/>
      <c r="BX144" s="41"/>
      <c r="BY144" s="41"/>
      <c r="BZ144" s="41"/>
      <c r="CA144" s="41"/>
      <c r="CB144" s="41"/>
      <c r="CC144" s="41"/>
    </row>
    <row r="145" spans="1:8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1"/>
      <c r="BR145" s="41"/>
      <c r="BS145" s="41"/>
      <c r="BT145" s="41"/>
      <c r="BU145" s="41"/>
      <c r="BV145" s="41"/>
      <c r="BW145" s="41"/>
      <c r="BX145" s="41"/>
      <c r="BY145" s="41"/>
      <c r="BZ145" s="41"/>
      <c r="CA145" s="41"/>
      <c r="CB145" s="41"/>
      <c r="CC145" s="41"/>
    </row>
    <row r="146" spans="1:8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1"/>
      <c r="BK146" s="41"/>
      <c r="BL146" s="41"/>
      <c r="BM146" s="41"/>
      <c r="BN146" s="41"/>
      <c r="BO146" s="41"/>
      <c r="BP146" s="41"/>
      <c r="BQ146" s="41"/>
      <c r="BR146" s="41"/>
      <c r="BS146" s="41"/>
      <c r="BT146" s="41"/>
      <c r="BU146" s="41"/>
      <c r="BV146" s="41"/>
      <c r="BW146" s="41"/>
      <c r="BX146" s="41"/>
      <c r="BY146" s="41"/>
      <c r="BZ146" s="41"/>
      <c r="CA146" s="41"/>
      <c r="CB146" s="41"/>
      <c r="CC146" s="41"/>
    </row>
    <row r="147" spans="1:8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1"/>
      <c r="BE147" s="41"/>
      <c r="BF147" s="41"/>
      <c r="BG147" s="41"/>
      <c r="BH147" s="41"/>
      <c r="BI147" s="41"/>
      <c r="BJ147" s="41"/>
      <c r="BK147" s="41"/>
      <c r="BL147" s="41"/>
      <c r="BM147" s="41"/>
      <c r="BN147" s="41"/>
      <c r="BO147" s="41"/>
      <c r="BP147" s="41"/>
      <c r="BQ147" s="41"/>
      <c r="BR147" s="41"/>
      <c r="BS147" s="41"/>
      <c r="BT147" s="41"/>
      <c r="BU147" s="41"/>
      <c r="BV147" s="41"/>
      <c r="BW147" s="41"/>
      <c r="BX147" s="41"/>
      <c r="BY147" s="41"/>
      <c r="BZ147" s="41"/>
      <c r="CA147" s="41"/>
      <c r="CB147" s="41"/>
      <c r="CC147" s="41"/>
    </row>
    <row r="148" spans="1:8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/>
      <c r="BP148" s="41"/>
      <c r="BQ148" s="41"/>
      <c r="BR148" s="41"/>
      <c r="BS148" s="41"/>
      <c r="BT148" s="41"/>
      <c r="BU148" s="41"/>
      <c r="BV148" s="41"/>
      <c r="BW148" s="41"/>
      <c r="BX148" s="41"/>
      <c r="BY148" s="41"/>
      <c r="BZ148" s="41"/>
      <c r="CA148" s="41"/>
      <c r="CB148" s="41"/>
      <c r="CC148" s="41"/>
    </row>
    <row r="149" spans="1:8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41"/>
      <c r="BK149" s="41"/>
      <c r="BL149" s="41"/>
      <c r="BM149" s="41"/>
      <c r="BN149" s="41"/>
      <c r="BO149" s="41"/>
      <c r="BP149" s="41"/>
      <c r="BQ149" s="41"/>
      <c r="BR149" s="41"/>
      <c r="BS149" s="41"/>
      <c r="BT149" s="41"/>
      <c r="BU149" s="41"/>
      <c r="BV149" s="41"/>
      <c r="BW149" s="41"/>
      <c r="BX149" s="41"/>
      <c r="BY149" s="41"/>
      <c r="BZ149" s="41"/>
      <c r="CA149" s="41"/>
      <c r="CB149" s="41"/>
      <c r="CC149" s="41"/>
    </row>
    <row r="150" spans="1:8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1"/>
      <c r="BK150" s="41"/>
      <c r="BL150" s="41"/>
      <c r="BM150" s="41"/>
      <c r="BN150" s="41"/>
      <c r="BO150" s="41"/>
      <c r="BP150" s="41"/>
      <c r="BQ150" s="41"/>
      <c r="BR150" s="41"/>
      <c r="BS150" s="41"/>
      <c r="BT150" s="41"/>
      <c r="BU150" s="41"/>
      <c r="BV150" s="41"/>
      <c r="BW150" s="41"/>
      <c r="BX150" s="41"/>
      <c r="BY150" s="41"/>
      <c r="BZ150" s="41"/>
      <c r="CA150" s="41"/>
      <c r="CB150" s="41"/>
      <c r="CC150" s="41"/>
    </row>
    <row r="151" spans="1:8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41"/>
      <c r="BK151" s="41"/>
      <c r="BL151" s="41"/>
      <c r="BM151" s="41"/>
      <c r="BN151" s="41"/>
      <c r="BO151" s="41"/>
      <c r="BP151" s="41"/>
      <c r="BQ151" s="41"/>
      <c r="BR151" s="41"/>
      <c r="BS151" s="41"/>
      <c r="BT151" s="41"/>
      <c r="BU151" s="41"/>
      <c r="BV151" s="41"/>
      <c r="BW151" s="41"/>
      <c r="BX151" s="41"/>
      <c r="BY151" s="41"/>
      <c r="BZ151" s="41"/>
      <c r="CA151" s="41"/>
      <c r="CB151" s="41"/>
      <c r="CC151" s="41"/>
    </row>
    <row r="152" spans="1:8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/>
      <c r="BK152" s="41"/>
      <c r="BL152" s="41"/>
      <c r="BM152" s="41"/>
      <c r="BN152" s="41"/>
      <c r="BO152" s="41"/>
      <c r="BP152" s="41"/>
      <c r="BQ152" s="41"/>
      <c r="BR152" s="41"/>
      <c r="BS152" s="41"/>
      <c r="BT152" s="41"/>
      <c r="BU152" s="41"/>
      <c r="BV152" s="41"/>
      <c r="BW152" s="41"/>
      <c r="BX152" s="41"/>
      <c r="BY152" s="41"/>
      <c r="BZ152" s="41"/>
      <c r="CA152" s="41"/>
      <c r="CB152" s="41"/>
      <c r="CC152" s="41"/>
    </row>
    <row r="153" spans="1:8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1"/>
      <c r="BK153" s="41"/>
      <c r="BL153" s="41"/>
      <c r="BM153" s="41"/>
      <c r="BN153" s="41"/>
      <c r="BO153" s="41"/>
      <c r="BP153" s="41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</row>
    <row r="154" spans="1:8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  <c r="BK154" s="41"/>
      <c r="BL154" s="41"/>
      <c r="BM154" s="41"/>
      <c r="BN154" s="41"/>
      <c r="BO154" s="41"/>
      <c r="BP154" s="41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</row>
    <row r="155" spans="1:8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  <c r="BL155" s="41"/>
      <c r="BM155" s="41"/>
      <c r="BN155" s="41"/>
      <c r="BO155" s="41"/>
      <c r="BP155" s="41"/>
      <c r="BQ155" s="41"/>
      <c r="BR155" s="41"/>
      <c r="BS155" s="41"/>
      <c r="BT155" s="41"/>
      <c r="BU155" s="41"/>
      <c r="BV155" s="41"/>
      <c r="BW155" s="41"/>
      <c r="BX155" s="41"/>
      <c r="BY155" s="41"/>
      <c r="BZ155" s="41"/>
      <c r="CA155" s="41"/>
      <c r="CB155" s="41"/>
      <c r="CC155" s="41"/>
    </row>
    <row r="156" spans="1:8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41"/>
      <c r="BM156" s="41"/>
      <c r="BN156" s="41"/>
      <c r="BO156" s="41"/>
      <c r="BP156" s="41"/>
      <c r="BQ156" s="41"/>
      <c r="BR156" s="41"/>
      <c r="BS156" s="41"/>
      <c r="BT156" s="41"/>
      <c r="BU156" s="41"/>
      <c r="BV156" s="41"/>
      <c r="BW156" s="41"/>
      <c r="BX156" s="41"/>
      <c r="BY156" s="41"/>
      <c r="BZ156" s="41"/>
      <c r="CA156" s="41"/>
      <c r="CB156" s="41"/>
      <c r="CC156" s="41"/>
    </row>
    <row r="157" spans="1:8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41"/>
      <c r="BM157" s="41"/>
      <c r="BN157" s="41"/>
      <c r="BO157" s="41"/>
      <c r="BP157" s="41"/>
      <c r="BQ157" s="41"/>
      <c r="BR157" s="41"/>
      <c r="BS157" s="41"/>
      <c r="BT157" s="41"/>
      <c r="BU157" s="41"/>
      <c r="BV157" s="41"/>
      <c r="BW157" s="41"/>
      <c r="BX157" s="41"/>
      <c r="BY157" s="41"/>
      <c r="BZ157" s="41"/>
      <c r="CA157" s="41"/>
      <c r="CB157" s="41"/>
      <c r="CC157" s="41"/>
    </row>
    <row r="158" spans="1:8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41"/>
      <c r="BQ158" s="41"/>
      <c r="BR158" s="41"/>
      <c r="BS158" s="41"/>
      <c r="BT158" s="41"/>
      <c r="BU158" s="41"/>
      <c r="BV158" s="41"/>
      <c r="BW158" s="41"/>
      <c r="BX158" s="41"/>
      <c r="BY158" s="41"/>
      <c r="BZ158" s="41"/>
      <c r="CA158" s="41"/>
      <c r="CB158" s="41"/>
      <c r="CC158" s="41"/>
    </row>
    <row r="159" spans="1:8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41"/>
      <c r="BQ159" s="41"/>
      <c r="BR159" s="41"/>
      <c r="BS159" s="41"/>
      <c r="BT159" s="41"/>
      <c r="BU159" s="41"/>
      <c r="BV159" s="41"/>
      <c r="BW159" s="41"/>
      <c r="BX159" s="41"/>
      <c r="BY159" s="41"/>
      <c r="BZ159" s="41"/>
      <c r="CA159" s="41"/>
      <c r="CB159" s="41"/>
      <c r="CC159" s="41"/>
    </row>
    <row r="160" spans="1:8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1"/>
      <c r="BR160" s="41"/>
      <c r="BS160" s="41"/>
      <c r="BT160" s="41"/>
      <c r="BU160" s="41"/>
      <c r="BV160" s="41"/>
      <c r="BW160" s="41"/>
      <c r="BX160" s="41"/>
      <c r="BY160" s="41"/>
      <c r="BZ160" s="41"/>
      <c r="CA160" s="41"/>
      <c r="CB160" s="41"/>
      <c r="CC160" s="41"/>
    </row>
    <row r="161" spans="1:8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  <c r="BK161" s="41"/>
      <c r="BL161" s="41"/>
      <c r="BM161" s="41"/>
      <c r="BN161" s="41"/>
      <c r="BO161" s="41"/>
      <c r="BP161" s="41"/>
      <c r="BQ161" s="41"/>
      <c r="BR161" s="41"/>
      <c r="BS161" s="41"/>
      <c r="BT161" s="41"/>
      <c r="BU161" s="41"/>
      <c r="BV161" s="41"/>
      <c r="BW161" s="41"/>
      <c r="BX161" s="41"/>
      <c r="BY161" s="41"/>
      <c r="BZ161" s="41"/>
      <c r="CA161" s="41"/>
      <c r="CB161" s="41"/>
      <c r="CC161" s="41"/>
    </row>
    <row r="162" spans="1:8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1"/>
      <c r="BK162" s="41"/>
      <c r="BL162" s="41"/>
      <c r="BM162" s="41"/>
      <c r="BN162" s="41"/>
      <c r="BO162" s="41"/>
      <c r="BP162" s="41"/>
      <c r="BQ162" s="41"/>
      <c r="BR162" s="41"/>
      <c r="BS162" s="41"/>
      <c r="BT162" s="41"/>
      <c r="BU162" s="41"/>
      <c r="BV162" s="41"/>
      <c r="BW162" s="41"/>
      <c r="BX162" s="41"/>
      <c r="BY162" s="41"/>
      <c r="BZ162" s="41"/>
      <c r="CA162" s="41"/>
      <c r="CB162" s="41"/>
      <c r="CC162" s="41"/>
    </row>
    <row r="163" spans="1:8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/>
      <c r="BK163" s="41"/>
      <c r="BL163" s="41"/>
      <c r="BM163" s="41"/>
      <c r="BN163" s="41"/>
      <c r="BO163" s="41"/>
      <c r="BP163" s="41"/>
      <c r="BQ163" s="41"/>
      <c r="BR163" s="41"/>
      <c r="BS163" s="41"/>
      <c r="BT163" s="41"/>
      <c r="BU163" s="41"/>
      <c r="BV163" s="41"/>
      <c r="BW163" s="41"/>
      <c r="BX163" s="41"/>
      <c r="BY163" s="41"/>
      <c r="BZ163" s="41"/>
      <c r="CA163" s="41"/>
      <c r="CB163" s="41"/>
      <c r="CC163" s="41"/>
    </row>
    <row r="164" spans="1:8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/>
      <c r="BK164" s="41"/>
      <c r="BL164" s="41"/>
      <c r="BM164" s="41"/>
      <c r="BN164" s="41"/>
      <c r="BO164" s="41"/>
      <c r="BP164" s="41"/>
      <c r="BQ164" s="41"/>
      <c r="BR164" s="41"/>
      <c r="BS164" s="41"/>
      <c r="BT164" s="41"/>
      <c r="BU164" s="41"/>
      <c r="BV164" s="41"/>
      <c r="BW164" s="41"/>
      <c r="BX164" s="41"/>
      <c r="BY164" s="41"/>
      <c r="BZ164" s="41"/>
      <c r="CA164" s="41"/>
      <c r="CB164" s="41"/>
      <c r="CC164" s="41"/>
    </row>
    <row r="165" spans="1:8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  <c r="BK165" s="41"/>
      <c r="BL165" s="41"/>
      <c r="BM165" s="41"/>
      <c r="BN165" s="41"/>
      <c r="BO165" s="41"/>
      <c r="BP165" s="41"/>
      <c r="BQ165" s="41"/>
      <c r="BR165" s="41"/>
      <c r="BS165" s="41"/>
      <c r="BT165" s="41"/>
      <c r="BU165" s="41"/>
      <c r="BV165" s="41"/>
      <c r="BW165" s="41"/>
      <c r="BX165" s="41"/>
      <c r="BY165" s="41"/>
      <c r="BZ165" s="41"/>
      <c r="CA165" s="41"/>
      <c r="CB165" s="41"/>
      <c r="CC165" s="41"/>
    </row>
    <row r="166" spans="1:8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/>
      <c r="BK166" s="41"/>
      <c r="BL166" s="41"/>
      <c r="BM166" s="41"/>
      <c r="BN166" s="41"/>
      <c r="BO166" s="41"/>
      <c r="BP166" s="41"/>
      <c r="BQ166" s="41"/>
      <c r="BR166" s="41"/>
      <c r="BS166" s="41"/>
      <c r="BT166" s="41"/>
      <c r="BU166" s="41"/>
      <c r="BV166" s="41"/>
      <c r="BW166" s="41"/>
      <c r="BX166" s="41"/>
      <c r="BY166" s="41"/>
      <c r="BZ166" s="41"/>
      <c r="CA166" s="41"/>
      <c r="CB166" s="41"/>
      <c r="CC166" s="41"/>
    </row>
    <row r="167" spans="1:8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  <c r="BK167" s="41"/>
      <c r="BL167" s="41"/>
      <c r="BM167" s="41"/>
      <c r="BN167" s="41"/>
      <c r="BO167" s="41"/>
      <c r="BP167" s="41"/>
      <c r="BQ167" s="41"/>
      <c r="BR167" s="41"/>
      <c r="BS167" s="41"/>
      <c r="BT167" s="41"/>
      <c r="BU167" s="41"/>
      <c r="BV167" s="41"/>
      <c r="BW167" s="41"/>
      <c r="BX167" s="41"/>
      <c r="BY167" s="41"/>
      <c r="BZ167" s="41"/>
      <c r="CA167" s="41"/>
      <c r="CB167" s="41"/>
      <c r="CC167" s="41"/>
    </row>
    <row r="168" spans="1:8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/>
      <c r="BK168" s="41"/>
      <c r="BL168" s="41"/>
      <c r="BM168" s="41"/>
      <c r="BN168" s="41"/>
      <c r="BO168" s="41"/>
      <c r="BP168" s="41"/>
      <c r="BQ168" s="41"/>
      <c r="BR168" s="41"/>
      <c r="BS168" s="41"/>
      <c r="BT168" s="41"/>
      <c r="BU168" s="41"/>
      <c r="BV168" s="41"/>
      <c r="BW168" s="41"/>
      <c r="BX168" s="41"/>
      <c r="BY168" s="41"/>
      <c r="BZ168" s="41"/>
      <c r="CA168" s="41"/>
      <c r="CB168" s="41"/>
      <c r="CC168" s="41"/>
    </row>
    <row r="169" spans="1:8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/>
      <c r="BK169" s="41"/>
      <c r="BL169" s="41"/>
      <c r="BM169" s="41"/>
      <c r="BN169" s="41"/>
      <c r="BO169" s="41"/>
      <c r="BP169" s="41"/>
      <c r="BQ169" s="41"/>
      <c r="BR169" s="41"/>
      <c r="BS169" s="41"/>
      <c r="BT169" s="41"/>
      <c r="BU169" s="41"/>
      <c r="BV169" s="41"/>
      <c r="BW169" s="41"/>
      <c r="BX169" s="41"/>
      <c r="BY169" s="41"/>
      <c r="BZ169" s="41"/>
      <c r="CA169" s="41"/>
      <c r="CB169" s="41"/>
      <c r="CC169" s="41"/>
    </row>
    <row r="170" spans="1:8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  <c r="BK170" s="41"/>
      <c r="BL170" s="41"/>
      <c r="BM170" s="41"/>
      <c r="BN170" s="41"/>
      <c r="BO170" s="41"/>
      <c r="BP170" s="41"/>
      <c r="BQ170" s="41"/>
      <c r="BR170" s="41"/>
      <c r="BS170" s="41"/>
      <c r="BT170" s="41"/>
      <c r="BU170" s="41"/>
      <c r="BV170" s="41"/>
      <c r="BW170" s="41"/>
      <c r="BX170" s="41"/>
      <c r="BY170" s="41"/>
      <c r="BZ170" s="41"/>
      <c r="CA170" s="41"/>
      <c r="CB170" s="41"/>
      <c r="CC170" s="41"/>
    </row>
    <row r="171" spans="1:8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  <c r="CC171" s="41"/>
    </row>
    <row r="172" spans="1:8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/>
      <c r="BK172" s="41"/>
      <c r="BL172" s="41"/>
      <c r="BM172" s="41"/>
      <c r="BN172" s="41"/>
      <c r="BO172" s="41"/>
      <c r="BP172" s="41"/>
      <c r="BQ172" s="41"/>
      <c r="BR172" s="41"/>
      <c r="BS172" s="41"/>
      <c r="BT172" s="41"/>
      <c r="BU172" s="41"/>
      <c r="BV172" s="41"/>
      <c r="BW172" s="41"/>
      <c r="BX172" s="41"/>
      <c r="BY172" s="41"/>
      <c r="BZ172" s="41"/>
      <c r="CA172" s="41"/>
      <c r="CB172" s="41"/>
      <c r="CC172" s="41"/>
    </row>
    <row r="173" spans="1:8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/>
      <c r="BK173" s="41"/>
      <c r="BL173" s="41"/>
      <c r="BM173" s="41"/>
      <c r="BN173" s="41"/>
      <c r="BO173" s="41"/>
      <c r="BP173" s="41"/>
      <c r="BQ173" s="41"/>
      <c r="BR173" s="41"/>
      <c r="BS173" s="41"/>
      <c r="BT173" s="41"/>
      <c r="BU173" s="41"/>
      <c r="BV173" s="41"/>
      <c r="BW173" s="41"/>
      <c r="BX173" s="41"/>
      <c r="BY173" s="41"/>
      <c r="BZ173" s="41"/>
      <c r="CA173" s="41"/>
      <c r="CB173" s="41"/>
      <c r="CC173" s="41"/>
    </row>
    <row r="174" spans="1:8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/>
      <c r="BK174" s="41"/>
      <c r="BL174" s="41"/>
      <c r="BM174" s="41"/>
      <c r="BN174" s="41"/>
      <c r="BO174" s="41"/>
      <c r="BP174" s="41"/>
      <c r="BQ174" s="41"/>
      <c r="BR174" s="41"/>
      <c r="BS174" s="41"/>
      <c r="BT174" s="41"/>
      <c r="BU174" s="41"/>
      <c r="BV174" s="41"/>
      <c r="BW174" s="41"/>
      <c r="BX174" s="41"/>
      <c r="BY174" s="41"/>
      <c r="BZ174" s="41"/>
      <c r="CA174" s="41"/>
      <c r="CB174" s="41"/>
      <c r="CC174" s="41"/>
    </row>
    <row r="175" spans="1:8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  <c r="BK175" s="41"/>
      <c r="BL175" s="41"/>
      <c r="BM175" s="41"/>
      <c r="BN175" s="41"/>
      <c r="BO175" s="41"/>
      <c r="BP175" s="41"/>
      <c r="BQ175" s="41"/>
      <c r="BR175" s="41"/>
      <c r="BS175" s="41"/>
      <c r="BT175" s="41"/>
      <c r="BU175" s="41"/>
      <c r="BV175" s="41"/>
      <c r="BW175" s="41"/>
      <c r="BX175" s="41"/>
      <c r="BY175" s="41"/>
      <c r="BZ175" s="41"/>
      <c r="CA175" s="41"/>
      <c r="CB175" s="41"/>
      <c r="CC175" s="41"/>
    </row>
    <row r="176" spans="1:8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  <c r="BK176" s="41"/>
      <c r="BL176" s="41"/>
      <c r="BM176" s="41"/>
      <c r="BN176" s="41"/>
      <c r="BO176" s="41"/>
      <c r="BP176" s="41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</row>
    <row r="177" spans="1:8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/>
      <c r="BK177" s="41"/>
      <c r="BL177" s="41"/>
      <c r="BM177" s="41"/>
      <c r="BN177" s="41"/>
      <c r="BO177" s="41"/>
      <c r="BP177" s="41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</row>
    <row r="178" spans="1:8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/>
      <c r="BK178" s="41"/>
      <c r="BL178" s="41"/>
      <c r="BM178" s="41"/>
      <c r="BN178" s="41"/>
      <c r="BO178" s="41"/>
      <c r="BP178" s="41"/>
      <c r="BQ178" s="41"/>
      <c r="BR178" s="41"/>
      <c r="BS178" s="41"/>
      <c r="BT178" s="41"/>
      <c r="BU178" s="41"/>
      <c r="BV178" s="41"/>
      <c r="BW178" s="41"/>
      <c r="BX178" s="41"/>
      <c r="BY178" s="41"/>
      <c r="BZ178" s="41"/>
      <c r="CA178" s="41"/>
      <c r="CB178" s="41"/>
      <c r="CC178" s="41"/>
    </row>
    <row r="179" spans="1:8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/>
      <c r="BK179" s="41"/>
      <c r="BL179" s="41"/>
      <c r="BM179" s="41"/>
      <c r="BN179" s="41"/>
      <c r="BO179" s="41"/>
      <c r="BP179" s="41"/>
      <c r="BQ179" s="41"/>
      <c r="BR179" s="41"/>
      <c r="BS179" s="41"/>
      <c r="BT179" s="41"/>
      <c r="BU179" s="41"/>
      <c r="BV179" s="41"/>
      <c r="BW179" s="41"/>
      <c r="BX179" s="41"/>
      <c r="BY179" s="41"/>
      <c r="BZ179" s="41"/>
      <c r="CA179" s="41"/>
      <c r="CB179" s="41"/>
      <c r="CC179" s="41"/>
    </row>
    <row r="180" spans="1:8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/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1"/>
      <c r="CA180" s="41"/>
      <c r="CB180" s="41"/>
      <c r="CC180" s="41"/>
    </row>
    <row r="181" spans="1: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  <c r="BK181" s="41"/>
      <c r="BL181" s="41"/>
      <c r="BM181" s="41"/>
      <c r="BN181" s="41"/>
      <c r="BO181" s="41"/>
      <c r="BP181" s="41"/>
      <c r="BQ181" s="41"/>
      <c r="BR181" s="41"/>
      <c r="BS181" s="41"/>
      <c r="BT181" s="41"/>
      <c r="BU181" s="41"/>
      <c r="BV181" s="41"/>
      <c r="BW181" s="41"/>
      <c r="BX181" s="41"/>
      <c r="BY181" s="41"/>
      <c r="BZ181" s="41"/>
      <c r="CA181" s="41"/>
      <c r="CB181" s="41"/>
      <c r="CC181" s="41"/>
    </row>
    <row r="182" spans="1:8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/>
      <c r="BK182" s="41"/>
      <c r="BL182" s="41"/>
      <c r="BM182" s="41"/>
      <c r="BN182" s="41"/>
      <c r="BO182" s="41"/>
      <c r="BP182" s="41"/>
      <c r="BQ182" s="41"/>
      <c r="BR182" s="41"/>
      <c r="BS182" s="41"/>
      <c r="BT182" s="41"/>
      <c r="BU182" s="41"/>
      <c r="BV182" s="41"/>
      <c r="BW182" s="41"/>
      <c r="BX182" s="41"/>
      <c r="BY182" s="41"/>
      <c r="BZ182" s="41"/>
      <c r="CA182" s="41"/>
      <c r="CB182" s="41"/>
      <c r="CC182" s="41"/>
    </row>
    <row r="183" spans="1:8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/>
      <c r="BK183" s="41"/>
      <c r="BL183" s="41"/>
      <c r="BM183" s="41"/>
      <c r="BN183" s="41"/>
      <c r="BO183" s="41"/>
      <c r="BP183" s="41"/>
      <c r="BQ183" s="41"/>
      <c r="BR183" s="41"/>
      <c r="BS183" s="41"/>
      <c r="BT183" s="41"/>
      <c r="BU183" s="41"/>
      <c r="BV183" s="41"/>
      <c r="BW183" s="41"/>
      <c r="BX183" s="41"/>
      <c r="BY183" s="41"/>
      <c r="BZ183" s="41"/>
      <c r="CA183" s="41"/>
      <c r="CB183" s="41"/>
      <c r="CC183" s="41"/>
    </row>
    <row r="184" spans="1:8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1"/>
      <c r="BK184" s="41"/>
      <c r="BL184" s="41"/>
      <c r="BM184" s="41"/>
      <c r="BN184" s="41"/>
      <c r="BO184" s="41"/>
      <c r="BP184" s="41"/>
      <c r="BQ184" s="41"/>
      <c r="BR184" s="41"/>
      <c r="BS184" s="41"/>
      <c r="BT184" s="41"/>
      <c r="BU184" s="41"/>
      <c r="BV184" s="41"/>
      <c r="BW184" s="41"/>
      <c r="BX184" s="41"/>
      <c r="BY184" s="41"/>
      <c r="BZ184" s="41"/>
      <c r="CA184" s="41"/>
      <c r="CB184" s="41"/>
      <c r="CC184" s="41"/>
    </row>
    <row r="185" spans="1:8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/>
      <c r="BK185" s="41"/>
      <c r="BL185" s="41"/>
      <c r="BM185" s="41"/>
      <c r="BN185" s="41"/>
      <c r="BO185" s="41"/>
      <c r="BP185" s="41"/>
      <c r="BQ185" s="41"/>
      <c r="BR185" s="41"/>
      <c r="BS185" s="41"/>
      <c r="BT185" s="41"/>
      <c r="BU185" s="41"/>
      <c r="BV185" s="41"/>
      <c r="BW185" s="41"/>
      <c r="BX185" s="41"/>
      <c r="BY185" s="41"/>
      <c r="BZ185" s="41"/>
      <c r="CA185" s="41"/>
      <c r="CB185" s="41"/>
      <c r="CC185" s="41"/>
    </row>
    <row r="186" spans="1:8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/>
      <c r="BK186" s="41"/>
      <c r="BL186" s="41"/>
      <c r="BM186" s="41"/>
      <c r="BN186" s="41"/>
      <c r="BO186" s="41"/>
      <c r="BP186" s="41"/>
      <c r="BQ186" s="41"/>
      <c r="BR186" s="41"/>
      <c r="BS186" s="41"/>
      <c r="BT186" s="41"/>
      <c r="BU186" s="41"/>
      <c r="BV186" s="41"/>
      <c r="BW186" s="41"/>
      <c r="BX186" s="41"/>
      <c r="BY186" s="41"/>
      <c r="BZ186" s="41"/>
      <c r="CA186" s="41"/>
      <c r="CB186" s="41"/>
      <c r="CC186" s="41"/>
    </row>
    <row r="187" spans="1:8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  <c r="BK187" s="41"/>
      <c r="BL187" s="41"/>
      <c r="BM187" s="41"/>
      <c r="BN187" s="41"/>
      <c r="BO187" s="41"/>
      <c r="BP187" s="41"/>
      <c r="BQ187" s="41"/>
      <c r="BR187" s="41"/>
      <c r="BS187" s="41"/>
      <c r="BT187" s="41"/>
      <c r="BU187" s="41"/>
      <c r="BV187" s="41"/>
      <c r="BW187" s="41"/>
      <c r="BX187" s="41"/>
      <c r="BY187" s="41"/>
      <c r="BZ187" s="41"/>
      <c r="CA187" s="41"/>
      <c r="CB187" s="41"/>
      <c r="CC187" s="41"/>
    </row>
    <row r="188" spans="1:8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  <c r="BL188" s="41"/>
      <c r="BM188" s="41"/>
      <c r="BN188" s="41"/>
      <c r="BO188" s="41"/>
      <c r="BP188" s="41"/>
      <c r="BQ188" s="41"/>
      <c r="BR188" s="41"/>
      <c r="BS188" s="41"/>
      <c r="BT188" s="41"/>
      <c r="BU188" s="41"/>
      <c r="BV188" s="41"/>
      <c r="BW188" s="41"/>
      <c r="BX188" s="41"/>
      <c r="BY188" s="41"/>
      <c r="BZ188" s="41"/>
      <c r="CA188" s="41"/>
      <c r="CB188" s="41"/>
      <c r="CC188" s="41"/>
    </row>
    <row r="189" spans="1:8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1"/>
      <c r="BM189" s="41"/>
      <c r="BN189" s="41"/>
      <c r="BO189" s="41"/>
      <c r="BP189" s="41"/>
      <c r="BQ189" s="41"/>
      <c r="BR189" s="41"/>
      <c r="BS189" s="41"/>
      <c r="BT189" s="41"/>
      <c r="BU189" s="41"/>
      <c r="BV189" s="41"/>
      <c r="BW189" s="41"/>
      <c r="BX189" s="41"/>
      <c r="BY189" s="41"/>
      <c r="BZ189" s="41"/>
      <c r="CA189" s="41"/>
      <c r="CB189" s="41"/>
      <c r="CC189" s="41"/>
    </row>
    <row r="190" spans="1:8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  <c r="BL190" s="41"/>
      <c r="BM190" s="41"/>
      <c r="BN190" s="41"/>
      <c r="BO190" s="41"/>
      <c r="BP190" s="41"/>
      <c r="BQ190" s="41"/>
      <c r="BR190" s="41"/>
      <c r="BS190" s="41"/>
      <c r="BT190" s="41"/>
      <c r="BU190" s="41"/>
      <c r="BV190" s="41"/>
      <c r="BW190" s="41"/>
      <c r="BX190" s="41"/>
      <c r="BY190" s="41"/>
      <c r="BZ190" s="41"/>
      <c r="CA190" s="41"/>
      <c r="CB190" s="41"/>
      <c r="CC190" s="41"/>
    </row>
    <row r="191" spans="1:8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  <c r="BL191" s="41"/>
      <c r="BM191" s="41"/>
      <c r="BN191" s="41"/>
      <c r="BO191" s="41"/>
      <c r="BP191" s="41"/>
      <c r="BQ191" s="41"/>
      <c r="BR191" s="41"/>
      <c r="BS191" s="41"/>
      <c r="BT191" s="41"/>
      <c r="BU191" s="41"/>
      <c r="BV191" s="41"/>
      <c r="BW191" s="41"/>
      <c r="BX191" s="41"/>
      <c r="BY191" s="41"/>
      <c r="BZ191" s="41"/>
      <c r="CA191" s="41"/>
      <c r="CB191" s="41"/>
      <c r="CC191" s="41"/>
    </row>
    <row r="192" spans="1:8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  <c r="BL192" s="41"/>
      <c r="BM192" s="41"/>
      <c r="BN192" s="41"/>
      <c r="BO192" s="41"/>
      <c r="BP192" s="41"/>
      <c r="BQ192" s="41"/>
      <c r="BR192" s="41"/>
      <c r="BS192" s="41"/>
      <c r="BT192" s="41"/>
      <c r="BU192" s="41"/>
      <c r="BV192" s="41"/>
      <c r="BW192" s="41"/>
      <c r="BX192" s="41"/>
      <c r="BY192" s="41"/>
      <c r="BZ192" s="41"/>
      <c r="CA192" s="41"/>
      <c r="CB192" s="41"/>
      <c r="CC192" s="41"/>
    </row>
    <row r="193" spans="1:8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  <c r="BL193" s="41"/>
      <c r="BM193" s="41"/>
      <c r="BN193" s="41"/>
      <c r="BO193" s="41"/>
      <c r="BP193" s="41"/>
      <c r="BQ193" s="41"/>
      <c r="BR193" s="41"/>
      <c r="BS193" s="41"/>
      <c r="BT193" s="41"/>
      <c r="BU193" s="41"/>
      <c r="BV193" s="41"/>
      <c r="BW193" s="41"/>
      <c r="BX193" s="41"/>
      <c r="BY193" s="41"/>
      <c r="BZ193" s="41"/>
      <c r="CA193" s="41"/>
      <c r="CB193" s="41"/>
      <c r="CC193" s="41"/>
    </row>
    <row r="194" spans="1:8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  <c r="BV194" s="41"/>
      <c r="BW194" s="41"/>
      <c r="BX194" s="41"/>
      <c r="BY194" s="41"/>
      <c r="BZ194" s="41"/>
      <c r="CA194" s="41"/>
      <c r="CB194" s="41"/>
      <c r="CC194" s="41"/>
    </row>
    <row r="195" spans="1:8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  <c r="BK195" s="41"/>
      <c r="BL195" s="41"/>
      <c r="BM195" s="41"/>
      <c r="BN195" s="41"/>
      <c r="BO195" s="41"/>
      <c r="BP195" s="41"/>
      <c r="BQ195" s="41"/>
      <c r="BR195" s="41"/>
      <c r="BS195" s="41"/>
      <c r="BT195" s="41"/>
      <c r="BU195" s="41"/>
      <c r="BV195" s="41"/>
      <c r="BW195" s="41"/>
      <c r="BX195" s="41"/>
      <c r="BY195" s="41"/>
      <c r="BZ195" s="41"/>
      <c r="CA195" s="41"/>
      <c r="CB195" s="41"/>
      <c r="CC195" s="41"/>
    </row>
    <row r="196" spans="1:8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  <c r="BL196" s="41"/>
      <c r="BM196" s="41"/>
      <c r="BN196" s="41"/>
      <c r="BO196" s="41"/>
      <c r="BP196" s="41"/>
      <c r="BQ196" s="41"/>
      <c r="BR196" s="41"/>
      <c r="BS196" s="41"/>
      <c r="BT196" s="41"/>
      <c r="BU196" s="41"/>
      <c r="BV196" s="41"/>
      <c r="BW196" s="41"/>
      <c r="BX196" s="41"/>
      <c r="BY196" s="41"/>
      <c r="BZ196" s="41"/>
      <c r="CA196" s="41"/>
      <c r="CB196" s="41"/>
      <c r="CC196" s="41"/>
    </row>
    <row r="197" spans="1:8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  <c r="BK197" s="41"/>
      <c r="BL197" s="41"/>
      <c r="BM197" s="41"/>
      <c r="BN197" s="41"/>
      <c r="BO197" s="41"/>
      <c r="BP197" s="41"/>
      <c r="BQ197" s="41"/>
      <c r="BR197" s="41"/>
      <c r="BS197" s="41"/>
      <c r="BT197" s="41"/>
      <c r="BU197" s="41"/>
      <c r="BV197" s="41"/>
      <c r="BW197" s="41"/>
      <c r="BX197" s="41"/>
      <c r="BY197" s="41"/>
      <c r="BZ197" s="41"/>
      <c r="CA197" s="41"/>
      <c r="CB197" s="41"/>
      <c r="CC197" s="41"/>
    </row>
    <row r="198" spans="1:8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  <c r="BK198" s="41"/>
      <c r="BL198" s="41"/>
      <c r="BM198" s="41"/>
      <c r="BN198" s="41"/>
      <c r="BO198" s="41"/>
      <c r="BP198" s="41"/>
      <c r="BQ198" s="41"/>
      <c r="BR198" s="41"/>
      <c r="BS198" s="41"/>
      <c r="BT198" s="41"/>
      <c r="BU198" s="41"/>
      <c r="BV198" s="41"/>
      <c r="BW198" s="41"/>
      <c r="BX198" s="41"/>
      <c r="BY198" s="41"/>
      <c r="BZ198" s="41"/>
      <c r="CA198" s="41"/>
      <c r="CB198" s="41"/>
      <c r="CC198" s="41"/>
    </row>
    <row r="199" spans="1:8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  <c r="BL199" s="41"/>
      <c r="BM199" s="41"/>
      <c r="BN199" s="41"/>
      <c r="BO199" s="41"/>
      <c r="BP199" s="41"/>
      <c r="BQ199" s="41"/>
      <c r="BR199" s="41"/>
      <c r="BS199" s="41"/>
      <c r="BT199" s="41"/>
      <c r="BU199" s="41"/>
      <c r="BV199" s="41"/>
      <c r="BW199" s="41"/>
      <c r="BX199" s="41"/>
      <c r="BY199" s="41"/>
      <c r="BZ199" s="41"/>
      <c r="CA199" s="41"/>
      <c r="CB199" s="41"/>
      <c r="CC199" s="41"/>
    </row>
    <row r="200" spans="1:8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/>
      <c r="BK200" s="41"/>
      <c r="BL200" s="41"/>
      <c r="BM200" s="41"/>
      <c r="BN200" s="41"/>
      <c r="BO200" s="41"/>
      <c r="BP200" s="41"/>
      <c r="BQ200" s="41"/>
      <c r="BR200" s="41"/>
      <c r="BS200" s="41"/>
      <c r="BT200" s="41"/>
      <c r="BU200" s="41"/>
      <c r="BV200" s="41"/>
      <c r="BW200" s="41"/>
      <c r="BX200" s="41"/>
      <c r="BY200" s="41"/>
      <c r="BZ200" s="41"/>
      <c r="CA200" s="41"/>
      <c r="CB200" s="41"/>
      <c r="CC200" s="41"/>
    </row>
    <row r="201" spans="1:8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  <c r="BK201" s="41"/>
      <c r="BL201" s="41"/>
      <c r="BM201" s="41"/>
      <c r="BN201" s="41"/>
      <c r="BO201" s="41"/>
      <c r="BP201" s="41"/>
      <c r="BQ201" s="41"/>
      <c r="BR201" s="41"/>
      <c r="BS201" s="41"/>
      <c r="BT201" s="41"/>
      <c r="BU201" s="41"/>
      <c r="BV201" s="41"/>
      <c r="BW201" s="41"/>
      <c r="BX201" s="41"/>
      <c r="BY201" s="41"/>
      <c r="BZ201" s="41"/>
      <c r="CA201" s="41"/>
      <c r="CB201" s="41"/>
      <c r="CC201" s="41"/>
    </row>
    <row r="202" spans="1:8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  <c r="BK202" s="41"/>
      <c r="BL202" s="41"/>
      <c r="BM202" s="41"/>
      <c r="BN202" s="41"/>
      <c r="BO202" s="41"/>
      <c r="BP202" s="41"/>
      <c r="BQ202" s="41"/>
      <c r="BR202" s="41"/>
      <c r="BS202" s="41"/>
      <c r="BT202" s="41"/>
      <c r="BU202" s="41"/>
      <c r="BV202" s="41"/>
      <c r="BW202" s="41"/>
      <c r="BX202" s="41"/>
      <c r="BY202" s="41"/>
      <c r="BZ202" s="41"/>
      <c r="CA202" s="41"/>
      <c r="CB202" s="41"/>
      <c r="CC202" s="41"/>
    </row>
    <row r="203" spans="1:8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  <c r="BK203" s="41"/>
      <c r="BL203" s="41"/>
      <c r="BM203" s="41"/>
      <c r="BN203" s="41"/>
      <c r="BO203" s="41"/>
      <c r="BP203" s="41"/>
      <c r="BQ203" s="41"/>
      <c r="BR203" s="41"/>
      <c r="BS203" s="41"/>
      <c r="BT203" s="41"/>
      <c r="BU203" s="41"/>
      <c r="BV203" s="41"/>
      <c r="BW203" s="41"/>
      <c r="BX203" s="41"/>
      <c r="BY203" s="41"/>
      <c r="BZ203" s="41"/>
      <c r="CA203" s="41"/>
      <c r="CB203" s="41"/>
      <c r="CC203" s="41"/>
    </row>
    <row r="204" spans="1:8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1"/>
      <c r="BK204" s="41"/>
      <c r="BL204" s="41"/>
      <c r="BM204" s="41"/>
      <c r="BN204" s="41"/>
      <c r="BO204" s="41"/>
      <c r="BP204" s="41"/>
      <c r="BQ204" s="41"/>
      <c r="BR204" s="41"/>
      <c r="BS204" s="41"/>
      <c r="BT204" s="41"/>
      <c r="BU204" s="41"/>
      <c r="BV204" s="41"/>
      <c r="BW204" s="41"/>
      <c r="BX204" s="41"/>
      <c r="BY204" s="41"/>
      <c r="BZ204" s="41"/>
      <c r="CA204" s="41"/>
      <c r="CB204" s="41"/>
      <c r="CC204" s="41"/>
    </row>
    <row r="205" spans="1:8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  <c r="BK205" s="41"/>
      <c r="BL205" s="41"/>
      <c r="BM205" s="41"/>
      <c r="BN205" s="41"/>
      <c r="BO205" s="41"/>
      <c r="BP205" s="41"/>
      <c r="BQ205" s="41"/>
      <c r="BR205" s="41"/>
      <c r="BS205" s="41"/>
      <c r="BT205" s="41"/>
      <c r="BU205" s="41"/>
      <c r="BV205" s="41"/>
      <c r="BW205" s="41"/>
      <c r="BX205" s="41"/>
      <c r="BY205" s="41"/>
      <c r="BZ205" s="41"/>
      <c r="CA205" s="41"/>
      <c r="CB205" s="41"/>
      <c r="CC205" s="41"/>
    </row>
    <row r="206" spans="1:8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41"/>
      <c r="BK206" s="41"/>
      <c r="BL206" s="41"/>
      <c r="BM206" s="41"/>
      <c r="BN206" s="41"/>
      <c r="BO206" s="41"/>
      <c r="BP206" s="41"/>
      <c r="BQ206" s="41"/>
      <c r="BR206" s="41"/>
      <c r="BS206" s="41"/>
      <c r="BT206" s="41"/>
      <c r="BU206" s="41"/>
      <c r="BV206" s="41"/>
      <c r="BW206" s="41"/>
      <c r="BX206" s="41"/>
      <c r="BY206" s="41"/>
      <c r="BZ206" s="41"/>
      <c r="CA206" s="41"/>
      <c r="CB206" s="41"/>
      <c r="CC206" s="41"/>
    </row>
    <row r="207" spans="1:8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  <c r="BK207" s="41"/>
      <c r="BL207" s="41"/>
      <c r="BM207" s="41"/>
      <c r="BN207" s="41"/>
      <c r="BO207" s="41"/>
      <c r="BP207" s="41"/>
      <c r="BQ207" s="41"/>
      <c r="BR207" s="41"/>
      <c r="BS207" s="41"/>
      <c r="BT207" s="41"/>
      <c r="BU207" s="41"/>
      <c r="BV207" s="41"/>
      <c r="BW207" s="41"/>
      <c r="BX207" s="41"/>
      <c r="BY207" s="41"/>
      <c r="BZ207" s="41"/>
      <c r="CA207" s="41"/>
      <c r="CB207" s="41"/>
      <c r="CC207" s="41"/>
    </row>
    <row r="208" spans="1:8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  <c r="BK208" s="41"/>
      <c r="BL208" s="41"/>
      <c r="BM208" s="41"/>
      <c r="BN208" s="41"/>
      <c r="BO208" s="41"/>
      <c r="BP208" s="41"/>
      <c r="BQ208" s="41"/>
      <c r="BR208" s="41"/>
      <c r="BS208" s="41"/>
      <c r="BT208" s="41"/>
      <c r="BU208" s="41"/>
      <c r="BV208" s="41"/>
      <c r="BW208" s="41"/>
      <c r="BX208" s="41"/>
      <c r="BY208" s="41"/>
      <c r="BZ208" s="41"/>
      <c r="CA208" s="41"/>
      <c r="CB208" s="41"/>
      <c r="CC208" s="41"/>
    </row>
    <row r="209" spans="1:8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  <c r="BK209" s="41"/>
      <c r="BL209" s="41"/>
      <c r="BM209" s="41"/>
      <c r="BN209" s="41"/>
      <c r="BO209" s="41"/>
      <c r="BP209" s="41"/>
      <c r="BQ209" s="41"/>
      <c r="BR209" s="41"/>
      <c r="BS209" s="41"/>
      <c r="BT209" s="41"/>
      <c r="BU209" s="41"/>
      <c r="BV209" s="41"/>
      <c r="BW209" s="41"/>
      <c r="BX209" s="41"/>
      <c r="BY209" s="41"/>
      <c r="BZ209" s="41"/>
      <c r="CA209" s="41"/>
      <c r="CB209" s="41"/>
      <c r="CC209" s="41"/>
    </row>
    <row r="210" spans="1:8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  <c r="BK210" s="41"/>
      <c r="BL210" s="41"/>
      <c r="BM210" s="41"/>
      <c r="BN210" s="41"/>
      <c r="BO210" s="41"/>
      <c r="BP210" s="41"/>
      <c r="BQ210" s="41"/>
      <c r="BR210" s="41"/>
      <c r="BS210" s="41"/>
      <c r="BT210" s="41"/>
      <c r="BU210" s="41"/>
      <c r="BV210" s="41"/>
      <c r="BW210" s="41"/>
      <c r="BX210" s="41"/>
      <c r="BY210" s="41"/>
      <c r="BZ210" s="41"/>
      <c r="CA210" s="41"/>
      <c r="CB210" s="41"/>
      <c r="CC210" s="41"/>
    </row>
    <row r="211" spans="1:8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  <c r="BK211" s="41"/>
      <c r="BL211" s="41"/>
      <c r="BM211" s="41"/>
      <c r="BN211" s="41"/>
      <c r="BO211" s="41"/>
      <c r="BP211" s="41"/>
      <c r="BQ211" s="41"/>
      <c r="BR211" s="41"/>
      <c r="BS211" s="41"/>
      <c r="BT211" s="41"/>
      <c r="BU211" s="41"/>
      <c r="BV211" s="41"/>
      <c r="BW211" s="41"/>
      <c r="BX211" s="41"/>
      <c r="BY211" s="41"/>
      <c r="BZ211" s="41"/>
      <c r="CA211" s="41"/>
      <c r="CB211" s="41"/>
      <c r="CC211" s="41"/>
    </row>
    <row r="212" spans="1:8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  <c r="BK212" s="41"/>
      <c r="BL212" s="41"/>
      <c r="BM212" s="41"/>
      <c r="BN212" s="41"/>
      <c r="BO212" s="41"/>
      <c r="BP212" s="41"/>
      <c r="BQ212" s="41"/>
      <c r="BR212" s="41"/>
      <c r="BS212" s="41"/>
      <c r="BT212" s="41"/>
      <c r="BU212" s="41"/>
      <c r="BV212" s="41"/>
      <c r="BW212" s="41"/>
      <c r="BX212" s="41"/>
      <c r="BY212" s="41"/>
      <c r="BZ212" s="41"/>
      <c r="CA212" s="41"/>
      <c r="CB212" s="41"/>
      <c r="CC212" s="41"/>
    </row>
    <row r="213" spans="1:8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1"/>
      <c r="BK213" s="41"/>
      <c r="BL213" s="41"/>
      <c r="BM213" s="41"/>
      <c r="BN213" s="41"/>
      <c r="BO213" s="41"/>
      <c r="BP213" s="41"/>
      <c r="BQ213" s="41"/>
      <c r="BR213" s="41"/>
      <c r="BS213" s="41"/>
      <c r="BT213" s="41"/>
      <c r="BU213" s="41"/>
      <c r="BV213" s="41"/>
      <c r="BW213" s="41"/>
      <c r="BX213" s="41"/>
      <c r="BY213" s="41"/>
      <c r="BZ213" s="41"/>
      <c r="CA213" s="41"/>
      <c r="CB213" s="41"/>
      <c r="CC213" s="41"/>
    </row>
    <row r="214" spans="1:8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  <c r="BK214" s="41"/>
      <c r="BL214" s="41"/>
      <c r="BM214" s="41"/>
      <c r="BN214" s="41"/>
      <c r="BO214" s="41"/>
      <c r="BP214" s="41"/>
      <c r="BQ214" s="41"/>
      <c r="BR214" s="41"/>
      <c r="BS214" s="41"/>
      <c r="BT214" s="41"/>
      <c r="BU214" s="41"/>
      <c r="BV214" s="41"/>
      <c r="BW214" s="41"/>
      <c r="BX214" s="41"/>
      <c r="BY214" s="41"/>
      <c r="BZ214" s="41"/>
      <c r="CA214" s="41"/>
      <c r="CB214" s="41"/>
      <c r="CC214" s="41"/>
    </row>
    <row r="215" spans="1:8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  <c r="BK215" s="41"/>
      <c r="BL215" s="41"/>
      <c r="BM215" s="41"/>
      <c r="BN215" s="41"/>
      <c r="BO215" s="41"/>
      <c r="BP215" s="41"/>
      <c r="BQ215" s="41"/>
      <c r="BR215" s="41"/>
      <c r="BS215" s="41"/>
      <c r="BT215" s="41"/>
      <c r="BU215" s="41"/>
      <c r="BV215" s="41"/>
      <c r="BW215" s="41"/>
      <c r="BX215" s="41"/>
      <c r="BY215" s="41"/>
      <c r="BZ215" s="41"/>
      <c r="CA215" s="41"/>
      <c r="CB215" s="41"/>
      <c r="CC215" s="41"/>
    </row>
    <row r="216" spans="1:8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  <c r="BK216" s="41"/>
      <c r="BL216" s="41"/>
      <c r="BM216" s="41"/>
      <c r="BN216" s="41"/>
      <c r="BO216" s="41"/>
      <c r="BP216" s="41"/>
      <c r="BQ216" s="41"/>
      <c r="BR216" s="41"/>
      <c r="BS216" s="41"/>
      <c r="BT216" s="41"/>
      <c r="BU216" s="41"/>
      <c r="BV216" s="41"/>
      <c r="BW216" s="41"/>
      <c r="BX216" s="41"/>
      <c r="BY216" s="41"/>
      <c r="BZ216" s="41"/>
      <c r="CA216" s="41"/>
      <c r="CB216" s="41"/>
      <c r="CC216" s="41"/>
    </row>
    <row r="217" spans="1:8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  <c r="BK217" s="41"/>
      <c r="BL217" s="41"/>
      <c r="BM217" s="41"/>
      <c r="BN217" s="41"/>
      <c r="BO217" s="41"/>
      <c r="BP217" s="41"/>
      <c r="BQ217" s="41"/>
      <c r="BR217" s="41"/>
      <c r="BS217" s="41"/>
      <c r="BT217" s="41"/>
      <c r="BU217" s="41"/>
      <c r="BV217" s="41"/>
      <c r="BW217" s="41"/>
      <c r="BX217" s="41"/>
      <c r="BY217" s="41"/>
      <c r="BZ217" s="41"/>
      <c r="CA217" s="41"/>
      <c r="CB217" s="41"/>
      <c r="CC217" s="41"/>
    </row>
    <row r="218" spans="1:8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/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1"/>
      <c r="CA218" s="41"/>
      <c r="CB218" s="41"/>
      <c r="CC218" s="41"/>
    </row>
    <row r="219" spans="1:8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  <c r="BK219" s="41"/>
      <c r="BL219" s="41"/>
      <c r="BM219" s="41"/>
      <c r="BN219" s="41"/>
      <c r="BO219" s="41"/>
      <c r="BP219" s="41"/>
      <c r="BQ219" s="41"/>
      <c r="BR219" s="41"/>
      <c r="BS219" s="41"/>
      <c r="BT219" s="41"/>
      <c r="BU219" s="41"/>
      <c r="BV219" s="41"/>
      <c r="BW219" s="41"/>
      <c r="BX219" s="41"/>
      <c r="BY219" s="41"/>
      <c r="BZ219" s="41"/>
      <c r="CA219" s="41"/>
      <c r="CB219" s="41"/>
      <c r="CC219" s="41"/>
    </row>
    <row r="220" spans="1:8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  <c r="BK220" s="41"/>
      <c r="BL220" s="41"/>
      <c r="BM220" s="41"/>
      <c r="BN220" s="41"/>
      <c r="BO220" s="41"/>
      <c r="BP220" s="41"/>
      <c r="BQ220" s="41"/>
      <c r="BR220" s="41"/>
      <c r="BS220" s="41"/>
      <c r="BT220" s="41"/>
      <c r="BU220" s="41"/>
      <c r="BV220" s="41"/>
      <c r="BW220" s="41"/>
      <c r="BX220" s="41"/>
      <c r="BY220" s="41"/>
      <c r="BZ220" s="41"/>
      <c r="CA220" s="41"/>
      <c r="CB220" s="41"/>
      <c r="CC220" s="41"/>
    </row>
    <row r="221" spans="1:8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</row>
    <row r="222" spans="1:8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</row>
    <row r="223" spans="1:8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</row>
    <row r="224" spans="1:8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</row>
    <row r="225" spans="1:8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  <c r="BV225" s="41"/>
      <c r="BW225" s="41"/>
      <c r="BX225" s="41"/>
      <c r="BY225" s="41"/>
      <c r="BZ225" s="41"/>
      <c r="CA225" s="41"/>
      <c r="CB225" s="41"/>
      <c r="CC225" s="41"/>
    </row>
    <row r="226" spans="1:8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  <c r="BZ226" s="41"/>
      <c r="CA226" s="41"/>
      <c r="CB226" s="41"/>
      <c r="CC226" s="41"/>
    </row>
    <row r="227" spans="1:8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  <c r="BV227" s="41"/>
      <c r="BW227" s="41"/>
      <c r="BX227" s="41"/>
      <c r="BY227" s="41"/>
      <c r="BZ227" s="41"/>
      <c r="CA227" s="41"/>
      <c r="CB227" s="41"/>
      <c r="CC227" s="41"/>
    </row>
    <row r="228" spans="1:8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</row>
    <row r="229" spans="1:8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  <c r="BZ229" s="41"/>
      <c r="CA229" s="41"/>
      <c r="CB229" s="41"/>
      <c r="CC229" s="41"/>
    </row>
    <row r="230" spans="1:8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1"/>
      <c r="CA230" s="41"/>
      <c r="CB230" s="41"/>
      <c r="CC230" s="41"/>
    </row>
    <row r="231" spans="1:8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</row>
    <row r="232" spans="1:8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  <c r="BZ232" s="41"/>
      <c r="CA232" s="41"/>
      <c r="CB232" s="41"/>
      <c r="CC232" s="41"/>
    </row>
    <row r="233" spans="1:8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BX233" s="41"/>
      <c r="BY233" s="41"/>
      <c r="BZ233" s="41"/>
      <c r="CA233" s="41"/>
      <c r="CB233" s="41"/>
      <c r="CC233" s="41"/>
    </row>
    <row r="234" spans="1:8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41"/>
      <c r="CA234" s="41"/>
      <c r="CB234" s="41"/>
      <c r="CC234" s="41"/>
    </row>
    <row r="235" spans="1:8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  <c r="BZ235" s="41"/>
      <c r="CA235" s="41"/>
      <c r="CB235" s="41"/>
      <c r="CC235" s="41"/>
    </row>
    <row r="236" spans="1:8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  <c r="BV236" s="41"/>
      <c r="BW236" s="41"/>
      <c r="BX236" s="41"/>
      <c r="BY236" s="41"/>
      <c r="BZ236" s="41"/>
      <c r="CA236" s="41"/>
      <c r="CB236" s="41"/>
      <c r="CC236" s="41"/>
    </row>
    <row r="237" spans="1:8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1"/>
      <c r="BY237" s="41"/>
      <c r="BZ237" s="41"/>
      <c r="CA237" s="41"/>
      <c r="CB237" s="41"/>
      <c r="CC237" s="41"/>
    </row>
    <row r="238" spans="1:8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  <c r="BU238" s="41"/>
      <c r="BV238" s="41"/>
      <c r="BW238" s="41"/>
      <c r="BX238" s="41"/>
      <c r="BY238" s="41"/>
      <c r="BZ238" s="41"/>
      <c r="CA238" s="41"/>
      <c r="CB238" s="41"/>
      <c r="CC238" s="41"/>
    </row>
    <row r="239" spans="1:8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1"/>
      <c r="BY239" s="41"/>
      <c r="BZ239" s="41"/>
      <c r="CA239" s="41"/>
      <c r="CB239" s="41"/>
      <c r="CC239" s="41"/>
    </row>
    <row r="240" spans="1:8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  <c r="BZ240" s="41"/>
      <c r="CA240" s="41"/>
      <c r="CB240" s="41"/>
      <c r="CC240" s="41"/>
    </row>
    <row r="241" spans="1:8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1"/>
      <c r="BY241" s="41"/>
      <c r="BZ241" s="41"/>
      <c r="CA241" s="41"/>
      <c r="CB241" s="41"/>
      <c r="CC241" s="41"/>
    </row>
    <row r="242" spans="1:8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  <c r="BV242" s="41"/>
      <c r="BW242" s="41"/>
      <c r="BX242" s="41"/>
      <c r="BY242" s="41"/>
      <c r="BZ242" s="41"/>
      <c r="CA242" s="41"/>
      <c r="CB242" s="41"/>
      <c r="CC242" s="41"/>
    </row>
    <row r="243" spans="1:8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1"/>
      <c r="BY243" s="41"/>
      <c r="BZ243" s="41"/>
      <c r="CA243" s="41"/>
      <c r="CB243" s="41"/>
      <c r="CC243" s="41"/>
    </row>
    <row r="244" spans="1:8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41"/>
      <c r="BM244" s="41"/>
      <c r="BN244" s="41"/>
      <c r="BO244" s="41"/>
      <c r="BP244" s="41"/>
      <c r="BQ244" s="41"/>
      <c r="BR244" s="41"/>
      <c r="BS244" s="41"/>
      <c r="BT244" s="41"/>
      <c r="BU244" s="41"/>
      <c r="BV244" s="41"/>
      <c r="BW244" s="41"/>
      <c r="BX244" s="41"/>
      <c r="BY244" s="41"/>
      <c r="BZ244" s="41"/>
      <c r="CA244" s="41"/>
      <c r="CB244" s="41"/>
      <c r="CC244" s="41"/>
    </row>
    <row r="245" spans="1:8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41"/>
      <c r="BM245" s="41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1"/>
      <c r="BY245" s="41"/>
      <c r="BZ245" s="41"/>
      <c r="CA245" s="41"/>
      <c r="CB245" s="41"/>
      <c r="CC245" s="41"/>
    </row>
    <row r="246" spans="1:8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  <c r="BL246" s="41"/>
      <c r="BM246" s="41"/>
      <c r="BN246" s="41"/>
      <c r="BO246" s="41"/>
      <c r="BP246" s="41"/>
      <c r="BQ246" s="41"/>
      <c r="BR246" s="41"/>
      <c r="BS246" s="41"/>
      <c r="BT246" s="41"/>
      <c r="BU246" s="41"/>
      <c r="BV246" s="41"/>
      <c r="BW246" s="41"/>
      <c r="BX246" s="41"/>
      <c r="BY246" s="41"/>
      <c r="BZ246" s="41"/>
      <c r="CA246" s="41"/>
      <c r="CB246" s="41"/>
      <c r="CC246" s="41"/>
    </row>
    <row r="247" spans="1:8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1"/>
      <c r="BY247" s="41"/>
      <c r="BZ247" s="41"/>
      <c r="CA247" s="41"/>
      <c r="CB247" s="41"/>
      <c r="CC247" s="41"/>
    </row>
    <row r="248" spans="1:8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  <c r="BL248" s="41"/>
      <c r="BM248" s="41"/>
      <c r="BN248" s="41"/>
      <c r="BO248" s="41"/>
      <c r="BP248" s="41"/>
      <c r="BQ248" s="41"/>
      <c r="BR248" s="41"/>
      <c r="BS248" s="41"/>
      <c r="BT248" s="41"/>
      <c r="BU248" s="41"/>
      <c r="BV248" s="41"/>
      <c r="BW248" s="41"/>
      <c r="BX248" s="41"/>
      <c r="BY248" s="41"/>
      <c r="BZ248" s="41"/>
      <c r="CA248" s="41"/>
      <c r="CB248" s="41"/>
      <c r="CC248" s="41"/>
    </row>
    <row r="249" spans="1:8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  <c r="BL249" s="41"/>
      <c r="BM249" s="41"/>
      <c r="BN249" s="41"/>
      <c r="BO249" s="41"/>
      <c r="BP249" s="41"/>
      <c r="BQ249" s="41"/>
      <c r="BR249" s="41"/>
      <c r="BS249" s="41"/>
      <c r="BT249" s="41"/>
      <c r="BU249" s="41"/>
      <c r="BV249" s="41"/>
      <c r="BW249" s="41"/>
      <c r="BX249" s="41"/>
      <c r="BY249" s="41"/>
      <c r="BZ249" s="41"/>
      <c r="CA249" s="41"/>
      <c r="CB249" s="41"/>
      <c r="CC249" s="41"/>
    </row>
    <row r="250" spans="1:8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  <c r="BV250" s="41"/>
      <c r="BW250" s="41"/>
      <c r="BX250" s="41"/>
      <c r="BY250" s="41"/>
      <c r="BZ250" s="41"/>
      <c r="CA250" s="41"/>
      <c r="CB250" s="41"/>
      <c r="CC250" s="41"/>
    </row>
    <row r="251" spans="1:8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41"/>
      <c r="BQ251" s="41"/>
      <c r="BR251" s="41"/>
      <c r="BS251" s="41"/>
      <c r="BT251" s="41"/>
      <c r="BU251" s="41"/>
      <c r="BV251" s="41"/>
      <c r="BW251" s="41"/>
      <c r="BX251" s="41"/>
      <c r="BY251" s="41"/>
      <c r="BZ251" s="41"/>
      <c r="CA251" s="41"/>
      <c r="CB251" s="41"/>
      <c r="CC251" s="41"/>
    </row>
    <row r="252" spans="1:8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  <c r="BK252" s="41"/>
      <c r="BL252" s="41"/>
      <c r="BM252" s="41"/>
      <c r="BN252" s="41"/>
      <c r="BO252" s="41"/>
      <c r="BP252" s="41"/>
      <c r="BQ252" s="41"/>
      <c r="BR252" s="41"/>
      <c r="BS252" s="41"/>
      <c r="BT252" s="41"/>
      <c r="BU252" s="41"/>
      <c r="BV252" s="41"/>
      <c r="BW252" s="41"/>
      <c r="BX252" s="41"/>
      <c r="BY252" s="41"/>
      <c r="BZ252" s="41"/>
      <c r="CA252" s="41"/>
      <c r="CB252" s="41"/>
      <c r="CC252" s="41"/>
    </row>
    <row r="253" spans="1:8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  <c r="BM253" s="41"/>
      <c r="BN253" s="41"/>
      <c r="BO253" s="41"/>
      <c r="BP253" s="41"/>
      <c r="BQ253" s="41"/>
      <c r="BR253" s="41"/>
      <c r="BS253" s="41"/>
      <c r="BT253" s="41"/>
      <c r="BU253" s="41"/>
      <c r="BV253" s="41"/>
      <c r="BW253" s="41"/>
      <c r="BX253" s="41"/>
      <c r="BY253" s="41"/>
      <c r="BZ253" s="41"/>
      <c r="CA253" s="41"/>
      <c r="CB253" s="41"/>
      <c r="CC253" s="41"/>
    </row>
    <row r="254" spans="1:8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  <c r="BL254" s="41"/>
      <c r="BM254" s="41"/>
      <c r="BN254" s="41"/>
      <c r="BO254" s="41"/>
      <c r="BP254" s="41"/>
      <c r="BQ254" s="41"/>
      <c r="BR254" s="41"/>
      <c r="BS254" s="41"/>
      <c r="BT254" s="41"/>
      <c r="BU254" s="41"/>
      <c r="BV254" s="41"/>
      <c r="BW254" s="41"/>
      <c r="BX254" s="41"/>
      <c r="BY254" s="41"/>
      <c r="BZ254" s="41"/>
      <c r="CA254" s="41"/>
      <c r="CB254" s="41"/>
      <c r="CC254" s="41"/>
    </row>
    <row r="255" spans="1:8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41"/>
      <c r="BQ255" s="41"/>
      <c r="BR255" s="41"/>
      <c r="BS255" s="41"/>
      <c r="BT255" s="41"/>
      <c r="BU255" s="41"/>
      <c r="BV255" s="41"/>
      <c r="BW255" s="41"/>
      <c r="BX255" s="41"/>
      <c r="BY255" s="41"/>
      <c r="BZ255" s="41"/>
      <c r="CA255" s="41"/>
      <c r="CB255" s="41"/>
      <c r="CC255" s="41"/>
    </row>
    <row r="256" spans="1:8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1"/>
      <c r="CA256" s="41"/>
      <c r="CB256" s="41"/>
      <c r="CC256" s="41"/>
    </row>
    <row r="257" spans="1:8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41"/>
      <c r="BQ257" s="41"/>
      <c r="BR257" s="41"/>
      <c r="BS257" s="41"/>
      <c r="BT257" s="41"/>
      <c r="BU257" s="41"/>
      <c r="BV257" s="41"/>
      <c r="BW257" s="41"/>
      <c r="BX257" s="41"/>
      <c r="BY257" s="41"/>
      <c r="BZ257" s="41"/>
      <c r="CA257" s="41"/>
      <c r="CB257" s="41"/>
      <c r="CC257" s="41"/>
    </row>
    <row r="258" spans="1:8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  <c r="BK258" s="41"/>
      <c r="BL258" s="41"/>
      <c r="BM258" s="41"/>
      <c r="BN258" s="41"/>
      <c r="BO258" s="41"/>
      <c r="BP258" s="41"/>
      <c r="BQ258" s="41"/>
      <c r="BR258" s="41"/>
      <c r="BS258" s="41"/>
      <c r="BT258" s="41"/>
      <c r="BU258" s="41"/>
      <c r="BV258" s="41"/>
      <c r="BW258" s="41"/>
      <c r="BX258" s="41"/>
      <c r="BY258" s="41"/>
      <c r="BZ258" s="41"/>
      <c r="CA258" s="41"/>
      <c r="CB258" s="41"/>
      <c r="CC258" s="41"/>
    </row>
    <row r="259" spans="1:8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1"/>
      <c r="BY259" s="41"/>
      <c r="BZ259" s="41"/>
      <c r="CA259" s="41"/>
      <c r="CB259" s="41"/>
      <c r="CC259" s="41"/>
    </row>
    <row r="260" spans="1:8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  <c r="BK260" s="41"/>
      <c r="BL260" s="41"/>
      <c r="BM260" s="41"/>
      <c r="BN260" s="41"/>
      <c r="BO260" s="41"/>
      <c r="BP260" s="41"/>
      <c r="BQ260" s="41"/>
      <c r="BR260" s="41"/>
      <c r="BS260" s="41"/>
      <c r="BT260" s="41"/>
      <c r="BU260" s="41"/>
      <c r="BV260" s="41"/>
      <c r="BW260" s="41"/>
      <c r="BX260" s="41"/>
      <c r="BY260" s="41"/>
      <c r="BZ260" s="41"/>
      <c r="CA260" s="41"/>
      <c r="CB260" s="41"/>
      <c r="CC260" s="41"/>
    </row>
    <row r="261" spans="1:8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  <c r="BK261" s="41"/>
      <c r="BL261" s="41"/>
      <c r="BM261" s="41"/>
      <c r="BN261" s="41"/>
      <c r="BO261" s="41"/>
      <c r="BP261" s="41"/>
      <c r="BQ261" s="41"/>
      <c r="BR261" s="41"/>
      <c r="BS261" s="41"/>
      <c r="BT261" s="41"/>
      <c r="BU261" s="41"/>
      <c r="BV261" s="41"/>
      <c r="BW261" s="41"/>
      <c r="BX261" s="41"/>
      <c r="BY261" s="41"/>
      <c r="BZ261" s="41"/>
      <c r="CA261" s="41"/>
      <c r="CB261" s="41"/>
      <c r="CC261" s="41"/>
    </row>
    <row r="262" spans="1:8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  <c r="BL262" s="41"/>
      <c r="BM262" s="41"/>
      <c r="BN262" s="41"/>
      <c r="BO262" s="41"/>
      <c r="BP262" s="41"/>
      <c r="BQ262" s="41"/>
      <c r="BR262" s="41"/>
      <c r="BS262" s="41"/>
      <c r="BT262" s="41"/>
      <c r="BU262" s="41"/>
      <c r="BV262" s="41"/>
      <c r="BW262" s="41"/>
      <c r="BX262" s="41"/>
      <c r="BY262" s="41"/>
      <c r="BZ262" s="41"/>
      <c r="CA262" s="41"/>
      <c r="CB262" s="41"/>
      <c r="CC262" s="41"/>
    </row>
    <row r="263" spans="1:8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41"/>
      <c r="BQ263" s="41"/>
      <c r="BR263" s="41"/>
      <c r="BS263" s="41"/>
      <c r="BT263" s="41"/>
      <c r="BU263" s="41"/>
      <c r="BV263" s="41"/>
      <c r="BW263" s="41"/>
      <c r="BX263" s="41"/>
      <c r="BY263" s="41"/>
      <c r="BZ263" s="41"/>
      <c r="CA263" s="41"/>
      <c r="CB263" s="41"/>
      <c r="CC263" s="41"/>
    </row>
    <row r="264" spans="1:8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  <c r="BL264" s="41"/>
      <c r="BM264" s="41"/>
      <c r="BN264" s="41"/>
      <c r="BO264" s="41"/>
      <c r="BP264" s="41"/>
      <c r="BQ264" s="41"/>
      <c r="BR264" s="41"/>
      <c r="BS264" s="41"/>
      <c r="BT264" s="41"/>
      <c r="BU264" s="41"/>
      <c r="BV264" s="41"/>
      <c r="BW264" s="41"/>
      <c r="BX264" s="41"/>
      <c r="BY264" s="41"/>
      <c r="BZ264" s="41"/>
      <c r="CA264" s="41"/>
      <c r="CB264" s="41"/>
      <c r="CC264" s="41"/>
    </row>
    <row r="265" spans="1:8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  <c r="BV265" s="41"/>
      <c r="BW265" s="41"/>
      <c r="BX265" s="41"/>
      <c r="BY265" s="41"/>
      <c r="BZ265" s="41"/>
      <c r="CA265" s="41"/>
      <c r="CB265" s="41"/>
      <c r="CC265" s="41"/>
    </row>
    <row r="266" spans="1:8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/>
      <c r="BU266" s="41"/>
      <c r="BV266" s="41"/>
      <c r="BW266" s="41"/>
      <c r="BX266" s="41"/>
      <c r="BY266" s="41"/>
      <c r="BZ266" s="41"/>
      <c r="CA266" s="41"/>
      <c r="CB266" s="41"/>
      <c r="CC266" s="41"/>
    </row>
    <row r="267" spans="1:8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  <c r="BL267" s="41"/>
      <c r="BM267" s="41"/>
      <c r="BN267" s="41"/>
      <c r="BO267" s="41"/>
      <c r="BP267" s="41"/>
      <c r="BQ267" s="41"/>
      <c r="BR267" s="41"/>
      <c r="BS267" s="41"/>
      <c r="BT267" s="41"/>
      <c r="BU267" s="41"/>
      <c r="BV267" s="41"/>
      <c r="BW267" s="41"/>
      <c r="BX267" s="41"/>
      <c r="BY267" s="41"/>
      <c r="BZ267" s="41"/>
      <c r="CA267" s="41"/>
      <c r="CB267" s="41"/>
      <c r="CC267" s="41"/>
    </row>
    <row r="268" spans="1:8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  <c r="BL268" s="41"/>
      <c r="BM268" s="41"/>
      <c r="BN268" s="41"/>
      <c r="BO268" s="41"/>
      <c r="BP268" s="41"/>
      <c r="BQ268" s="41"/>
      <c r="BR268" s="41"/>
      <c r="BS268" s="41"/>
      <c r="BT268" s="41"/>
      <c r="BU268" s="41"/>
      <c r="BV268" s="41"/>
      <c r="BW268" s="41"/>
      <c r="BX268" s="41"/>
      <c r="BY268" s="41"/>
      <c r="BZ268" s="41"/>
      <c r="CA268" s="41"/>
      <c r="CB268" s="41"/>
      <c r="CC268" s="41"/>
    </row>
    <row r="269" spans="1:8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  <c r="BK269" s="41"/>
      <c r="BL269" s="41"/>
      <c r="BM269" s="41"/>
      <c r="BN269" s="41"/>
      <c r="BO269" s="41"/>
      <c r="BP269" s="41"/>
      <c r="BQ269" s="41"/>
      <c r="BR269" s="41"/>
      <c r="BS269" s="41"/>
      <c r="BT269" s="41"/>
      <c r="BU269" s="41"/>
      <c r="BV269" s="41"/>
      <c r="BW269" s="41"/>
      <c r="BX269" s="41"/>
      <c r="BY269" s="41"/>
      <c r="BZ269" s="41"/>
      <c r="CA269" s="41"/>
      <c r="CB269" s="41"/>
      <c r="CC269" s="41"/>
    </row>
    <row r="270" spans="1:8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1"/>
      <c r="CA270" s="41"/>
      <c r="CB270" s="41"/>
      <c r="CC270" s="41"/>
    </row>
    <row r="271" spans="1:8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41"/>
      <c r="BQ271" s="41"/>
      <c r="BR271" s="41"/>
      <c r="BS271" s="41"/>
      <c r="BT271" s="41"/>
      <c r="BU271" s="41"/>
      <c r="BV271" s="41"/>
      <c r="BW271" s="41"/>
      <c r="BX271" s="41"/>
      <c r="BY271" s="41"/>
      <c r="BZ271" s="41"/>
      <c r="CA271" s="41"/>
      <c r="CB271" s="41"/>
      <c r="CC271" s="41"/>
    </row>
    <row r="272" spans="1:8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  <c r="BK272" s="41"/>
      <c r="BL272" s="41"/>
      <c r="BM272" s="41"/>
      <c r="BN272" s="41"/>
      <c r="BO272" s="41"/>
      <c r="BP272" s="41"/>
      <c r="BQ272" s="41"/>
      <c r="BR272" s="41"/>
      <c r="BS272" s="41"/>
      <c r="BT272" s="41"/>
      <c r="BU272" s="41"/>
      <c r="BV272" s="41"/>
      <c r="BW272" s="41"/>
      <c r="BX272" s="41"/>
      <c r="BY272" s="41"/>
      <c r="BZ272" s="41"/>
      <c r="CA272" s="41"/>
      <c r="CB272" s="41"/>
      <c r="CC272" s="41"/>
    </row>
    <row r="273" spans="1:8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  <c r="BL273" s="41"/>
      <c r="BM273" s="41"/>
      <c r="BN273" s="41"/>
      <c r="BO273" s="41"/>
      <c r="BP273" s="41"/>
      <c r="BQ273" s="41"/>
      <c r="BR273" s="41"/>
      <c r="BS273" s="41"/>
      <c r="BT273" s="41"/>
      <c r="BU273" s="41"/>
      <c r="BV273" s="41"/>
      <c r="BW273" s="41"/>
      <c r="BX273" s="41"/>
      <c r="BY273" s="41"/>
      <c r="BZ273" s="41"/>
      <c r="CA273" s="41"/>
      <c r="CB273" s="41"/>
      <c r="CC273" s="41"/>
    </row>
    <row r="274" spans="1:8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  <c r="BK274" s="41"/>
      <c r="BL274" s="41"/>
      <c r="BM274" s="41"/>
      <c r="BN274" s="41"/>
      <c r="BO274" s="41"/>
      <c r="BP274" s="41"/>
      <c r="BQ274" s="41"/>
      <c r="BR274" s="41"/>
      <c r="BS274" s="41"/>
      <c r="BT274" s="41"/>
      <c r="BU274" s="41"/>
      <c r="BV274" s="41"/>
      <c r="BW274" s="41"/>
      <c r="BX274" s="41"/>
      <c r="BY274" s="41"/>
      <c r="BZ274" s="41"/>
      <c r="CA274" s="41"/>
      <c r="CB274" s="41"/>
      <c r="CC274" s="41"/>
    </row>
    <row r="275" spans="1:8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  <c r="BK275" s="41"/>
      <c r="BL275" s="41"/>
      <c r="BM275" s="41"/>
      <c r="BN275" s="41"/>
      <c r="BO275" s="41"/>
      <c r="BP275" s="41"/>
      <c r="BQ275" s="41"/>
      <c r="BR275" s="41"/>
      <c r="BS275" s="41"/>
      <c r="BT275" s="41"/>
      <c r="BU275" s="41"/>
      <c r="BV275" s="41"/>
      <c r="BW275" s="41"/>
      <c r="BX275" s="41"/>
      <c r="BY275" s="41"/>
      <c r="BZ275" s="41"/>
      <c r="CA275" s="41"/>
      <c r="CB275" s="41"/>
      <c r="CC275" s="41"/>
    </row>
    <row r="276" spans="1:8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/>
      <c r="BK276" s="41"/>
      <c r="BL276" s="41"/>
      <c r="BM276" s="41"/>
      <c r="BN276" s="41"/>
      <c r="BO276" s="41"/>
      <c r="BP276" s="41"/>
      <c r="BQ276" s="41"/>
      <c r="BR276" s="41"/>
      <c r="BS276" s="41"/>
      <c r="BT276" s="41"/>
      <c r="BU276" s="41"/>
      <c r="BV276" s="41"/>
      <c r="BW276" s="41"/>
      <c r="BX276" s="41"/>
      <c r="BY276" s="41"/>
      <c r="BZ276" s="41"/>
      <c r="CA276" s="41"/>
      <c r="CB276" s="41"/>
      <c r="CC276" s="41"/>
    </row>
    <row r="277" spans="1:8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/>
      <c r="BK277" s="41"/>
      <c r="BL277" s="41"/>
      <c r="BM277" s="41"/>
      <c r="BN277" s="41"/>
      <c r="BO277" s="41"/>
      <c r="BP277" s="41"/>
      <c r="BQ277" s="41"/>
      <c r="BR277" s="41"/>
      <c r="BS277" s="41"/>
      <c r="BT277" s="41"/>
      <c r="BU277" s="41"/>
      <c r="BV277" s="41"/>
      <c r="BW277" s="41"/>
      <c r="BX277" s="41"/>
      <c r="BY277" s="41"/>
      <c r="BZ277" s="41"/>
      <c r="CA277" s="41"/>
      <c r="CB277" s="41"/>
      <c r="CC277" s="41"/>
    </row>
    <row r="278" spans="1:8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  <c r="BK278" s="41"/>
      <c r="BL278" s="41"/>
      <c r="BM278" s="41"/>
      <c r="BN278" s="41"/>
      <c r="BO278" s="41"/>
      <c r="BP278" s="41"/>
      <c r="BQ278" s="41"/>
      <c r="BR278" s="41"/>
      <c r="BS278" s="41"/>
      <c r="BT278" s="41"/>
      <c r="BU278" s="41"/>
      <c r="BV278" s="41"/>
      <c r="BW278" s="41"/>
      <c r="BX278" s="41"/>
      <c r="BY278" s="41"/>
      <c r="BZ278" s="41"/>
      <c r="CA278" s="41"/>
      <c r="CB278" s="41"/>
      <c r="CC278" s="41"/>
    </row>
    <row r="279" spans="1:8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  <c r="BK279" s="41"/>
      <c r="BL279" s="41"/>
      <c r="BM279" s="41"/>
      <c r="BN279" s="41"/>
      <c r="BO279" s="41"/>
      <c r="BP279" s="41"/>
      <c r="BQ279" s="41"/>
      <c r="BR279" s="41"/>
      <c r="BS279" s="41"/>
      <c r="BT279" s="41"/>
      <c r="BU279" s="41"/>
      <c r="BV279" s="41"/>
      <c r="BW279" s="41"/>
      <c r="BX279" s="41"/>
      <c r="BY279" s="41"/>
      <c r="BZ279" s="41"/>
      <c r="CA279" s="41"/>
      <c r="CB279" s="41"/>
      <c r="CC279" s="41"/>
    </row>
    <row r="280" spans="1:8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  <c r="BK280" s="41"/>
      <c r="BL280" s="41"/>
      <c r="BM280" s="41"/>
      <c r="BN280" s="41"/>
      <c r="BO280" s="41"/>
      <c r="BP280" s="41"/>
      <c r="BQ280" s="41"/>
      <c r="BR280" s="41"/>
      <c r="BS280" s="41"/>
      <c r="BT280" s="41"/>
      <c r="BU280" s="41"/>
      <c r="BV280" s="41"/>
      <c r="BW280" s="41"/>
      <c r="BX280" s="41"/>
      <c r="BY280" s="41"/>
      <c r="BZ280" s="41"/>
      <c r="CA280" s="41"/>
      <c r="CB280" s="41"/>
      <c r="CC280" s="41"/>
    </row>
    <row r="281" spans="1: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  <c r="BK281" s="41"/>
      <c r="BL281" s="41"/>
      <c r="BM281" s="41"/>
      <c r="BN281" s="41"/>
      <c r="BO281" s="41"/>
      <c r="BP281" s="41"/>
      <c r="BQ281" s="41"/>
      <c r="BR281" s="41"/>
      <c r="BS281" s="41"/>
      <c r="BT281" s="41"/>
      <c r="BU281" s="41"/>
      <c r="BV281" s="41"/>
      <c r="BW281" s="41"/>
      <c r="BX281" s="41"/>
      <c r="BY281" s="41"/>
      <c r="BZ281" s="41"/>
      <c r="CA281" s="41"/>
      <c r="CB281" s="41"/>
      <c r="CC281" s="41"/>
    </row>
    <row r="282" spans="1:8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  <c r="BV282" s="41"/>
      <c r="BW282" s="41"/>
      <c r="BX282" s="41"/>
      <c r="BY282" s="41"/>
      <c r="BZ282" s="41"/>
      <c r="CA282" s="41"/>
      <c r="CB282" s="41"/>
      <c r="CC282" s="41"/>
    </row>
    <row r="283" spans="1:8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  <c r="BL283" s="41"/>
      <c r="BM283" s="41"/>
      <c r="BN283" s="41"/>
      <c r="BO283" s="41"/>
      <c r="BP283" s="41"/>
      <c r="BQ283" s="41"/>
      <c r="BR283" s="41"/>
      <c r="BS283" s="41"/>
      <c r="BT283" s="41"/>
      <c r="BU283" s="41"/>
      <c r="BV283" s="41"/>
      <c r="BW283" s="41"/>
      <c r="BX283" s="41"/>
      <c r="BY283" s="41"/>
      <c r="BZ283" s="41"/>
      <c r="CA283" s="41"/>
      <c r="CB283" s="41"/>
      <c r="CC283" s="41"/>
    </row>
    <row r="284" spans="1:8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  <c r="BK284" s="41"/>
      <c r="BL284" s="41"/>
      <c r="BM284" s="41"/>
      <c r="BN284" s="41"/>
      <c r="BO284" s="41"/>
      <c r="BP284" s="41"/>
      <c r="BQ284" s="41"/>
      <c r="BR284" s="41"/>
      <c r="BS284" s="41"/>
      <c r="BT284" s="41"/>
      <c r="BU284" s="41"/>
      <c r="BV284" s="41"/>
      <c r="BW284" s="41"/>
      <c r="BX284" s="41"/>
      <c r="BY284" s="41"/>
      <c r="BZ284" s="41"/>
      <c r="CA284" s="41"/>
      <c r="CB284" s="41"/>
      <c r="CC284" s="41"/>
    </row>
    <row r="285" spans="1:8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/>
      <c r="BP285" s="41"/>
      <c r="BQ285" s="41"/>
      <c r="BR285" s="41"/>
      <c r="BS285" s="41"/>
      <c r="BT285" s="41"/>
      <c r="BU285" s="41"/>
      <c r="BV285" s="41"/>
      <c r="BW285" s="41"/>
      <c r="BX285" s="41"/>
      <c r="BY285" s="41"/>
      <c r="BZ285" s="41"/>
      <c r="CA285" s="41"/>
      <c r="CB285" s="41"/>
      <c r="CC285" s="41"/>
    </row>
    <row r="286" spans="1:8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  <c r="BK286" s="41"/>
      <c r="BL286" s="41"/>
      <c r="BM286" s="41"/>
      <c r="BN286" s="41"/>
      <c r="BO286" s="41"/>
      <c r="BP286" s="41"/>
      <c r="BQ286" s="41"/>
      <c r="BR286" s="41"/>
      <c r="BS286" s="41"/>
      <c r="BT286" s="41"/>
      <c r="BU286" s="41"/>
      <c r="BV286" s="41"/>
      <c r="BW286" s="41"/>
      <c r="BX286" s="41"/>
      <c r="BY286" s="41"/>
      <c r="BZ286" s="41"/>
      <c r="CA286" s="41"/>
      <c r="CB286" s="41"/>
      <c r="CC286" s="41"/>
    </row>
    <row r="287" spans="1:8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  <c r="BK287" s="41"/>
      <c r="BL287" s="41"/>
      <c r="BM287" s="41"/>
      <c r="BN287" s="41"/>
      <c r="BO287" s="41"/>
      <c r="BP287" s="41"/>
      <c r="BQ287" s="41"/>
      <c r="BR287" s="41"/>
      <c r="BS287" s="41"/>
      <c r="BT287" s="41"/>
      <c r="BU287" s="41"/>
      <c r="BV287" s="41"/>
      <c r="BW287" s="41"/>
      <c r="BX287" s="41"/>
      <c r="BY287" s="41"/>
      <c r="BZ287" s="41"/>
      <c r="CA287" s="41"/>
      <c r="CB287" s="41"/>
      <c r="CC287" s="41"/>
    </row>
    <row r="288" spans="1:8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  <c r="BL288" s="41"/>
      <c r="BM288" s="41"/>
      <c r="BN288" s="41"/>
      <c r="BO288" s="41"/>
      <c r="BP288" s="41"/>
      <c r="BQ288" s="41"/>
      <c r="BR288" s="41"/>
      <c r="BS288" s="41"/>
      <c r="BT288" s="41"/>
      <c r="BU288" s="41"/>
      <c r="BV288" s="41"/>
      <c r="BW288" s="41"/>
      <c r="BX288" s="41"/>
      <c r="BY288" s="41"/>
      <c r="BZ288" s="41"/>
      <c r="CA288" s="41"/>
      <c r="CB288" s="41"/>
      <c r="CC288" s="41"/>
    </row>
    <row r="289" spans="1:8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  <c r="BK289" s="41"/>
      <c r="BL289" s="41"/>
      <c r="BM289" s="41"/>
      <c r="BN289" s="41"/>
      <c r="BO289" s="41"/>
      <c r="BP289" s="41"/>
      <c r="BQ289" s="41"/>
      <c r="BR289" s="41"/>
      <c r="BS289" s="41"/>
      <c r="BT289" s="41"/>
      <c r="BU289" s="41"/>
      <c r="BV289" s="41"/>
      <c r="BW289" s="41"/>
      <c r="BX289" s="41"/>
      <c r="BY289" s="41"/>
      <c r="BZ289" s="41"/>
      <c r="CA289" s="41"/>
      <c r="CB289" s="41"/>
      <c r="CC289" s="41"/>
    </row>
    <row r="290" spans="1:8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  <c r="BK290" s="41"/>
      <c r="BL290" s="41"/>
      <c r="BM290" s="41"/>
      <c r="BN290" s="41"/>
      <c r="BO290" s="41"/>
      <c r="BP290" s="41"/>
      <c r="BQ290" s="41"/>
      <c r="BR290" s="41"/>
      <c r="BS290" s="41"/>
      <c r="BT290" s="41"/>
      <c r="BU290" s="41"/>
      <c r="BV290" s="41"/>
      <c r="BW290" s="41"/>
      <c r="BX290" s="41"/>
      <c r="BY290" s="41"/>
      <c r="BZ290" s="41"/>
      <c r="CA290" s="41"/>
      <c r="CB290" s="41"/>
      <c r="CC290" s="41"/>
    </row>
    <row r="291" spans="1:8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  <c r="BL291" s="41"/>
      <c r="BM291" s="41"/>
      <c r="BN291" s="41"/>
      <c r="BO291" s="41"/>
      <c r="BP291" s="41"/>
      <c r="BQ291" s="41"/>
      <c r="BR291" s="41"/>
      <c r="BS291" s="41"/>
      <c r="BT291" s="41"/>
      <c r="BU291" s="41"/>
      <c r="BV291" s="41"/>
      <c r="BW291" s="41"/>
      <c r="BX291" s="41"/>
      <c r="BY291" s="41"/>
      <c r="BZ291" s="41"/>
      <c r="CA291" s="41"/>
      <c r="CB291" s="41"/>
      <c r="CC291" s="41"/>
    </row>
    <row r="292" spans="1:8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/>
      <c r="BK292" s="41"/>
      <c r="BL292" s="41"/>
      <c r="BM292" s="41"/>
      <c r="BN292" s="41"/>
      <c r="BO292" s="41"/>
      <c r="BP292" s="41"/>
      <c r="BQ292" s="41"/>
      <c r="BR292" s="41"/>
      <c r="BS292" s="41"/>
      <c r="BT292" s="41"/>
      <c r="BU292" s="41"/>
      <c r="BV292" s="41"/>
      <c r="BW292" s="41"/>
      <c r="BX292" s="41"/>
      <c r="BY292" s="41"/>
      <c r="BZ292" s="41"/>
      <c r="CA292" s="41"/>
      <c r="CB292" s="41"/>
      <c r="CC292" s="41"/>
    </row>
    <row r="293" spans="1:8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  <c r="BK293" s="41"/>
      <c r="BL293" s="41"/>
      <c r="BM293" s="41"/>
      <c r="BN293" s="41"/>
      <c r="BO293" s="41"/>
      <c r="BP293" s="41"/>
      <c r="BQ293" s="41"/>
      <c r="BR293" s="41"/>
      <c r="BS293" s="41"/>
      <c r="BT293" s="41"/>
      <c r="BU293" s="41"/>
      <c r="BV293" s="41"/>
      <c r="BW293" s="41"/>
      <c r="BX293" s="41"/>
      <c r="BY293" s="41"/>
      <c r="BZ293" s="41"/>
      <c r="CA293" s="41"/>
      <c r="CB293" s="41"/>
      <c r="CC293" s="41"/>
    </row>
    <row r="294" spans="1:8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/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1"/>
      <c r="CA294" s="41"/>
      <c r="CB294" s="41"/>
      <c r="CC294" s="41"/>
    </row>
    <row r="295" spans="1:8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  <c r="BK295" s="41"/>
      <c r="BL295" s="41"/>
      <c r="BM295" s="41"/>
      <c r="BN295" s="41"/>
      <c r="BO295" s="41"/>
      <c r="BP295" s="41"/>
      <c r="BQ295" s="41"/>
      <c r="BR295" s="41"/>
      <c r="BS295" s="41"/>
      <c r="BT295" s="41"/>
      <c r="BU295" s="41"/>
      <c r="BV295" s="41"/>
      <c r="BW295" s="41"/>
      <c r="BX295" s="41"/>
      <c r="BY295" s="41"/>
      <c r="BZ295" s="41"/>
      <c r="CA295" s="41"/>
      <c r="CB295" s="41"/>
      <c r="CC295" s="41"/>
    </row>
    <row r="296" spans="1:8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  <c r="BK296" s="41"/>
      <c r="BL296" s="41"/>
      <c r="BM296" s="41"/>
      <c r="BN296" s="41"/>
      <c r="BO296" s="41"/>
      <c r="BP296" s="41"/>
      <c r="BQ296" s="41"/>
      <c r="BR296" s="41"/>
      <c r="BS296" s="41"/>
      <c r="BT296" s="41"/>
      <c r="BU296" s="41"/>
      <c r="BV296" s="41"/>
      <c r="BW296" s="41"/>
      <c r="BX296" s="41"/>
      <c r="BY296" s="41"/>
      <c r="BZ296" s="41"/>
      <c r="CA296" s="41"/>
      <c r="CB296" s="41"/>
      <c r="CC296" s="41"/>
    </row>
    <row r="297" spans="1:8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  <c r="BL297" s="41"/>
      <c r="BM297" s="41"/>
      <c r="BN297" s="41"/>
      <c r="BO297" s="41"/>
      <c r="BP297" s="41"/>
      <c r="BQ297" s="41"/>
      <c r="BR297" s="41"/>
      <c r="BS297" s="41"/>
      <c r="BT297" s="41"/>
      <c r="BU297" s="41"/>
      <c r="BV297" s="41"/>
      <c r="BW297" s="41"/>
      <c r="BX297" s="41"/>
      <c r="BY297" s="41"/>
      <c r="BZ297" s="41"/>
      <c r="CA297" s="41"/>
      <c r="CB297" s="41"/>
      <c r="CC297" s="41"/>
    </row>
    <row r="298" spans="1:8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/>
      <c r="BK298" s="41"/>
      <c r="BL298" s="41"/>
      <c r="BM298" s="41"/>
      <c r="BN298" s="41"/>
      <c r="BO298" s="41"/>
      <c r="BP298" s="41"/>
      <c r="BQ298" s="41"/>
      <c r="BR298" s="41"/>
      <c r="BS298" s="41"/>
      <c r="BT298" s="41"/>
      <c r="BU298" s="41"/>
      <c r="BV298" s="41"/>
      <c r="BW298" s="41"/>
      <c r="BX298" s="41"/>
      <c r="BY298" s="41"/>
      <c r="BZ298" s="41"/>
      <c r="CA298" s="41"/>
      <c r="CB298" s="41"/>
      <c r="CC298" s="41"/>
    </row>
    <row r="299" spans="1:8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  <c r="BU299" s="41"/>
      <c r="BV299" s="41"/>
      <c r="BW299" s="41"/>
      <c r="BX299" s="41"/>
      <c r="BY299" s="41"/>
      <c r="BZ299" s="41"/>
      <c r="CA299" s="41"/>
      <c r="CB299" s="41"/>
      <c r="CC299" s="41"/>
    </row>
    <row r="300" spans="1:8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/>
      <c r="BK300" s="41"/>
      <c r="BL300" s="41"/>
      <c r="BM300" s="41"/>
      <c r="BN300" s="41"/>
      <c r="BO300" s="41"/>
      <c r="BP300" s="41"/>
      <c r="BQ300" s="41"/>
      <c r="BR300" s="41"/>
      <c r="BS300" s="41"/>
      <c r="BT300" s="41"/>
      <c r="BU300" s="41"/>
      <c r="BV300" s="41"/>
      <c r="BW300" s="41"/>
      <c r="BX300" s="41"/>
      <c r="BY300" s="41"/>
      <c r="BZ300" s="41"/>
      <c r="CA300" s="41"/>
      <c r="CB300" s="41"/>
      <c r="CC300" s="41"/>
    </row>
    <row r="301" spans="1:8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  <c r="BK301" s="41"/>
      <c r="BL301" s="41"/>
      <c r="BM301" s="41"/>
      <c r="BN301" s="41"/>
      <c r="BO301" s="41"/>
      <c r="BP301" s="41"/>
      <c r="BQ301" s="41"/>
      <c r="BR301" s="41"/>
      <c r="BS301" s="41"/>
      <c r="BT301" s="41"/>
      <c r="BU301" s="41"/>
      <c r="BV301" s="41"/>
      <c r="BW301" s="41"/>
      <c r="BX301" s="41"/>
      <c r="BY301" s="41"/>
      <c r="BZ301" s="41"/>
      <c r="CA301" s="41"/>
      <c r="CB301" s="41"/>
      <c r="CC301" s="41"/>
    </row>
    <row r="302" spans="1:8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/>
      <c r="BK302" s="41"/>
      <c r="BL302" s="41"/>
      <c r="BM302" s="41"/>
      <c r="BN302" s="41"/>
      <c r="BO302" s="41"/>
      <c r="BP302" s="41"/>
      <c r="BQ302" s="41"/>
      <c r="BR302" s="41"/>
      <c r="BS302" s="41"/>
      <c r="BT302" s="41"/>
      <c r="BU302" s="41"/>
      <c r="BV302" s="41"/>
      <c r="BW302" s="41"/>
      <c r="BX302" s="41"/>
      <c r="BY302" s="41"/>
      <c r="BZ302" s="41"/>
      <c r="CA302" s="41"/>
      <c r="CB302" s="41"/>
      <c r="CC302" s="41"/>
    </row>
    <row r="303" spans="1:8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/>
      <c r="BK303" s="41"/>
      <c r="BL303" s="41"/>
      <c r="BM303" s="41"/>
      <c r="BN303" s="41"/>
      <c r="BO303" s="41"/>
      <c r="BP303" s="41"/>
      <c r="BQ303" s="41"/>
      <c r="BR303" s="41"/>
      <c r="BS303" s="41"/>
      <c r="BT303" s="41"/>
      <c r="BU303" s="41"/>
      <c r="BV303" s="41"/>
      <c r="BW303" s="41"/>
      <c r="BX303" s="41"/>
      <c r="BY303" s="41"/>
      <c r="BZ303" s="41"/>
      <c r="CA303" s="41"/>
      <c r="CB303" s="41"/>
      <c r="CC303" s="41"/>
    </row>
    <row r="304" spans="1:8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  <c r="BK304" s="41"/>
      <c r="BL304" s="41"/>
      <c r="BM304" s="41"/>
      <c r="BN304" s="41"/>
      <c r="BO304" s="41"/>
      <c r="BP304" s="41"/>
      <c r="BQ304" s="41"/>
      <c r="BR304" s="41"/>
      <c r="BS304" s="41"/>
      <c r="BT304" s="41"/>
      <c r="BU304" s="41"/>
      <c r="BV304" s="41"/>
      <c r="BW304" s="41"/>
      <c r="BX304" s="41"/>
      <c r="BY304" s="41"/>
      <c r="BZ304" s="41"/>
      <c r="CA304" s="41"/>
      <c r="CB304" s="41"/>
      <c r="CC304" s="41"/>
    </row>
    <row r="305" spans="1:8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  <c r="BK305" s="41"/>
      <c r="BL305" s="41"/>
      <c r="BM305" s="41"/>
      <c r="BN305" s="41"/>
      <c r="BO305" s="41"/>
      <c r="BP305" s="41"/>
      <c r="BQ305" s="41"/>
      <c r="BR305" s="41"/>
      <c r="BS305" s="41"/>
      <c r="BT305" s="41"/>
      <c r="BU305" s="41"/>
      <c r="BV305" s="41"/>
      <c r="BW305" s="41"/>
      <c r="BX305" s="41"/>
      <c r="BY305" s="41"/>
      <c r="BZ305" s="41"/>
      <c r="CA305" s="41"/>
      <c r="CB305" s="41"/>
      <c r="CC305" s="41"/>
    </row>
    <row r="306" spans="1:8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/>
      <c r="BK306" s="41"/>
      <c r="BL306" s="41"/>
      <c r="BM306" s="41"/>
      <c r="BN306" s="41"/>
      <c r="BO306" s="41"/>
      <c r="BP306" s="41"/>
      <c r="BQ306" s="41"/>
      <c r="BR306" s="41"/>
      <c r="BS306" s="41"/>
      <c r="BT306" s="41"/>
      <c r="BU306" s="41"/>
      <c r="BV306" s="41"/>
      <c r="BW306" s="41"/>
      <c r="BX306" s="41"/>
      <c r="BY306" s="41"/>
      <c r="BZ306" s="41"/>
      <c r="CA306" s="41"/>
      <c r="CB306" s="41"/>
      <c r="CC306" s="41"/>
    </row>
    <row r="307" spans="1:8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/>
      <c r="BK307" s="41"/>
      <c r="BL307" s="41"/>
      <c r="BM307" s="41"/>
      <c r="BN307" s="41"/>
      <c r="BO307" s="41"/>
      <c r="BP307" s="41"/>
      <c r="BQ307" s="41"/>
      <c r="BR307" s="41"/>
      <c r="BS307" s="41"/>
      <c r="BT307" s="41"/>
      <c r="BU307" s="41"/>
      <c r="BV307" s="41"/>
      <c r="BW307" s="41"/>
      <c r="BX307" s="41"/>
      <c r="BY307" s="41"/>
      <c r="BZ307" s="41"/>
      <c r="CA307" s="41"/>
      <c r="CB307" s="41"/>
      <c r="CC307" s="41"/>
    </row>
    <row r="308" spans="1:8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  <c r="BJ308" s="41"/>
      <c r="BK308" s="41"/>
      <c r="BL308" s="41"/>
      <c r="BM308" s="41"/>
      <c r="BN308" s="41"/>
      <c r="BO308" s="41"/>
      <c r="BP308" s="41"/>
      <c r="BQ308" s="41"/>
      <c r="BR308" s="41"/>
      <c r="BS308" s="41"/>
      <c r="BT308" s="41"/>
      <c r="BU308" s="41"/>
      <c r="BV308" s="41"/>
      <c r="BW308" s="41"/>
      <c r="BX308" s="41"/>
      <c r="BY308" s="41"/>
      <c r="BZ308" s="41"/>
      <c r="CA308" s="41"/>
      <c r="CB308" s="41"/>
      <c r="CC308" s="41"/>
    </row>
    <row r="309" spans="1:8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  <c r="BC309" s="41"/>
      <c r="BD309" s="41"/>
      <c r="BE309" s="41"/>
      <c r="BF309" s="41"/>
      <c r="BG309" s="41"/>
      <c r="BH309" s="41"/>
      <c r="BI309" s="41"/>
      <c r="BJ309" s="41"/>
      <c r="BK309" s="41"/>
      <c r="BL309" s="41"/>
      <c r="BM309" s="41"/>
      <c r="BN309" s="41"/>
      <c r="BO309" s="41"/>
      <c r="BP309" s="41"/>
      <c r="BQ309" s="41"/>
      <c r="BR309" s="41"/>
      <c r="BS309" s="41"/>
      <c r="BT309" s="41"/>
      <c r="BU309" s="41"/>
      <c r="BV309" s="41"/>
      <c r="BW309" s="41"/>
      <c r="BX309" s="41"/>
      <c r="BY309" s="41"/>
      <c r="BZ309" s="41"/>
      <c r="CA309" s="41"/>
      <c r="CB309" s="41"/>
      <c r="CC309" s="41"/>
    </row>
    <row r="310" spans="1:8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1"/>
      <c r="BK310" s="41"/>
      <c r="BL310" s="41"/>
      <c r="BM310" s="41"/>
      <c r="BN310" s="41"/>
      <c r="BO310" s="41"/>
      <c r="BP310" s="41"/>
      <c r="BQ310" s="41"/>
      <c r="BR310" s="41"/>
      <c r="BS310" s="41"/>
      <c r="BT310" s="41"/>
      <c r="BU310" s="41"/>
      <c r="BV310" s="41"/>
      <c r="BW310" s="41"/>
      <c r="BX310" s="41"/>
      <c r="BY310" s="41"/>
      <c r="BZ310" s="41"/>
      <c r="CA310" s="41"/>
      <c r="CB310" s="41"/>
      <c r="CC310" s="41"/>
    </row>
    <row r="311" spans="1:8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  <c r="BJ311" s="41"/>
      <c r="BK311" s="41"/>
      <c r="BL311" s="41"/>
      <c r="BM311" s="41"/>
      <c r="BN311" s="41"/>
      <c r="BO311" s="41"/>
      <c r="BP311" s="41"/>
      <c r="BQ311" s="41"/>
      <c r="BR311" s="41"/>
      <c r="BS311" s="41"/>
      <c r="BT311" s="41"/>
      <c r="BU311" s="41"/>
      <c r="BV311" s="41"/>
      <c r="BW311" s="41"/>
      <c r="BX311" s="41"/>
      <c r="BY311" s="41"/>
      <c r="BZ311" s="41"/>
      <c r="CA311" s="41"/>
      <c r="CB311" s="41"/>
      <c r="CC311" s="41"/>
    </row>
    <row r="312" spans="1:8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/>
      <c r="BK312" s="41"/>
      <c r="BL312" s="41"/>
      <c r="BM312" s="41"/>
      <c r="BN312" s="41"/>
      <c r="BO312" s="41"/>
      <c r="BP312" s="41"/>
      <c r="BQ312" s="41"/>
      <c r="BR312" s="41"/>
      <c r="BS312" s="41"/>
      <c r="BT312" s="41"/>
      <c r="BU312" s="41"/>
      <c r="BV312" s="41"/>
      <c r="BW312" s="41"/>
      <c r="BX312" s="41"/>
      <c r="BY312" s="41"/>
      <c r="BZ312" s="41"/>
      <c r="CA312" s="41"/>
      <c r="CB312" s="41"/>
      <c r="CC312" s="41"/>
    </row>
    <row r="313" spans="1:8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  <c r="BJ313" s="41"/>
      <c r="BK313" s="41"/>
      <c r="BL313" s="41"/>
      <c r="BM313" s="41"/>
      <c r="BN313" s="41"/>
      <c r="BO313" s="41"/>
      <c r="BP313" s="41"/>
      <c r="BQ313" s="41"/>
      <c r="BR313" s="41"/>
      <c r="BS313" s="41"/>
      <c r="BT313" s="41"/>
      <c r="BU313" s="41"/>
      <c r="BV313" s="41"/>
      <c r="BW313" s="41"/>
      <c r="BX313" s="41"/>
      <c r="BY313" s="41"/>
      <c r="BZ313" s="41"/>
      <c r="CA313" s="41"/>
      <c r="CB313" s="41"/>
      <c r="CC313" s="41"/>
    </row>
    <row r="314" spans="1:8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  <c r="BJ314" s="41"/>
      <c r="BK314" s="41"/>
      <c r="BL314" s="41"/>
      <c r="BM314" s="41"/>
      <c r="BN314" s="41"/>
      <c r="BO314" s="41"/>
      <c r="BP314" s="41"/>
      <c r="BQ314" s="41"/>
      <c r="BR314" s="41"/>
      <c r="BS314" s="41"/>
      <c r="BT314" s="41"/>
      <c r="BU314" s="41"/>
      <c r="BV314" s="41"/>
      <c r="BW314" s="41"/>
      <c r="BX314" s="41"/>
      <c r="BY314" s="41"/>
      <c r="BZ314" s="41"/>
      <c r="CA314" s="41"/>
      <c r="CB314" s="41"/>
      <c r="CC314" s="41"/>
    </row>
    <row r="315" spans="1:8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/>
      <c r="BK315" s="41"/>
      <c r="BL315" s="41"/>
      <c r="BM315" s="41"/>
      <c r="BN315" s="41"/>
      <c r="BO315" s="41"/>
      <c r="BP315" s="41"/>
      <c r="BQ315" s="41"/>
      <c r="BR315" s="41"/>
      <c r="BS315" s="41"/>
      <c r="BT315" s="41"/>
      <c r="BU315" s="41"/>
      <c r="BV315" s="41"/>
      <c r="BW315" s="41"/>
      <c r="BX315" s="41"/>
      <c r="BY315" s="41"/>
      <c r="BZ315" s="41"/>
      <c r="CA315" s="41"/>
      <c r="CB315" s="41"/>
      <c r="CC315" s="41"/>
    </row>
    <row r="316" spans="1:8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  <c r="BJ316" s="41"/>
      <c r="BK316" s="41"/>
      <c r="BL316" s="41"/>
      <c r="BM316" s="41"/>
      <c r="BN316" s="41"/>
      <c r="BO316" s="41"/>
      <c r="BP316" s="41"/>
      <c r="BQ316" s="41"/>
      <c r="BR316" s="41"/>
      <c r="BS316" s="41"/>
      <c r="BT316" s="41"/>
      <c r="BU316" s="41"/>
      <c r="BV316" s="41"/>
      <c r="BW316" s="41"/>
      <c r="BX316" s="41"/>
      <c r="BY316" s="41"/>
      <c r="BZ316" s="41"/>
      <c r="CA316" s="41"/>
      <c r="CB316" s="41"/>
      <c r="CC316" s="41"/>
    </row>
    <row r="317" spans="1:8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1"/>
      <c r="BK317" s="41"/>
      <c r="BL317" s="41"/>
      <c r="BM317" s="41"/>
      <c r="BN317" s="41"/>
      <c r="BO317" s="41"/>
      <c r="BP317" s="41"/>
      <c r="BQ317" s="41"/>
      <c r="BR317" s="41"/>
      <c r="BS317" s="41"/>
      <c r="BT317" s="41"/>
      <c r="BU317" s="41"/>
      <c r="BV317" s="41"/>
      <c r="BW317" s="41"/>
      <c r="BX317" s="41"/>
      <c r="BY317" s="41"/>
      <c r="BZ317" s="41"/>
      <c r="CA317" s="41"/>
      <c r="CB317" s="41"/>
      <c r="CC317" s="41"/>
    </row>
    <row r="318" spans="1:8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  <c r="BJ318" s="41"/>
      <c r="BK318" s="41"/>
      <c r="BL318" s="41"/>
      <c r="BM318" s="41"/>
      <c r="BN318" s="41"/>
      <c r="BO318" s="41"/>
      <c r="BP318" s="41"/>
      <c r="BQ318" s="41"/>
      <c r="BR318" s="41"/>
      <c r="BS318" s="41"/>
      <c r="BT318" s="41"/>
      <c r="BU318" s="41"/>
      <c r="BV318" s="41"/>
      <c r="BW318" s="41"/>
      <c r="BX318" s="41"/>
      <c r="BY318" s="41"/>
      <c r="BZ318" s="41"/>
      <c r="CA318" s="41"/>
      <c r="CB318" s="41"/>
      <c r="CC318" s="41"/>
    </row>
    <row r="319" spans="1:8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  <c r="BJ319" s="41"/>
      <c r="BK319" s="41"/>
      <c r="BL319" s="41"/>
      <c r="BM319" s="41"/>
      <c r="BN319" s="41"/>
      <c r="BO319" s="41"/>
      <c r="BP319" s="41"/>
      <c r="BQ319" s="41"/>
      <c r="BR319" s="41"/>
      <c r="BS319" s="41"/>
      <c r="BT319" s="41"/>
      <c r="BU319" s="41"/>
      <c r="BV319" s="41"/>
      <c r="BW319" s="41"/>
      <c r="BX319" s="41"/>
      <c r="BY319" s="41"/>
      <c r="BZ319" s="41"/>
      <c r="CA319" s="41"/>
      <c r="CB319" s="41"/>
      <c r="CC319" s="41"/>
    </row>
    <row r="320" spans="1:8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  <c r="BV320" s="41"/>
      <c r="BW320" s="41"/>
      <c r="BX320" s="41"/>
      <c r="BY320" s="41"/>
      <c r="BZ320" s="41"/>
      <c r="CA320" s="41"/>
      <c r="CB320" s="41"/>
      <c r="CC320" s="41"/>
    </row>
    <row r="321" spans="1:8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  <c r="BJ321" s="41"/>
      <c r="BK321" s="41"/>
      <c r="BL321" s="41"/>
      <c r="BM321" s="41"/>
      <c r="BN321" s="41"/>
      <c r="BO321" s="41"/>
      <c r="BP321" s="41"/>
      <c r="BQ321" s="41"/>
      <c r="BR321" s="41"/>
      <c r="BS321" s="41"/>
      <c r="BT321" s="41"/>
      <c r="BU321" s="41"/>
      <c r="BV321" s="41"/>
      <c r="BW321" s="41"/>
      <c r="BX321" s="41"/>
      <c r="BY321" s="41"/>
      <c r="BZ321" s="41"/>
      <c r="CA321" s="41"/>
      <c r="CB321" s="41"/>
      <c r="CC321" s="41"/>
    </row>
    <row r="322" spans="1:8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41"/>
      <c r="BK322" s="41"/>
      <c r="BL322" s="41"/>
      <c r="BM322" s="41"/>
      <c r="BN322" s="41"/>
      <c r="BO322" s="41"/>
      <c r="BP322" s="41"/>
      <c r="BQ322" s="41"/>
      <c r="BR322" s="41"/>
      <c r="BS322" s="41"/>
      <c r="BT322" s="41"/>
      <c r="BU322" s="41"/>
      <c r="BV322" s="41"/>
      <c r="BW322" s="41"/>
      <c r="BX322" s="41"/>
      <c r="BY322" s="41"/>
      <c r="BZ322" s="41"/>
      <c r="CA322" s="41"/>
      <c r="CB322" s="41"/>
      <c r="CC322" s="41"/>
    </row>
    <row r="323" spans="1:8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  <c r="BJ323" s="41"/>
      <c r="BK323" s="41"/>
      <c r="BL323" s="41"/>
      <c r="BM323" s="41"/>
      <c r="BN323" s="41"/>
      <c r="BO323" s="41"/>
      <c r="BP323" s="41"/>
      <c r="BQ323" s="41"/>
      <c r="BR323" s="41"/>
      <c r="BS323" s="41"/>
      <c r="BT323" s="41"/>
      <c r="BU323" s="41"/>
      <c r="BV323" s="41"/>
      <c r="BW323" s="41"/>
      <c r="BX323" s="41"/>
      <c r="BY323" s="41"/>
      <c r="BZ323" s="41"/>
      <c r="CA323" s="41"/>
      <c r="CB323" s="41"/>
      <c r="CC323" s="41"/>
    </row>
    <row r="324" spans="1:8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  <c r="BJ324" s="41"/>
      <c r="BK324" s="41"/>
      <c r="BL324" s="41"/>
      <c r="BM324" s="41"/>
      <c r="BN324" s="41"/>
      <c r="BO324" s="41"/>
      <c r="BP324" s="41"/>
      <c r="BQ324" s="41"/>
      <c r="BR324" s="41"/>
      <c r="BS324" s="41"/>
      <c r="BT324" s="41"/>
      <c r="BU324" s="41"/>
      <c r="BV324" s="41"/>
      <c r="BW324" s="41"/>
      <c r="BX324" s="41"/>
      <c r="BY324" s="41"/>
      <c r="BZ324" s="41"/>
      <c r="CA324" s="41"/>
      <c r="CB324" s="41"/>
      <c r="CC324" s="41"/>
    </row>
    <row r="325" spans="1:8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  <c r="BJ325" s="41"/>
      <c r="BK325" s="41"/>
      <c r="BL325" s="41"/>
      <c r="BM325" s="41"/>
      <c r="BN325" s="41"/>
      <c r="BO325" s="41"/>
      <c r="BP325" s="41"/>
      <c r="BQ325" s="41"/>
      <c r="BR325" s="41"/>
      <c r="BS325" s="41"/>
      <c r="BT325" s="41"/>
      <c r="BU325" s="41"/>
      <c r="BV325" s="41"/>
      <c r="BW325" s="41"/>
      <c r="BX325" s="41"/>
      <c r="BY325" s="41"/>
      <c r="BZ325" s="41"/>
      <c r="CA325" s="41"/>
      <c r="CB325" s="41"/>
      <c r="CC325" s="41"/>
    </row>
    <row r="326" spans="1:8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  <c r="BG326" s="41"/>
      <c r="BH326" s="41"/>
      <c r="BI326" s="41"/>
      <c r="BJ326" s="41"/>
      <c r="BK326" s="41"/>
      <c r="BL326" s="41"/>
      <c r="BM326" s="41"/>
      <c r="BN326" s="41"/>
      <c r="BO326" s="41"/>
      <c r="BP326" s="41"/>
      <c r="BQ326" s="41"/>
      <c r="BR326" s="41"/>
      <c r="BS326" s="41"/>
      <c r="BT326" s="41"/>
      <c r="BU326" s="41"/>
      <c r="BV326" s="41"/>
      <c r="BW326" s="41"/>
      <c r="BX326" s="41"/>
      <c r="BY326" s="41"/>
      <c r="BZ326" s="41"/>
      <c r="CA326" s="41"/>
      <c r="CB326" s="41"/>
      <c r="CC326" s="41"/>
    </row>
    <row r="327" spans="1:8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  <c r="BJ327" s="41"/>
      <c r="BK327" s="41"/>
      <c r="BL327" s="41"/>
      <c r="BM327" s="41"/>
      <c r="BN327" s="41"/>
      <c r="BO327" s="41"/>
      <c r="BP327" s="41"/>
      <c r="BQ327" s="41"/>
      <c r="BR327" s="41"/>
      <c r="BS327" s="41"/>
      <c r="BT327" s="41"/>
      <c r="BU327" s="41"/>
      <c r="BV327" s="41"/>
      <c r="BW327" s="41"/>
      <c r="BX327" s="41"/>
      <c r="BY327" s="41"/>
      <c r="BZ327" s="41"/>
      <c r="CA327" s="41"/>
      <c r="CB327" s="41"/>
      <c r="CC327" s="41"/>
    </row>
    <row r="328" spans="1:8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41"/>
      <c r="BK328" s="41"/>
      <c r="BL328" s="41"/>
      <c r="BM328" s="41"/>
      <c r="BN328" s="41"/>
      <c r="BO328" s="41"/>
      <c r="BP328" s="41"/>
      <c r="BQ328" s="41"/>
      <c r="BR328" s="41"/>
      <c r="BS328" s="41"/>
      <c r="BT328" s="41"/>
      <c r="BU328" s="41"/>
      <c r="BV328" s="41"/>
      <c r="BW328" s="41"/>
      <c r="BX328" s="41"/>
      <c r="BY328" s="41"/>
      <c r="BZ328" s="41"/>
      <c r="CA328" s="41"/>
      <c r="CB328" s="41"/>
      <c r="CC328" s="41"/>
    </row>
    <row r="329" spans="1:8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  <c r="BJ329" s="41"/>
      <c r="BK329" s="41"/>
      <c r="BL329" s="41"/>
      <c r="BM329" s="41"/>
      <c r="BN329" s="41"/>
      <c r="BO329" s="41"/>
      <c r="BP329" s="41"/>
      <c r="BQ329" s="41"/>
      <c r="BR329" s="41"/>
      <c r="BS329" s="41"/>
      <c r="BT329" s="41"/>
      <c r="BU329" s="41"/>
      <c r="BV329" s="41"/>
      <c r="BW329" s="41"/>
      <c r="BX329" s="41"/>
      <c r="BY329" s="41"/>
      <c r="BZ329" s="41"/>
      <c r="CA329" s="41"/>
      <c r="CB329" s="41"/>
      <c r="CC329" s="41"/>
    </row>
    <row r="330" spans="1:8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/>
      <c r="BK330" s="41"/>
      <c r="BL330" s="41"/>
      <c r="BM330" s="41"/>
      <c r="BN330" s="41"/>
      <c r="BO330" s="41"/>
      <c r="BP330" s="41"/>
      <c r="BQ330" s="41"/>
      <c r="BR330" s="41"/>
      <c r="BS330" s="41"/>
      <c r="BT330" s="41"/>
      <c r="BU330" s="41"/>
      <c r="BV330" s="41"/>
      <c r="BW330" s="41"/>
      <c r="BX330" s="41"/>
      <c r="BY330" s="41"/>
      <c r="BZ330" s="41"/>
      <c r="CA330" s="41"/>
      <c r="CB330" s="41"/>
      <c r="CC330" s="41"/>
    </row>
    <row r="331" spans="1:8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1"/>
      <c r="BK331" s="41"/>
      <c r="BL331" s="41"/>
      <c r="BM331" s="41"/>
      <c r="BN331" s="41"/>
      <c r="BO331" s="41"/>
      <c r="BP331" s="41"/>
      <c r="BQ331" s="41"/>
      <c r="BR331" s="41"/>
      <c r="BS331" s="41"/>
      <c r="BT331" s="41"/>
      <c r="BU331" s="41"/>
      <c r="BV331" s="41"/>
      <c r="BW331" s="41"/>
      <c r="BX331" s="41"/>
      <c r="BY331" s="41"/>
      <c r="BZ331" s="41"/>
      <c r="CA331" s="41"/>
      <c r="CB331" s="41"/>
      <c r="CC331" s="41"/>
    </row>
    <row r="332" spans="1:8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/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1"/>
      <c r="CA332" s="41"/>
      <c r="CB332" s="41"/>
      <c r="CC332" s="41"/>
    </row>
    <row r="333" spans="1:8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  <c r="BJ333" s="41"/>
      <c r="BK333" s="41"/>
      <c r="BL333" s="41"/>
      <c r="BM333" s="41"/>
      <c r="BN333" s="41"/>
      <c r="BO333" s="41"/>
      <c r="BP333" s="41"/>
      <c r="BQ333" s="41"/>
      <c r="BR333" s="41"/>
      <c r="BS333" s="41"/>
      <c r="BT333" s="41"/>
      <c r="BU333" s="41"/>
      <c r="BV333" s="41"/>
      <c r="BW333" s="41"/>
      <c r="BX333" s="41"/>
      <c r="BY333" s="41"/>
      <c r="BZ333" s="41"/>
      <c r="CA333" s="41"/>
      <c r="CB333" s="41"/>
      <c r="CC333" s="41"/>
    </row>
    <row r="334" spans="1:8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41"/>
      <c r="BK334" s="41"/>
      <c r="BL334" s="41"/>
      <c r="BM334" s="41"/>
      <c r="BN334" s="41"/>
      <c r="BO334" s="41"/>
      <c r="BP334" s="41"/>
      <c r="BQ334" s="41"/>
      <c r="BR334" s="41"/>
      <c r="BS334" s="41"/>
      <c r="BT334" s="41"/>
      <c r="BU334" s="41"/>
      <c r="BV334" s="41"/>
      <c r="BW334" s="41"/>
      <c r="BX334" s="41"/>
      <c r="BY334" s="41"/>
      <c r="BZ334" s="41"/>
      <c r="CA334" s="41"/>
      <c r="CB334" s="41"/>
      <c r="CC334" s="41"/>
    </row>
    <row r="335" spans="1:8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/>
      <c r="BK335" s="41"/>
      <c r="BL335" s="41"/>
      <c r="BM335" s="41"/>
      <c r="BN335" s="41"/>
      <c r="BO335" s="41"/>
      <c r="BP335" s="41"/>
      <c r="BQ335" s="41"/>
      <c r="BR335" s="41"/>
      <c r="BS335" s="41"/>
      <c r="BT335" s="41"/>
      <c r="BU335" s="41"/>
      <c r="BV335" s="41"/>
      <c r="BW335" s="41"/>
      <c r="BX335" s="41"/>
      <c r="BY335" s="41"/>
      <c r="BZ335" s="41"/>
      <c r="CA335" s="41"/>
      <c r="CB335" s="41"/>
      <c r="CC335" s="41"/>
    </row>
    <row r="336" spans="1:8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  <c r="BJ336" s="41"/>
      <c r="BK336" s="41"/>
      <c r="BL336" s="41"/>
      <c r="BM336" s="41"/>
      <c r="BN336" s="41"/>
      <c r="BO336" s="41"/>
      <c r="BP336" s="41"/>
      <c r="BQ336" s="41"/>
      <c r="BR336" s="41"/>
      <c r="BS336" s="41"/>
      <c r="BT336" s="41"/>
      <c r="BU336" s="41"/>
      <c r="BV336" s="41"/>
      <c r="BW336" s="41"/>
      <c r="BX336" s="41"/>
      <c r="BY336" s="41"/>
      <c r="BZ336" s="41"/>
      <c r="CA336" s="41"/>
      <c r="CB336" s="41"/>
      <c r="CC336" s="41"/>
    </row>
    <row r="337" spans="1:8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  <c r="BJ337" s="41"/>
      <c r="BK337" s="41"/>
      <c r="BL337" s="41"/>
      <c r="BM337" s="41"/>
      <c r="BN337" s="41"/>
      <c r="BO337" s="41"/>
      <c r="BP337" s="41"/>
      <c r="BQ337" s="41"/>
      <c r="BR337" s="41"/>
      <c r="BS337" s="41"/>
      <c r="BT337" s="41"/>
      <c r="BU337" s="41"/>
      <c r="BV337" s="41"/>
      <c r="BW337" s="41"/>
      <c r="BX337" s="41"/>
      <c r="BY337" s="41"/>
      <c r="BZ337" s="41"/>
      <c r="CA337" s="41"/>
      <c r="CB337" s="41"/>
      <c r="CC337" s="41"/>
    </row>
    <row r="338" spans="1:8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  <c r="BJ338" s="41"/>
      <c r="BK338" s="41"/>
      <c r="BL338" s="41"/>
      <c r="BM338" s="41"/>
      <c r="BN338" s="41"/>
      <c r="BO338" s="41"/>
      <c r="BP338" s="41"/>
      <c r="BQ338" s="41"/>
      <c r="BR338" s="41"/>
      <c r="BS338" s="41"/>
      <c r="BT338" s="41"/>
      <c r="BU338" s="41"/>
      <c r="BV338" s="41"/>
      <c r="BW338" s="41"/>
      <c r="BX338" s="41"/>
      <c r="BY338" s="41"/>
      <c r="BZ338" s="41"/>
      <c r="CA338" s="41"/>
      <c r="CB338" s="41"/>
      <c r="CC338" s="41"/>
    </row>
    <row r="339" spans="1:8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1"/>
      <c r="BK339" s="41"/>
      <c r="BL339" s="41"/>
      <c r="BM339" s="41"/>
      <c r="BN339" s="41"/>
      <c r="BO339" s="41"/>
      <c r="BP339" s="41"/>
      <c r="BQ339" s="41"/>
      <c r="BR339" s="41"/>
      <c r="BS339" s="41"/>
      <c r="BT339" s="41"/>
      <c r="BU339" s="41"/>
      <c r="BV339" s="41"/>
      <c r="BW339" s="41"/>
      <c r="BX339" s="41"/>
      <c r="BY339" s="41"/>
      <c r="BZ339" s="41"/>
      <c r="CA339" s="41"/>
      <c r="CB339" s="41"/>
      <c r="CC339" s="41"/>
    </row>
    <row r="340" spans="1:8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1"/>
      <c r="BK340" s="41"/>
      <c r="BL340" s="41"/>
      <c r="BM340" s="41"/>
      <c r="BN340" s="41"/>
      <c r="BO340" s="41"/>
      <c r="BP340" s="41"/>
      <c r="BQ340" s="41"/>
      <c r="BR340" s="41"/>
      <c r="BS340" s="41"/>
      <c r="BT340" s="41"/>
      <c r="BU340" s="41"/>
      <c r="BV340" s="41"/>
      <c r="BW340" s="41"/>
      <c r="BX340" s="41"/>
      <c r="BY340" s="41"/>
      <c r="BZ340" s="41"/>
      <c r="CA340" s="41"/>
      <c r="CB340" s="41"/>
      <c r="CC340" s="41"/>
    </row>
    <row r="341" spans="1:8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/>
      <c r="BK341" s="41"/>
      <c r="BL341" s="41"/>
      <c r="BM341" s="41"/>
      <c r="BN341" s="41"/>
      <c r="BO341" s="41"/>
      <c r="BP341" s="41"/>
      <c r="BQ341" s="41"/>
      <c r="BR341" s="41"/>
      <c r="BS341" s="41"/>
      <c r="BT341" s="41"/>
      <c r="BU341" s="41"/>
      <c r="BV341" s="41"/>
      <c r="BW341" s="41"/>
      <c r="BX341" s="41"/>
      <c r="BY341" s="41"/>
      <c r="BZ341" s="41"/>
      <c r="CA341" s="41"/>
      <c r="CB341" s="41"/>
      <c r="CC341" s="41"/>
    </row>
    <row r="342" spans="1:8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  <c r="BG342" s="41"/>
      <c r="BH342" s="41"/>
      <c r="BI342" s="41"/>
      <c r="BJ342" s="41"/>
      <c r="BK342" s="41"/>
      <c r="BL342" s="41"/>
      <c r="BM342" s="41"/>
      <c r="BN342" s="41"/>
      <c r="BO342" s="41"/>
      <c r="BP342" s="41"/>
      <c r="BQ342" s="41"/>
      <c r="BR342" s="41"/>
      <c r="BS342" s="41"/>
      <c r="BT342" s="41"/>
      <c r="BU342" s="41"/>
      <c r="BV342" s="41"/>
      <c r="BW342" s="41"/>
      <c r="BX342" s="41"/>
      <c r="BY342" s="41"/>
      <c r="BZ342" s="41"/>
      <c r="CA342" s="41"/>
      <c r="CB342" s="41"/>
      <c r="CC342" s="41"/>
    </row>
    <row r="343" spans="1:8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1"/>
      <c r="BK343" s="41"/>
      <c r="BL343" s="41"/>
      <c r="BM343" s="41"/>
      <c r="BN343" s="41"/>
      <c r="BO343" s="41"/>
      <c r="BP343" s="41"/>
      <c r="BQ343" s="41"/>
      <c r="BR343" s="41"/>
      <c r="BS343" s="41"/>
      <c r="BT343" s="41"/>
      <c r="BU343" s="41"/>
      <c r="BV343" s="41"/>
      <c r="BW343" s="41"/>
      <c r="BX343" s="41"/>
      <c r="BY343" s="41"/>
      <c r="BZ343" s="41"/>
      <c r="CA343" s="41"/>
      <c r="CB343" s="41"/>
      <c r="CC343" s="41"/>
    </row>
    <row r="344" spans="1:8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/>
      <c r="BK344" s="41"/>
      <c r="BL344" s="41"/>
      <c r="BM344" s="41"/>
      <c r="BN344" s="41"/>
      <c r="BO344" s="41"/>
      <c r="BP344" s="41"/>
      <c r="BQ344" s="41"/>
      <c r="BR344" s="41"/>
      <c r="BS344" s="41"/>
      <c r="BT344" s="41"/>
      <c r="BU344" s="41"/>
      <c r="BV344" s="41"/>
      <c r="BW344" s="41"/>
      <c r="BX344" s="41"/>
      <c r="BY344" s="41"/>
      <c r="BZ344" s="41"/>
      <c r="CA344" s="41"/>
      <c r="CB344" s="41"/>
      <c r="CC344" s="41"/>
    </row>
    <row r="345" spans="1:8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  <c r="BJ345" s="41"/>
      <c r="BK345" s="41"/>
      <c r="BL345" s="41"/>
      <c r="BM345" s="41"/>
      <c r="BN345" s="41"/>
      <c r="BO345" s="41"/>
      <c r="BP345" s="41"/>
      <c r="BQ345" s="41"/>
      <c r="BR345" s="41"/>
      <c r="BS345" s="41"/>
      <c r="BT345" s="41"/>
      <c r="BU345" s="41"/>
      <c r="BV345" s="41"/>
      <c r="BW345" s="41"/>
      <c r="BX345" s="41"/>
      <c r="BY345" s="41"/>
      <c r="BZ345" s="41"/>
      <c r="CA345" s="41"/>
      <c r="CB345" s="41"/>
      <c r="CC345" s="41"/>
    </row>
    <row r="346" spans="1:8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  <c r="BG346" s="41"/>
      <c r="BH346" s="41"/>
      <c r="BI346" s="41"/>
      <c r="BJ346" s="41"/>
      <c r="BK346" s="41"/>
      <c r="BL346" s="41"/>
      <c r="BM346" s="41"/>
      <c r="BN346" s="41"/>
      <c r="BO346" s="41"/>
      <c r="BP346" s="41"/>
      <c r="BQ346" s="41"/>
      <c r="BR346" s="41"/>
      <c r="BS346" s="41"/>
      <c r="BT346" s="41"/>
      <c r="BU346" s="41"/>
      <c r="BV346" s="41"/>
      <c r="BW346" s="41"/>
      <c r="BX346" s="41"/>
      <c r="BY346" s="41"/>
      <c r="BZ346" s="41"/>
      <c r="CA346" s="41"/>
      <c r="CB346" s="41"/>
      <c r="CC346" s="41"/>
    </row>
    <row r="347" spans="1:8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41"/>
      <c r="BG347" s="41"/>
      <c r="BH347" s="41"/>
      <c r="BI347" s="41"/>
      <c r="BJ347" s="41"/>
      <c r="BK347" s="41"/>
      <c r="BL347" s="41"/>
      <c r="BM347" s="41"/>
      <c r="BN347" s="41"/>
      <c r="BO347" s="41"/>
      <c r="BP347" s="41"/>
      <c r="BQ347" s="41"/>
      <c r="BR347" s="41"/>
      <c r="BS347" s="41"/>
      <c r="BT347" s="41"/>
      <c r="BU347" s="41"/>
      <c r="BV347" s="41"/>
      <c r="BW347" s="41"/>
      <c r="BX347" s="41"/>
      <c r="BY347" s="41"/>
      <c r="BZ347" s="41"/>
      <c r="CA347" s="41"/>
      <c r="CB347" s="41"/>
      <c r="CC347" s="41"/>
    </row>
    <row r="348" spans="1:8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1"/>
      <c r="BK348" s="41"/>
      <c r="BL348" s="41"/>
      <c r="BM348" s="41"/>
      <c r="BN348" s="41"/>
      <c r="BO348" s="41"/>
      <c r="BP348" s="41"/>
      <c r="BQ348" s="41"/>
      <c r="BR348" s="41"/>
      <c r="BS348" s="41"/>
      <c r="BT348" s="41"/>
      <c r="BU348" s="41"/>
      <c r="BV348" s="41"/>
      <c r="BW348" s="41"/>
      <c r="BX348" s="41"/>
      <c r="BY348" s="41"/>
      <c r="BZ348" s="41"/>
      <c r="CA348" s="41"/>
      <c r="CB348" s="41"/>
      <c r="CC348" s="41"/>
    </row>
    <row r="349" spans="1:8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  <c r="BC349" s="41"/>
      <c r="BD349" s="41"/>
      <c r="BE349" s="41"/>
      <c r="BF349" s="41"/>
      <c r="BG349" s="41"/>
      <c r="BH349" s="41"/>
      <c r="BI349" s="41"/>
      <c r="BJ349" s="41"/>
      <c r="BK349" s="41"/>
      <c r="BL349" s="41"/>
      <c r="BM349" s="41"/>
      <c r="BN349" s="41"/>
      <c r="BO349" s="41"/>
      <c r="BP349" s="41"/>
      <c r="BQ349" s="41"/>
      <c r="BR349" s="41"/>
      <c r="BS349" s="41"/>
      <c r="BT349" s="41"/>
      <c r="BU349" s="41"/>
      <c r="BV349" s="41"/>
      <c r="BW349" s="41"/>
      <c r="BX349" s="41"/>
      <c r="BY349" s="41"/>
      <c r="BZ349" s="41"/>
      <c r="CA349" s="41"/>
      <c r="CB349" s="41"/>
      <c r="CC349" s="41"/>
    </row>
    <row r="350" spans="1:8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  <c r="BJ350" s="41"/>
      <c r="BK350" s="41"/>
      <c r="BL350" s="41"/>
      <c r="BM350" s="41"/>
      <c r="BN350" s="41"/>
      <c r="BO350" s="41"/>
      <c r="BP350" s="41"/>
      <c r="BQ350" s="41"/>
      <c r="BR350" s="41"/>
      <c r="BS350" s="41"/>
      <c r="BT350" s="41"/>
      <c r="BU350" s="41"/>
      <c r="BV350" s="41"/>
      <c r="BW350" s="41"/>
      <c r="BX350" s="41"/>
      <c r="BY350" s="41"/>
      <c r="BZ350" s="41"/>
      <c r="CA350" s="41"/>
      <c r="CB350" s="41"/>
      <c r="CC350" s="41"/>
    </row>
    <row r="351" spans="1:8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  <c r="BJ351" s="41"/>
      <c r="BK351" s="41"/>
      <c r="BL351" s="41"/>
      <c r="BM351" s="41"/>
      <c r="BN351" s="41"/>
      <c r="BO351" s="41"/>
      <c r="BP351" s="41"/>
      <c r="BQ351" s="41"/>
      <c r="BR351" s="41"/>
      <c r="BS351" s="41"/>
      <c r="BT351" s="41"/>
      <c r="BU351" s="41"/>
      <c r="BV351" s="41"/>
      <c r="BW351" s="41"/>
      <c r="BX351" s="41"/>
      <c r="BY351" s="41"/>
      <c r="BZ351" s="41"/>
      <c r="CA351" s="41"/>
      <c r="CB351" s="41"/>
      <c r="CC351" s="41"/>
    </row>
    <row r="352" spans="1:8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  <c r="BC352" s="41"/>
      <c r="BD352" s="41"/>
      <c r="BE352" s="41"/>
      <c r="BF352" s="41"/>
      <c r="BG352" s="41"/>
      <c r="BH352" s="41"/>
      <c r="BI352" s="41"/>
      <c r="BJ352" s="41"/>
      <c r="BK352" s="41"/>
      <c r="BL352" s="41"/>
      <c r="BM352" s="41"/>
      <c r="BN352" s="41"/>
      <c r="BO352" s="41"/>
      <c r="BP352" s="41"/>
      <c r="BQ352" s="41"/>
      <c r="BR352" s="41"/>
      <c r="BS352" s="41"/>
      <c r="BT352" s="41"/>
      <c r="BU352" s="41"/>
      <c r="BV352" s="41"/>
      <c r="BW352" s="41"/>
      <c r="BX352" s="41"/>
      <c r="BY352" s="41"/>
      <c r="BZ352" s="41"/>
      <c r="CA352" s="41"/>
      <c r="CB352" s="41"/>
      <c r="CC352" s="41"/>
    </row>
    <row r="353" spans="1:8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  <c r="BC353" s="41"/>
      <c r="BD353" s="41"/>
      <c r="BE353" s="41"/>
      <c r="BF353" s="41"/>
      <c r="BG353" s="41"/>
      <c r="BH353" s="41"/>
      <c r="BI353" s="41"/>
      <c r="BJ353" s="41"/>
      <c r="BK353" s="41"/>
      <c r="BL353" s="41"/>
      <c r="BM353" s="41"/>
      <c r="BN353" s="41"/>
      <c r="BO353" s="41"/>
      <c r="BP353" s="41"/>
      <c r="BQ353" s="41"/>
      <c r="BR353" s="41"/>
      <c r="BS353" s="41"/>
      <c r="BT353" s="41"/>
      <c r="BU353" s="41"/>
      <c r="BV353" s="41"/>
      <c r="BW353" s="41"/>
      <c r="BX353" s="41"/>
      <c r="BY353" s="41"/>
      <c r="BZ353" s="41"/>
      <c r="CA353" s="41"/>
      <c r="CB353" s="41"/>
      <c r="CC353" s="41"/>
    </row>
    <row r="354" spans="1:8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41"/>
      <c r="BG354" s="41"/>
      <c r="BH354" s="41"/>
      <c r="BI354" s="41"/>
      <c r="BJ354" s="41"/>
      <c r="BK354" s="41"/>
      <c r="BL354" s="41"/>
      <c r="BM354" s="41"/>
      <c r="BN354" s="41"/>
      <c r="BO354" s="41"/>
      <c r="BP354" s="41"/>
      <c r="BQ354" s="41"/>
      <c r="BR354" s="41"/>
      <c r="BS354" s="41"/>
      <c r="BT354" s="41"/>
      <c r="BU354" s="41"/>
      <c r="BV354" s="41"/>
      <c r="BW354" s="41"/>
      <c r="BX354" s="41"/>
      <c r="BY354" s="41"/>
      <c r="BZ354" s="41"/>
      <c r="CA354" s="41"/>
      <c r="CB354" s="41"/>
      <c r="CC354" s="41"/>
    </row>
    <row r="355" spans="1:8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  <c r="BC355" s="41"/>
      <c r="BD355" s="41"/>
      <c r="BE355" s="41"/>
      <c r="BF355" s="41"/>
      <c r="BG355" s="41"/>
      <c r="BH355" s="41"/>
      <c r="BI355" s="41"/>
      <c r="BJ355" s="41"/>
      <c r="BK355" s="41"/>
      <c r="BL355" s="41"/>
      <c r="BM355" s="41"/>
      <c r="BN355" s="41"/>
      <c r="BO355" s="41"/>
      <c r="BP355" s="41"/>
      <c r="BQ355" s="41"/>
      <c r="BR355" s="41"/>
      <c r="BS355" s="41"/>
      <c r="BT355" s="41"/>
      <c r="BU355" s="41"/>
      <c r="BV355" s="41"/>
      <c r="BW355" s="41"/>
      <c r="BX355" s="41"/>
      <c r="BY355" s="41"/>
      <c r="BZ355" s="41"/>
      <c r="CA355" s="41"/>
      <c r="CB355" s="41"/>
      <c r="CC355" s="41"/>
    </row>
    <row r="356" spans="1:8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  <c r="BC356" s="41"/>
      <c r="BD356" s="41"/>
      <c r="BE356" s="41"/>
      <c r="BF356" s="41"/>
      <c r="BG356" s="41"/>
      <c r="BH356" s="41"/>
      <c r="BI356" s="41"/>
      <c r="BJ356" s="41"/>
      <c r="BK356" s="41"/>
      <c r="BL356" s="41"/>
      <c r="BM356" s="41"/>
      <c r="BN356" s="41"/>
      <c r="BO356" s="41"/>
      <c r="BP356" s="41"/>
      <c r="BQ356" s="41"/>
      <c r="BR356" s="41"/>
      <c r="BS356" s="41"/>
      <c r="BT356" s="41"/>
      <c r="BU356" s="41"/>
      <c r="BV356" s="41"/>
      <c r="BW356" s="41"/>
      <c r="BX356" s="41"/>
      <c r="BY356" s="41"/>
      <c r="BZ356" s="41"/>
      <c r="CA356" s="41"/>
      <c r="CB356" s="41"/>
      <c r="CC356" s="41"/>
    </row>
    <row r="357" spans="1:8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  <c r="BC357" s="41"/>
      <c r="BD357" s="41"/>
      <c r="BE357" s="41"/>
      <c r="BF357" s="41"/>
      <c r="BG357" s="41"/>
      <c r="BH357" s="41"/>
      <c r="BI357" s="41"/>
      <c r="BJ357" s="41"/>
      <c r="BK357" s="41"/>
      <c r="BL357" s="41"/>
      <c r="BM357" s="41"/>
      <c r="BN357" s="41"/>
      <c r="BO357" s="41"/>
      <c r="BP357" s="41"/>
      <c r="BQ357" s="41"/>
      <c r="BR357" s="41"/>
      <c r="BS357" s="41"/>
      <c r="BT357" s="41"/>
      <c r="BU357" s="41"/>
      <c r="BV357" s="41"/>
      <c r="BW357" s="41"/>
      <c r="BX357" s="41"/>
      <c r="BY357" s="41"/>
      <c r="BZ357" s="41"/>
      <c r="CA357" s="41"/>
      <c r="CB357" s="41"/>
      <c r="CC357" s="41"/>
    </row>
    <row r="358" spans="1:8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  <c r="BC358" s="41"/>
      <c r="BD358" s="41"/>
      <c r="BE358" s="41"/>
      <c r="BF358" s="41"/>
      <c r="BG358" s="41"/>
      <c r="BH358" s="41"/>
      <c r="BI358" s="41"/>
      <c r="BJ358" s="41"/>
      <c r="BK358" s="41"/>
      <c r="BL358" s="41"/>
      <c r="BM358" s="41"/>
      <c r="BN358" s="41"/>
      <c r="BO358" s="41"/>
      <c r="BP358" s="41"/>
      <c r="BQ358" s="41"/>
      <c r="BR358" s="41"/>
      <c r="BS358" s="41"/>
      <c r="BT358" s="41"/>
      <c r="BU358" s="41"/>
      <c r="BV358" s="41"/>
      <c r="BW358" s="41"/>
      <c r="BX358" s="41"/>
      <c r="BY358" s="41"/>
      <c r="BZ358" s="41"/>
      <c r="CA358" s="41"/>
      <c r="CB358" s="41"/>
      <c r="CC358" s="41"/>
    </row>
    <row r="359" spans="1:8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41"/>
      <c r="BG359" s="41"/>
      <c r="BH359" s="41"/>
      <c r="BI359" s="41"/>
      <c r="BJ359" s="41"/>
      <c r="BK359" s="41"/>
      <c r="BL359" s="41"/>
      <c r="BM359" s="41"/>
      <c r="BN359" s="41"/>
      <c r="BO359" s="41"/>
      <c r="BP359" s="41"/>
      <c r="BQ359" s="41"/>
      <c r="BR359" s="41"/>
      <c r="BS359" s="41"/>
      <c r="BT359" s="41"/>
      <c r="BU359" s="41"/>
      <c r="BV359" s="41"/>
      <c r="BW359" s="41"/>
      <c r="BX359" s="41"/>
      <c r="BY359" s="41"/>
      <c r="BZ359" s="41"/>
      <c r="CA359" s="41"/>
      <c r="CB359" s="41"/>
      <c r="CC359" s="41"/>
    </row>
    <row r="360" spans="1:8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  <c r="BG360" s="41"/>
      <c r="BH360" s="41"/>
      <c r="BI360" s="41"/>
      <c r="BJ360" s="41"/>
      <c r="BK360" s="41"/>
      <c r="BL360" s="41"/>
      <c r="BM360" s="41"/>
      <c r="BN360" s="41"/>
      <c r="BO360" s="41"/>
      <c r="BP360" s="41"/>
      <c r="BQ360" s="41"/>
      <c r="BR360" s="41"/>
      <c r="BS360" s="41"/>
      <c r="BT360" s="41"/>
      <c r="BU360" s="41"/>
      <c r="BV360" s="41"/>
      <c r="BW360" s="41"/>
      <c r="BX360" s="41"/>
      <c r="BY360" s="41"/>
      <c r="BZ360" s="41"/>
      <c r="CA360" s="41"/>
      <c r="CB360" s="41"/>
      <c r="CC360" s="41"/>
    </row>
    <row r="361" spans="1:8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  <c r="BC361" s="41"/>
      <c r="BD361" s="41"/>
      <c r="BE361" s="41"/>
      <c r="BF361" s="41"/>
      <c r="BG361" s="41"/>
      <c r="BH361" s="41"/>
      <c r="BI361" s="41"/>
      <c r="BJ361" s="41"/>
      <c r="BK361" s="41"/>
      <c r="BL361" s="41"/>
      <c r="BM361" s="41"/>
      <c r="BN361" s="41"/>
      <c r="BO361" s="41"/>
      <c r="BP361" s="41"/>
      <c r="BQ361" s="41"/>
      <c r="BR361" s="41"/>
      <c r="BS361" s="41"/>
      <c r="BT361" s="41"/>
      <c r="BU361" s="41"/>
      <c r="BV361" s="41"/>
      <c r="BW361" s="41"/>
      <c r="BX361" s="41"/>
      <c r="BY361" s="41"/>
      <c r="BZ361" s="41"/>
      <c r="CA361" s="41"/>
      <c r="CB361" s="41"/>
      <c r="CC361" s="41"/>
    </row>
    <row r="362" spans="1:8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41"/>
      <c r="BG362" s="41"/>
      <c r="BH362" s="41"/>
      <c r="BI362" s="41"/>
      <c r="BJ362" s="41"/>
      <c r="BK362" s="41"/>
      <c r="BL362" s="41"/>
      <c r="BM362" s="41"/>
      <c r="BN362" s="41"/>
      <c r="BO362" s="41"/>
      <c r="BP362" s="41"/>
      <c r="BQ362" s="41"/>
      <c r="BR362" s="41"/>
      <c r="BS362" s="41"/>
      <c r="BT362" s="41"/>
      <c r="BU362" s="41"/>
      <c r="BV362" s="41"/>
      <c r="BW362" s="41"/>
      <c r="BX362" s="41"/>
      <c r="BY362" s="41"/>
      <c r="BZ362" s="41"/>
      <c r="CA362" s="41"/>
      <c r="CB362" s="41"/>
      <c r="CC362" s="41"/>
    </row>
    <row r="363" spans="1:8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1"/>
      <c r="BK363" s="41"/>
      <c r="BL363" s="41"/>
      <c r="BM363" s="41"/>
      <c r="BN363" s="41"/>
      <c r="BO363" s="41"/>
      <c r="BP363" s="41"/>
      <c r="BQ363" s="41"/>
      <c r="BR363" s="41"/>
      <c r="BS363" s="41"/>
      <c r="BT363" s="41"/>
      <c r="BU363" s="41"/>
      <c r="BV363" s="41"/>
      <c r="BW363" s="41"/>
      <c r="BX363" s="41"/>
      <c r="BY363" s="41"/>
      <c r="BZ363" s="41"/>
      <c r="CA363" s="41"/>
      <c r="CB363" s="41"/>
      <c r="CC363" s="41"/>
    </row>
    <row r="364" spans="1:8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1"/>
      <c r="BK364" s="41"/>
      <c r="BL364" s="41"/>
      <c r="BM364" s="41"/>
      <c r="BN364" s="41"/>
      <c r="BO364" s="41"/>
      <c r="BP364" s="41"/>
      <c r="BQ364" s="41"/>
      <c r="BR364" s="41"/>
      <c r="BS364" s="41"/>
      <c r="BT364" s="41"/>
      <c r="BU364" s="41"/>
      <c r="BV364" s="41"/>
      <c r="BW364" s="41"/>
      <c r="BX364" s="41"/>
      <c r="BY364" s="41"/>
      <c r="BZ364" s="41"/>
      <c r="CA364" s="41"/>
      <c r="CB364" s="41"/>
      <c r="CC364" s="41"/>
    </row>
    <row r="365" spans="1:8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1"/>
      <c r="BK365" s="41"/>
      <c r="BL365" s="41"/>
      <c r="BM365" s="41"/>
      <c r="BN365" s="41"/>
      <c r="BO365" s="41"/>
      <c r="BP365" s="41"/>
      <c r="BQ365" s="41"/>
      <c r="BR365" s="41"/>
      <c r="BS365" s="41"/>
      <c r="BT365" s="41"/>
      <c r="BU365" s="41"/>
      <c r="BV365" s="41"/>
      <c r="BW365" s="41"/>
      <c r="BX365" s="41"/>
      <c r="BY365" s="41"/>
      <c r="BZ365" s="41"/>
      <c r="CA365" s="41"/>
      <c r="CB365" s="41"/>
      <c r="CC365" s="41"/>
    </row>
    <row r="366" spans="1:8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  <c r="BG366" s="41"/>
      <c r="BH366" s="41"/>
      <c r="BI366" s="41"/>
      <c r="BJ366" s="41"/>
      <c r="BK366" s="41"/>
      <c r="BL366" s="41"/>
      <c r="BM366" s="41"/>
      <c r="BN366" s="41"/>
      <c r="BO366" s="41"/>
      <c r="BP366" s="41"/>
      <c r="BQ366" s="41"/>
      <c r="BR366" s="41"/>
      <c r="BS366" s="41"/>
      <c r="BT366" s="41"/>
      <c r="BU366" s="41"/>
      <c r="BV366" s="41"/>
      <c r="BW366" s="41"/>
      <c r="BX366" s="41"/>
      <c r="BY366" s="41"/>
      <c r="BZ366" s="41"/>
      <c r="CA366" s="41"/>
      <c r="CB366" s="41"/>
      <c r="CC366" s="41"/>
    </row>
    <row r="367" spans="1:8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1"/>
      <c r="BE367" s="41"/>
      <c r="BF367" s="41"/>
      <c r="BG367" s="41"/>
      <c r="BH367" s="41"/>
      <c r="BI367" s="41"/>
      <c r="BJ367" s="41"/>
      <c r="BK367" s="41"/>
      <c r="BL367" s="41"/>
      <c r="BM367" s="41"/>
      <c r="BN367" s="41"/>
      <c r="BO367" s="41"/>
      <c r="BP367" s="41"/>
      <c r="BQ367" s="41"/>
      <c r="BR367" s="41"/>
      <c r="BS367" s="41"/>
      <c r="BT367" s="41"/>
      <c r="BU367" s="41"/>
      <c r="BV367" s="41"/>
      <c r="BW367" s="41"/>
      <c r="BX367" s="41"/>
      <c r="BY367" s="41"/>
      <c r="BZ367" s="41"/>
      <c r="CA367" s="41"/>
      <c r="CB367" s="41"/>
      <c r="CC367" s="41"/>
    </row>
    <row r="368" spans="1:8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  <c r="BC368" s="41"/>
      <c r="BD368" s="41"/>
      <c r="BE368" s="41"/>
      <c r="BF368" s="41"/>
      <c r="BG368" s="41"/>
      <c r="BH368" s="41"/>
      <c r="BI368" s="41"/>
      <c r="BJ368" s="41"/>
      <c r="BK368" s="41"/>
      <c r="BL368" s="41"/>
      <c r="BM368" s="41"/>
      <c r="BN368" s="41"/>
      <c r="BO368" s="41"/>
      <c r="BP368" s="41"/>
      <c r="BQ368" s="41"/>
      <c r="BR368" s="41"/>
      <c r="BS368" s="41"/>
      <c r="BT368" s="41"/>
      <c r="BU368" s="41"/>
      <c r="BV368" s="41"/>
      <c r="BW368" s="41"/>
      <c r="BX368" s="41"/>
      <c r="BY368" s="41"/>
      <c r="BZ368" s="41"/>
      <c r="CA368" s="41"/>
      <c r="CB368" s="41"/>
      <c r="CC368" s="41"/>
    </row>
    <row r="369" spans="1:8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  <c r="BC369" s="41"/>
      <c r="BD369" s="41"/>
      <c r="BE369" s="41"/>
      <c r="BF369" s="41"/>
      <c r="BG369" s="41"/>
      <c r="BH369" s="41"/>
      <c r="BI369" s="41"/>
      <c r="BJ369" s="41"/>
      <c r="BK369" s="41"/>
      <c r="BL369" s="41"/>
      <c r="BM369" s="41"/>
      <c r="BN369" s="41"/>
      <c r="BO369" s="41"/>
      <c r="BP369" s="41"/>
      <c r="BQ369" s="41"/>
      <c r="BR369" s="41"/>
      <c r="BS369" s="41"/>
      <c r="BT369" s="41"/>
      <c r="BU369" s="41"/>
      <c r="BV369" s="41"/>
      <c r="BW369" s="41"/>
      <c r="BX369" s="41"/>
      <c r="BY369" s="41"/>
      <c r="BZ369" s="41"/>
      <c r="CA369" s="41"/>
      <c r="CB369" s="41"/>
      <c r="CC369" s="41"/>
    </row>
    <row r="370" spans="1:8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/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1"/>
      <c r="CA370" s="41"/>
      <c r="CB370" s="41"/>
      <c r="CC370" s="41"/>
    </row>
    <row r="371" spans="1:8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  <c r="BG371" s="41"/>
      <c r="BH371" s="41"/>
      <c r="BI371" s="41"/>
      <c r="BJ371" s="41"/>
      <c r="BK371" s="41"/>
      <c r="BL371" s="41"/>
      <c r="BM371" s="41"/>
      <c r="BN371" s="41"/>
      <c r="BO371" s="41"/>
      <c r="BP371" s="41"/>
      <c r="BQ371" s="41"/>
      <c r="BR371" s="41"/>
      <c r="BS371" s="41"/>
      <c r="BT371" s="41"/>
      <c r="BU371" s="41"/>
      <c r="BV371" s="41"/>
      <c r="BW371" s="41"/>
      <c r="BX371" s="41"/>
      <c r="BY371" s="41"/>
      <c r="BZ371" s="41"/>
      <c r="CA371" s="41"/>
      <c r="CB371" s="41"/>
      <c r="CC371" s="41"/>
    </row>
    <row r="372" spans="1:8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  <c r="BG372" s="41"/>
      <c r="BH372" s="41"/>
      <c r="BI372" s="41"/>
      <c r="BJ372" s="41"/>
      <c r="BK372" s="41"/>
      <c r="BL372" s="41"/>
      <c r="BM372" s="41"/>
      <c r="BN372" s="41"/>
      <c r="BO372" s="41"/>
      <c r="BP372" s="41"/>
      <c r="BQ372" s="41"/>
      <c r="BR372" s="41"/>
      <c r="BS372" s="41"/>
      <c r="BT372" s="41"/>
      <c r="BU372" s="41"/>
      <c r="BV372" s="41"/>
      <c r="BW372" s="41"/>
      <c r="BX372" s="41"/>
      <c r="BY372" s="41"/>
      <c r="BZ372" s="41"/>
      <c r="CA372" s="41"/>
      <c r="CB372" s="41"/>
      <c r="CC372" s="41"/>
    </row>
    <row r="373" spans="1:8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  <c r="BC373" s="41"/>
      <c r="BD373" s="41"/>
      <c r="BE373" s="41"/>
      <c r="BF373" s="41"/>
      <c r="BG373" s="41"/>
      <c r="BH373" s="41"/>
      <c r="BI373" s="41"/>
      <c r="BJ373" s="41"/>
      <c r="BK373" s="41"/>
      <c r="BL373" s="41"/>
      <c r="BM373" s="41"/>
      <c r="BN373" s="41"/>
      <c r="BO373" s="41"/>
      <c r="BP373" s="41"/>
      <c r="BQ373" s="41"/>
      <c r="BR373" s="41"/>
      <c r="BS373" s="41"/>
      <c r="BT373" s="41"/>
      <c r="BU373" s="41"/>
      <c r="BV373" s="41"/>
      <c r="BW373" s="41"/>
      <c r="BX373" s="41"/>
      <c r="BY373" s="41"/>
      <c r="BZ373" s="41"/>
      <c r="CA373" s="41"/>
      <c r="CB373" s="41"/>
      <c r="CC373" s="41"/>
    </row>
    <row r="374" spans="1:8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  <c r="BG374" s="41"/>
      <c r="BH374" s="41"/>
      <c r="BI374" s="41"/>
      <c r="BJ374" s="41"/>
      <c r="BK374" s="41"/>
      <c r="BL374" s="41"/>
      <c r="BM374" s="41"/>
      <c r="BN374" s="41"/>
      <c r="BO374" s="41"/>
      <c r="BP374" s="41"/>
      <c r="BQ374" s="41"/>
      <c r="BR374" s="41"/>
      <c r="BS374" s="41"/>
      <c r="BT374" s="41"/>
      <c r="BU374" s="41"/>
      <c r="BV374" s="41"/>
      <c r="BW374" s="41"/>
      <c r="BX374" s="41"/>
      <c r="BY374" s="41"/>
      <c r="BZ374" s="41"/>
      <c r="CA374" s="41"/>
      <c r="CB374" s="41"/>
      <c r="CC374" s="41"/>
    </row>
    <row r="375" spans="1:8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41"/>
      <c r="BG375" s="41"/>
      <c r="BH375" s="41"/>
      <c r="BI375" s="41"/>
      <c r="BJ375" s="41"/>
      <c r="BK375" s="41"/>
      <c r="BL375" s="41"/>
      <c r="BM375" s="41"/>
      <c r="BN375" s="41"/>
      <c r="BO375" s="41"/>
      <c r="BP375" s="41"/>
      <c r="BQ375" s="41"/>
      <c r="BR375" s="41"/>
      <c r="BS375" s="41"/>
      <c r="BT375" s="41"/>
      <c r="BU375" s="41"/>
      <c r="BV375" s="41"/>
      <c r="BW375" s="41"/>
      <c r="BX375" s="41"/>
      <c r="BY375" s="41"/>
      <c r="BZ375" s="41"/>
      <c r="CA375" s="41"/>
      <c r="CB375" s="41"/>
      <c r="CC375" s="41"/>
    </row>
    <row r="376" spans="1:8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  <c r="BG376" s="41"/>
      <c r="BH376" s="41"/>
      <c r="BI376" s="41"/>
      <c r="BJ376" s="41"/>
      <c r="BK376" s="41"/>
      <c r="BL376" s="41"/>
      <c r="BM376" s="41"/>
      <c r="BN376" s="41"/>
      <c r="BO376" s="41"/>
      <c r="BP376" s="41"/>
      <c r="BQ376" s="41"/>
      <c r="BR376" s="41"/>
      <c r="BS376" s="41"/>
      <c r="BT376" s="41"/>
      <c r="BU376" s="41"/>
      <c r="BV376" s="41"/>
      <c r="BW376" s="41"/>
      <c r="BX376" s="41"/>
      <c r="BY376" s="41"/>
      <c r="BZ376" s="41"/>
      <c r="CA376" s="41"/>
      <c r="CB376" s="41"/>
      <c r="CC376" s="41"/>
    </row>
    <row r="377" spans="1:8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  <c r="BC377" s="41"/>
      <c r="BD377" s="41"/>
      <c r="BE377" s="41"/>
      <c r="BF377" s="41"/>
      <c r="BG377" s="41"/>
      <c r="BH377" s="41"/>
      <c r="BI377" s="41"/>
      <c r="BJ377" s="41"/>
      <c r="BK377" s="41"/>
      <c r="BL377" s="41"/>
      <c r="BM377" s="41"/>
      <c r="BN377" s="41"/>
      <c r="BO377" s="41"/>
      <c r="BP377" s="41"/>
      <c r="BQ377" s="41"/>
      <c r="BR377" s="41"/>
      <c r="BS377" s="41"/>
      <c r="BT377" s="41"/>
      <c r="BU377" s="41"/>
      <c r="BV377" s="41"/>
      <c r="BW377" s="41"/>
      <c r="BX377" s="41"/>
      <c r="BY377" s="41"/>
      <c r="BZ377" s="41"/>
      <c r="CA377" s="41"/>
      <c r="CB377" s="41"/>
      <c r="CC377" s="41"/>
    </row>
    <row r="378" spans="1:8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1"/>
      <c r="BK378" s="41"/>
      <c r="BL378" s="41"/>
      <c r="BM378" s="41"/>
      <c r="BN378" s="41"/>
      <c r="BO378" s="41"/>
      <c r="BP378" s="41"/>
      <c r="BQ378" s="41"/>
      <c r="BR378" s="41"/>
      <c r="BS378" s="41"/>
      <c r="BT378" s="41"/>
      <c r="BU378" s="41"/>
      <c r="BV378" s="41"/>
      <c r="BW378" s="41"/>
      <c r="BX378" s="41"/>
      <c r="BY378" s="41"/>
      <c r="BZ378" s="41"/>
      <c r="CA378" s="41"/>
      <c r="CB378" s="41"/>
      <c r="CC378" s="41"/>
    </row>
    <row r="379" spans="1:8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41"/>
      <c r="BG379" s="41"/>
      <c r="BH379" s="41"/>
      <c r="BI379" s="41"/>
      <c r="BJ379" s="41"/>
      <c r="BK379" s="41"/>
      <c r="BL379" s="41"/>
      <c r="BM379" s="41"/>
      <c r="BN379" s="41"/>
      <c r="BO379" s="41"/>
      <c r="BP379" s="41"/>
      <c r="BQ379" s="41"/>
      <c r="BR379" s="41"/>
      <c r="BS379" s="41"/>
      <c r="BT379" s="41"/>
      <c r="BU379" s="41"/>
      <c r="BV379" s="41"/>
      <c r="BW379" s="41"/>
      <c r="BX379" s="41"/>
      <c r="BY379" s="41"/>
      <c r="BZ379" s="41"/>
      <c r="CA379" s="41"/>
      <c r="CB379" s="41"/>
      <c r="CC379" s="41"/>
    </row>
    <row r="380" spans="1:8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  <c r="BC380" s="41"/>
      <c r="BD380" s="41"/>
      <c r="BE380" s="41"/>
      <c r="BF380" s="41"/>
      <c r="BG380" s="41"/>
      <c r="BH380" s="41"/>
      <c r="BI380" s="41"/>
      <c r="BJ380" s="41"/>
      <c r="BK380" s="41"/>
      <c r="BL380" s="41"/>
      <c r="BM380" s="41"/>
      <c r="BN380" s="41"/>
      <c r="BO380" s="41"/>
      <c r="BP380" s="41"/>
      <c r="BQ380" s="41"/>
      <c r="BR380" s="41"/>
      <c r="BS380" s="41"/>
      <c r="BT380" s="41"/>
      <c r="BU380" s="41"/>
      <c r="BV380" s="41"/>
      <c r="BW380" s="41"/>
      <c r="BX380" s="41"/>
      <c r="BY380" s="41"/>
      <c r="BZ380" s="41"/>
      <c r="CA380" s="41"/>
      <c r="CB380" s="41"/>
      <c r="CC380" s="41"/>
    </row>
    <row r="381" spans="1: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41"/>
      <c r="BG381" s="41"/>
      <c r="BH381" s="41"/>
      <c r="BI381" s="41"/>
      <c r="BJ381" s="41"/>
      <c r="BK381" s="41"/>
      <c r="BL381" s="41"/>
      <c r="BM381" s="41"/>
      <c r="BN381" s="41"/>
      <c r="BO381" s="41"/>
      <c r="BP381" s="41"/>
      <c r="BQ381" s="41"/>
      <c r="BR381" s="41"/>
      <c r="BS381" s="41"/>
      <c r="BT381" s="41"/>
      <c r="BU381" s="41"/>
      <c r="BV381" s="41"/>
      <c r="BW381" s="41"/>
      <c r="BX381" s="41"/>
      <c r="BY381" s="41"/>
      <c r="BZ381" s="41"/>
      <c r="CA381" s="41"/>
      <c r="CB381" s="41"/>
      <c r="CC381" s="41"/>
    </row>
    <row r="382" spans="1:8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1"/>
      <c r="BK382" s="41"/>
      <c r="BL382" s="41"/>
      <c r="BM382" s="41"/>
      <c r="BN382" s="41"/>
      <c r="BO382" s="41"/>
      <c r="BP382" s="41"/>
      <c r="BQ382" s="41"/>
      <c r="BR382" s="41"/>
      <c r="BS382" s="41"/>
      <c r="BT382" s="41"/>
      <c r="BU382" s="41"/>
      <c r="BV382" s="41"/>
      <c r="BW382" s="41"/>
      <c r="BX382" s="41"/>
      <c r="BY382" s="41"/>
      <c r="BZ382" s="41"/>
      <c r="CA382" s="41"/>
      <c r="CB382" s="41"/>
      <c r="CC382" s="41"/>
    </row>
    <row r="383" spans="1:8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1"/>
      <c r="BK383" s="41"/>
      <c r="BL383" s="41"/>
      <c r="BM383" s="41"/>
      <c r="BN383" s="41"/>
      <c r="BO383" s="41"/>
      <c r="BP383" s="41"/>
      <c r="BQ383" s="41"/>
      <c r="BR383" s="41"/>
      <c r="BS383" s="41"/>
      <c r="BT383" s="41"/>
      <c r="BU383" s="41"/>
      <c r="BV383" s="41"/>
      <c r="BW383" s="41"/>
      <c r="BX383" s="41"/>
      <c r="BY383" s="41"/>
      <c r="BZ383" s="41"/>
      <c r="CA383" s="41"/>
      <c r="CB383" s="41"/>
      <c r="CC383" s="41"/>
    </row>
    <row r="384" spans="1:8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41"/>
      <c r="BG384" s="41"/>
      <c r="BH384" s="41"/>
      <c r="BI384" s="41"/>
      <c r="BJ384" s="41"/>
      <c r="BK384" s="41"/>
      <c r="BL384" s="41"/>
      <c r="BM384" s="41"/>
      <c r="BN384" s="41"/>
      <c r="BO384" s="41"/>
      <c r="BP384" s="41"/>
      <c r="BQ384" s="41"/>
      <c r="BR384" s="41"/>
      <c r="BS384" s="41"/>
      <c r="BT384" s="41"/>
      <c r="BU384" s="41"/>
      <c r="BV384" s="41"/>
      <c r="BW384" s="41"/>
      <c r="BX384" s="41"/>
      <c r="BY384" s="41"/>
      <c r="BZ384" s="41"/>
      <c r="CA384" s="41"/>
      <c r="CB384" s="41"/>
      <c r="CC384" s="41"/>
    </row>
    <row r="385" spans="1:8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1"/>
      <c r="BK385" s="41"/>
      <c r="BL385" s="41"/>
      <c r="BM385" s="41"/>
      <c r="BN385" s="41"/>
      <c r="BO385" s="41"/>
      <c r="BP385" s="41"/>
      <c r="BQ385" s="41"/>
      <c r="BR385" s="41"/>
      <c r="BS385" s="41"/>
      <c r="BT385" s="41"/>
      <c r="BU385" s="41"/>
      <c r="BV385" s="41"/>
      <c r="BW385" s="41"/>
      <c r="BX385" s="41"/>
      <c r="BY385" s="41"/>
      <c r="BZ385" s="41"/>
      <c r="CA385" s="41"/>
      <c r="CB385" s="41"/>
      <c r="CC385" s="41"/>
    </row>
    <row r="386" spans="1:8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  <c r="BC386" s="41"/>
      <c r="BD386" s="41"/>
      <c r="BE386" s="41"/>
      <c r="BF386" s="41"/>
      <c r="BG386" s="41"/>
      <c r="BH386" s="41"/>
      <c r="BI386" s="41"/>
      <c r="BJ386" s="41"/>
      <c r="BK386" s="41"/>
      <c r="BL386" s="41"/>
      <c r="BM386" s="41"/>
      <c r="BN386" s="41"/>
      <c r="BO386" s="41"/>
      <c r="BP386" s="41"/>
      <c r="BQ386" s="41"/>
      <c r="BR386" s="41"/>
      <c r="BS386" s="41"/>
      <c r="BT386" s="41"/>
      <c r="BU386" s="41"/>
      <c r="BV386" s="41"/>
      <c r="BW386" s="41"/>
      <c r="BX386" s="41"/>
      <c r="BY386" s="41"/>
      <c r="BZ386" s="41"/>
      <c r="CA386" s="41"/>
      <c r="CB386" s="41"/>
      <c r="CC386" s="41"/>
    </row>
    <row r="387" spans="1:8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  <c r="BC387" s="41"/>
      <c r="BD387" s="41"/>
      <c r="BE387" s="41"/>
      <c r="BF387" s="41"/>
      <c r="BG387" s="41"/>
      <c r="BH387" s="41"/>
      <c r="BI387" s="41"/>
      <c r="BJ387" s="41"/>
      <c r="BK387" s="41"/>
      <c r="BL387" s="41"/>
      <c r="BM387" s="41"/>
      <c r="BN387" s="41"/>
      <c r="BO387" s="41"/>
      <c r="BP387" s="41"/>
      <c r="BQ387" s="41"/>
      <c r="BR387" s="41"/>
      <c r="BS387" s="41"/>
      <c r="BT387" s="41"/>
      <c r="BU387" s="41"/>
      <c r="BV387" s="41"/>
      <c r="BW387" s="41"/>
      <c r="BX387" s="41"/>
      <c r="BY387" s="41"/>
      <c r="BZ387" s="41"/>
      <c r="CA387" s="41"/>
      <c r="CB387" s="41"/>
      <c r="CC387" s="41"/>
    </row>
    <row r="388" spans="1:8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1"/>
      <c r="BE388" s="41"/>
      <c r="BF388" s="41"/>
      <c r="BG388" s="41"/>
      <c r="BH388" s="41"/>
      <c r="BI388" s="41"/>
      <c r="BJ388" s="41"/>
      <c r="BK388" s="41"/>
      <c r="BL388" s="41"/>
      <c r="BM388" s="41"/>
      <c r="BN388" s="41"/>
      <c r="BO388" s="41"/>
      <c r="BP388" s="41"/>
      <c r="BQ388" s="41"/>
      <c r="BR388" s="41"/>
      <c r="BS388" s="41"/>
      <c r="BT388" s="41"/>
      <c r="BU388" s="41"/>
      <c r="BV388" s="41"/>
      <c r="BW388" s="41"/>
      <c r="BX388" s="41"/>
      <c r="BY388" s="41"/>
      <c r="BZ388" s="41"/>
      <c r="CA388" s="41"/>
      <c r="CB388" s="41"/>
      <c r="CC388" s="41"/>
    </row>
    <row r="389" spans="1:8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/>
      <c r="BG389" s="41"/>
      <c r="BH389" s="41"/>
      <c r="BI389" s="41"/>
      <c r="BJ389" s="41"/>
      <c r="BK389" s="41"/>
      <c r="BL389" s="41"/>
      <c r="BM389" s="41"/>
      <c r="BN389" s="41"/>
      <c r="BO389" s="41"/>
      <c r="BP389" s="41"/>
      <c r="BQ389" s="41"/>
      <c r="BR389" s="41"/>
      <c r="BS389" s="41"/>
      <c r="BT389" s="41"/>
      <c r="BU389" s="41"/>
      <c r="BV389" s="41"/>
      <c r="BW389" s="41"/>
      <c r="BX389" s="41"/>
      <c r="BY389" s="41"/>
      <c r="BZ389" s="41"/>
      <c r="CA389" s="41"/>
      <c r="CB389" s="41"/>
      <c r="CC389" s="41"/>
    </row>
    <row r="390" spans="1:8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41"/>
      <c r="BG390" s="41"/>
      <c r="BH390" s="41"/>
      <c r="BI390" s="41"/>
      <c r="BJ390" s="41"/>
      <c r="BK390" s="41"/>
      <c r="BL390" s="41"/>
      <c r="BM390" s="41"/>
      <c r="BN390" s="41"/>
      <c r="BO390" s="41"/>
      <c r="BP390" s="41"/>
      <c r="BQ390" s="41"/>
      <c r="BR390" s="41"/>
      <c r="BS390" s="41"/>
      <c r="BT390" s="41"/>
      <c r="BU390" s="41"/>
      <c r="BV390" s="41"/>
      <c r="BW390" s="41"/>
      <c r="BX390" s="41"/>
      <c r="BY390" s="41"/>
      <c r="BZ390" s="41"/>
      <c r="CA390" s="41"/>
      <c r="CB390" s="41"/>
      <c r="CC390" s="41"/>
    </row>
    <row r="391" spans="1:8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41"/>
      <c r="BK391" s="41"/>
      <c r="BL391" s="41"/>
      <c r="BM391" s="41"/>
      <c r="BN391" s="41"/>
      <c r="BO391" s="41"/>
      <c r="BP391" s="41"/>
      <c r="BQ391" s="41"/>
      <c r="BR391" s="41"/>
      <c r="BS391" s="41"/>
      <c r="BT391" s="41"/>
      <c r="BU391" s="41"/>
      <c r="BV391" s="41"/>
      <c r="BW391" s="41"/>
      <c r="BX391" s="41"/>
      <c r="BY391" s="41"/>
      <c r="BZ391" s="41"/>
      <c r="CA391" s="41"/>
      <c r="CB391" s="41"/>
      <c r="CC391" s="41"/>
    </row>
    <row r="392" spans="1:8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/>
      <c r="BK392" s="41"/>
      <c r="BL392" s="41"/>
      <c r="BM392" s="41"/>
      <c r="BN392" s="41"/>
      <c r="BO392" s="41"/>
      <c r="BP392" s="41"/>
      <c r="BQ392" s="41"/>
      <c r="BR392" s="41"/>
      <c r="BS392" s="41"/>
      <c r="BT392" s="41"/>
      <c r="BU392" s="41"/>
      <c r="BV392" s="41"/>
      <c r="BW392" s="41"/>
      <c r="BX392" s="41"/>
      <c r="BY392" s="41"/>
      <c r="BZ392" s="41"/>
      <c r="CA392" s="41"/>
      <c r="CB392" s="41"/>
      <c r="CC392" s="41"/>
    </row>
    <row r="393" spans="1:8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1"/>
      <c r="BK393" s="41"/>
      <c r="BL393" s="41"/>
      <c r="BM393" s="41"/>
      <c r="BN393" s="41"/>
      <c r="BO393" s="41"/>
      <c r="BP393" s="41"/>
      <c r="BQ393" s="41"/>
      <c r="BR393" s="41"/>
      <c r="BS393" s="41"/>
      <c r="BT393" s="41"/>
      <c r="BU393" s="41"/>
      <c r="BV393" s="41"/>
      <c r="BW393" s="41"/>
      <c r="BX393" s="41"/>
      <c r="BY393" s="41"/>
      <c r="BZ393" s="41"/>
      <c r="CA393" s="41"/>
      <c r="CB393" s="41"/>
      <c r="CC393" s="41"/>
    </row>
    <row r="394" spans="1:8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41"/>
      <c r="BG394" s="41"/>
      <c r="BH394" s="41"/>
      <c r="BI394" s="41"/>
      <c r="BJ394" s="41"/>
      <c r="BK394" s="41"/>
      <c r="BL394" s="41"/>
      <c r="BM394" s="41"/>
      <c r="BN394" s="41"/>
      <c r="BO394" s="41"/>
      <c r="BP394" s="41"/>
      <c r="BQ394" s="41"/>
      <c r="BR394" s="41"/>
      <c r="BS394" s="41"/>
      <c r="BT394" s="41"/>
      <c r="BU394" s="41"/>
      <c r="BV394" s="41"/>
      <c r="BW394" s="41"/>
      <c r="BX394" s="41"/>
      <c r="BY394" s="41"/>
      <c r="BZ394" s="41"/>
      <c r="CA394" s="41"/>
      <c r="CB394" s="41"/>
      <c r="CC394" s="41"/>
    </row>
    <row r="395" spans="1:8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1"/>
      <c r="BK395" s="41"/>
      <c r="BL395" s="41"/>
      <c r="BM395" s="41"/>
      <c r="BN395" s="41"/>
      <c r="BO395" s="41"/>
      <c r="BP395" s="41"/>
      <c r="BQ395" s="41"/>
      <c r="BR395" s="41"/>
      <c r="BS395" s="41"/>
      <c r="BT395" s="41"/>
      <c r="BU395" s="41"/>
      <c r="BV395" s="41"/>
      <c r="BW395" s="41"/>
      <c r="BX395" s="41"/>
      <c r="BY395" s="41"/>
      <c r="BZ395" s="41"/>
      <c r="CA395" s="41"/>
      <c r="CB395" s="41"/>
      <c r="CC395" s="41"/>
    </row>
    <row r="396" spans="1:8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1"/>
      <c r="BK396" s="41"/>
      <c r="BL396" s="41"/>
      <c r="BM396" s="41"/>
      <c r="BN396" s="41"/>
      <c r="BO396" s="41"/>
      <c r="BP396" s="41"/>
      <c r="BQ396" s="41"/>
      <c r="BR396" s="41"/>
      <c r="BS396" s="41"/>
      <c r="BT396" s="41"/>
      <c r="BU396" s="41"/>
      <c r="BV396" s="41"/>
      <c r="BW396" s="41"/>
      <c r="BX396" s="41"/>
      <c r="BY396" s="41"/>
      <c r="BZ396" s="41"/>
      <c r="CA396" s="41"/>
      <c r="CB396" s="41"/>
      <c r="CC396" s="41"/>
    </row>
    <row r="397" spans="1:8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1"/>
      <c r="BK397" s="41"/>
      <c r="BL397" s="41"/>
      <c r="BM397" s="41"/>
      <c r="BN397" s="41"/>
      <c r="BO397" s="41"/>
      <c r="BP397" s="41"/>
      <c r="BQ397" s="41"/>
      <c r="BR397" s="41"/>
      <c r="BS397" s="41"/>
      <c r="BT397" s="41"/>
      <c r="BU397" s="41"/>
      <c r="BV397" s="41"/>
      <c r="BW397" s="41"/>
      <c r="BX397" s="41"/>
      <c r="BY397" s="41"/>
      <c r="BZ397" s="41"/>
      <c r="CA397" s="41"/>
      <c r="CB397" s="41"/>
      <c r="CC397" s="41"/>
    </row>
    <row r="398" spans="1:8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1"/>
      <c r="BK398" s="41"/>
      <c r="BL398" s="41"/>
      <c r="BM398" s="41"/>
      <c r="BN398" s="41"/>
      <c r="BO398" s="41"/>
      <c r="BP398" s="41"/>
      <c r="BQ398" s="41"/>
      <c r="BR398" s="41"/>
      <c r="BS398" s="41"/>
      <c r="BT398" s="41"/>
      <c r="BU398" s="41"/>
      <c r="BV398" s="41"/>
      <c r="BW398" s="41"/>
      <c r="BX398" s="41"/>
      <c r="BY398" s="41"/>
      <c r="BZ398" s="41"/>
      <c r="CA398" s="41"/>
      <c r="CB398" s="41"/>
      <c r="CC398" s="41"/>
    </row>
    <row r="399" spans="1:8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/>
      <c r="BK399" s="41"/>
      <c r="BL399" s="41"/>
      <c r="BM399" s="41"/>
      <c r="BN399" s="41"/>
      <c r="BO399" s="41"/>
      <c r="BP399" s="41"/>
      <c r="BQ399" s="41"/>
      <c r="BR399" s="41"/>
      <c r="BS399" s="41"/>
      <c r="BT399" s="41"/>
      <c r="BU399" s="41"/>
      <c r="BV399" s="41"/>
      <c r="BW399" s="41"/>
      <c r="BX399" s="41"/>
      <c r="BY399" s="41"/>
      <c r="BZ399" s="41"/>
      <c r="CA399" s="41"/>
      <c r="CB399" s="41"/>
      <c r="CC399" s="41"/>
    </row>
    <row r="400" spans="1:8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1"/>
      <c r="BK400" s="41"/>
      <c r="BL400" s="41"/>
      <c r="BM400" s="41"/>
      <c r="BN400" s="41"/>
      <c r="BO400" s="41"/>
      <c r="BP400" s="41"/>
      <c r="BQ400" s="41"/>
      <c r="BR400" s="41"/>
      <c r="BS400" s="41"/>
      <c r="BT400" s="41"/>
      <c r="BU400" s="41"/>
      <c r="BV400" s="41"/>
      <c r="BW400" s="41"/>
      <c r="BX400" s="41"/>
      <c r="BY400" s="41"/>
      <c r="BZ400" s="41"/>
      <c r="CA400" s="41"/>
      <c r="CB400" s="41"/>
      <c r="CC400" s="41"/>
    </row>
    <row r="401" spans="1:8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  <c r="BC401" s="41"/>
      <c r="BD401" s="41"/>
      <c r="BE401" s="41"/>
      <c r="BF401" s="41"/>
      <c r="BG401" s="41"/>
      <c r="BH401" s="41"/>
      <c r="BI401" s="41"/>
      <c r="BJ401" s="41"/>
      <c r="BK401" s="41"/>
      <c r="BL401" s="41"/>
      <c r="BM401" s="41"/>
      <c r="BN401" s="41"/>
      <c r="BO401" s="41"/>
      <c r="BP401" s="41"/>
      <c r="BQ401" s="41"/>
      <c r="BR401" s="41"/>
      <c r="BS401" s="41"/>
      <c r="BT401" s="41"/>
      <c r="BU401" s="41"/>
      <c r="BV401" s="41"/>
      <c r="BW401" s="41"/>
      <c r="BX401" s="41"/>
      <c r="BY401" s="41"/>
      <c r="BZ401" s="41"/>
      <c r="CA401" s="41"/>
      <c r="CB401" s="41"/>
      <c r="CC401" s="41"/>
    </row>
    <row r="402" spans="1:8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1"/>
      <c r="BK402" s="41"/>
      <c r="BL402" s="41"/>
      <c r="BM402" s="41"/>
      <c r="BN402" s="41"/>
      <c r="BO402" s="41"/>
      <c r="BP402" s="41"/>
      <c r="BQ402" s="41"/>
      <c r="BR402" s="41"/>
      <c r="BS402" s="41"/>
      <c r="BT402" s="41"/>
      <c r="BU402" s="41"/>
      <c r="BV402" s="41"/>
      <c r="BW402" s="41"/>
      <c r="BX402" s="41"/>
      <c r="BY402" s="41"/>
      <c r="BZ402" s="41"/>
      <c r="CA402" s="41"/>
      <c r="CB402" s="41"/>
      <c r="CC402" s="41"/>
    </row>
    <row r="403" spans="1:8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/>
      <c r="BJ403" s="41"/>
      <c r="BK403" s="41"/>
      <c r="BL403" s="41"/>
      <c r="BM403" s="41"/>
      <c r="BN403" s="41"/>
      <c r="BO403" s="41"/>
      <c r="BP403" s="41"/>
      <c r="BQ403" s="41"/>
      <c r="BR403" s="41"/>
      <c r="BS403" s="41"/>
      <c r="BT403" s="41"/>
      <c r="BU403" s="41"/>
      <c r="BV403" s="41"/>
      <c r="BW403" s="41"/>
      <c r="BX403" s="41"/>
      <c r="BY403" s="41"/>
      <c r="BZ403" s="41"/>
      <c r="CA403" s="41"/>
      <c r="CB403" s="41"/>
      <c r="CC403" s="41"/>
    </row>
    <row r="404" spans="1:8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1"/>
      <c r="BK404" s="41"/>
      <c r="BL404" s="41"/>
      <c r="BM404" s="41"/>
      <c r="BN404" s="41"/>
      <c r="BO404" s="41"/>
      <c r="BP404" s="41"/>
      <c r="BQ404" s="41"/>
      <c r="BR404" s="41"/>
      <c r="BS404" s="41"/>
      <c r="BT404" s="41"/>
      <c r="BU404" s="41"/>
      <c r="BV404" s="41"/>
      <c r="BW404" s="41"/>
      <c r="BX404" s="41"/>
      <c r="BY404" s="41"/>
      <c r="BZ404" s="41"/>
      <c r="CA404" s="41"/>
      <c r="CB404" s="41"/>
      <c r="CC404" s="41"/>
    </row>
    <row r="405" spans="1:8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1"/>
      <c r="BK405" s="41"/>
      <c r="BL405" s="41"/>
      <c r="BM405" s="41"/>
      <c r="BN405" s="41"/>
      <c r="BO405" s="41"/>
      <c r="BP405" s="41"/>
      <c r="BQ405" s="41"/>
      <c r="BR405" s="41"/>
      <c r="BS405" s="41"/>
      <c r="BT405" s="41"/>
      <c r="BU405" s="41"/>
      <c r="BV405" s="41"/>
      <c r="BW405" s="41"/>
      <c r="BX405" s="41"/>
      <c r="BY405" s="41"/>
      <c r="BZ405" s="41"/>
      <c r="CA405" s="41"/>
      <c r="CB405" s="41"/>
      <c r="CC405" s="41"/>
    </row>
    <row r="406" spans="1:8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/>
      <c r="BK406" s="41"/>
      <c r="BL406" s="41"/>
      <c r="BM406" s="41"/>
      <c r="BN406" s="41"/>
      <c r="BO406" s="41"/>
      <c r="BP406" s="41"/>
      <c r="BQ406" s="41"/>
      <c r="BR406" s="41"/>
      <c r="BS406" s="41"/>
      <c r="BT406" s="41"/>
      <c r="BU406" s="41"/>
      <c r="BV406" s="41"/>
      <c r="BW406" s="41"/>
      <c r="BX406" s="41"/>
      <c r="BY406" s="41"/>
      <c r="BZ406" s="41"/>
      <c r="CA406" s="41"/>
      <c r="CB406" s="41"/>
      <c r="CC406" s="41"/>
    </row>
    <row r="407" spans="1:8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1"/>
      <c r="BK407" s="41"/>
      <c r="BL407" s="41"/>
      <c r="BM407" s="41"/>
      <c r="BN407" s="41"/>
      <c r="BO407" s="41"/>
      <c r="BP407" s="41"/>
      <c r="BQ407" s="41"/>
      <c r="BR407" s="41"/>
      <c r="BS407" s="41"/>
      <c r="BT407" s="41"/>
      <c r="BU407" s="41"/>
      <c r="BV407" s="41"/>
      <c r="BW407" s="41"/>
      <c r="BX407" s="41"/>
      <c r="BY407" s="41"/>
      <c r="BZ407" s="41"/>
      <c r="CA407" s="41"/>
      <c r="CB407" s="41"/>
      <c r="CC407" s="41"/>
    </row>
    <row r="408" spans="1:8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/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1"/>
      <c r="CA408" s="41"/>
      <c r="CB408" s="41"/>
      <c r="CC408" s="41"/>
    </row>
    <row r="409" spans="1:8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  <c r="BC409" s="41"/>
      <c r="BD409" s="41"/>
      <c r="BE409" s="41"/>
      <c r="BF409" s="41"/>
      <c r="BG409" s="41"/>
      <c r="BH409" s="41"/>
      <c r="BI409" s="41"/>
      <c r="BJ409" s="41"/>
      <c r="BK409" s="41"/>
      <c r="BL409" s="41"/>
      <c r="BM409" s="41"/>
      <c r="BN409" s="41"/>
      <c r="BO409" s="41"/>
      <c r="BP409" s="41"/>
      <c r="BQ409" s="41"/>
      <c r="BR409" s="41"/>
      <c r="BS409" s="41"/>
      <c r="BT409" s="41"/>
      <c r="BU409" s="41"/>
      <c r="BV409" s="41"/>
      <c r="BW409" s="41"/>
      <c r="BX409" s="41"/>
      <c r="BY409" s="41"/>
      <c r="BZ409" s="41"/>
      <c r="CA409" s="41"/>
      <c r="CB409" s="41"/>
      <c r="CC409" s="41"/>
    </row>
    <row r="410" spans="1:8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/>
      <c r="BK410" s="41"/>
      <c r="BL410" s="41"/>
      <c r="BM410" s="41"/>
      <c r="BN410" s="41"/>
      <c r="BO410" s="41"/>
      <c r="BP410" s="41"/>
      <c r="BQ410" s="41"/>
      <c r="BR410" s="41"/>
      <c r="BS410" s="41"/>
      <c r="BT410" s="41"/>
      <c r="BU410" s="41"/>
      <c r="BV410" s="41"/>
      <c r="BW410" s="41"/>
      <c r="BX410" s="41"/>
      <c r="BY410" s="41"/>
      <c r="BZ410" s="41"/>
      <c r="CA410" s="41"/>
      <c r="CB410" s="41"/>
      <c r="CC410" s="41"/>
    </row>
    <row r="411" spans="1:8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/>
      <c r="BK411" s="41"/>
      <c r="BL411" s="41"/>
      <c r="BM411" s="41"/>
      <c r="BN411" s="41"/>
      <c r="BO411" s="41"/>
      <c r="BP411" s="41"/>
      <c r="BQ411" s="41"/>
      <c r="BR411" s="41"/>
      <c r="BS411" s="41"/>
      <c r="BT411" s="41"/>
      <c r="BU411" s="41"/>
      <c r="BV411" s="41"/>
      <c r="BW411" s="41"/>
      <c r="BX411" s="41"/>
      <c r="BY411" s="41"/>
      <c r="BZ411" s="41"/>
      <c r="CA411" s="41"/>
      <c r="CB411" s="41"/>
      <c r="CC411" s="41"/>
    </row>
    <row r="412" spans="1:8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  <c r="BG412" s="41"/>
      <c r="BH412" s="41"/>
      <c r="BI412" s="41"/>
      <c r="BJ412" s="41"/>
      <c r="BK412" s="41"/>
      <c r="BL412" s="41"/>
      <c r="BM412" s="41"/>
      <c r="BN412" s="41"/>
      <c r="BO412" s="41"/>
      <c r="BP412" s="41"/>
      <c r="BQ412" s="41"/>
      <c r="BR412" s="41"/>
      <c r="BS412" s="41"/>
      <c r="BT412" s="41"/>
      <c r="BU412" s="41"/>
      <c r="BV412" s="41"/>
      <c r="BW412" s="41"/>
      <c r="BX412" s="41"/>
      <c r="BY412" s="41"/>
      <c r="BZ412" s="41"/>
      <c r="CA412" s="41"/>
      <c r="CB412" s="41"/>
      <c r="CC412" s="41"/>
    </row>
    <row r="413" spans="1:8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/>
      <c r="BK413" s="41"/>
      <c r="BL413" s="41"/>
      <c r="BM413" s="41"/>
      <c r="BN413" s="41"/>
      <c r="BO413" s="41"/>
      <c r="BP413" s="41"/>
      <c r="BQ413" s="41"/>
      <c r="BR413" s="41"/>
      <c r="BS413" s="41"/>
      <c r="BT413" s="41"/>
      <c r="BU413" s="41"/>
      <c r="BV413" s="41"/>
      <c r="BW413" s="41"/>
      <c r="BX413" s="41"/>
      <c r="BY413" s="41"/>
      <c r="BZ413" s="41"/>
      <c r="CA413" s="41"/>
      <c r="CB413" s="41"/>
      <c r="CC413" s="41"/>
    </row>
    <row r="414" spans="1:8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/>
      <c r="BK414" s="41"/>
      <c r="BL414" s="41"/>
      <c r="BM414" s="41"/>
      <c r="BN414" s="41"/>
      <c r="BO414" s="41"/>
      <c r="BP414" s="41"/>
      <c r="BQ414" s="41"/>
      <c r="BR414" s="41"/>
      <c r="BS414" s="41"/>
      <c r="BT414" s="41"/>
      <c r="BU414" s="41"/>
      <c r="BV414" s="41"/>
      <c r="BW414" s="41"/>
      <c r="BX414" s="41"/>
      <c r="BY414" s="41"/>
      <c r="BZ414" s="41"/>
      <c r="CA414" s="41"/>
      <c r="CB414" s="41"/>
      <c r="CC414" s="41"/>
    </row>
    <row r="415" spans="1:8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/>
      <c r="BK415" s="41"/>
      <c r="BL415" s="41"/>
      <c r="BM415" s="41"/>
      <c r="BN415" s="41"/>
      <c r="BO415" s="41"/>
      <c r="BP415" s="41"/>
      <c r="BQ415" s="41"/>
      <c r="BR415" s="41"/>
      <c r="BS415" s="41"/>
      <c r="BT415" s="41"/>
      <c r="BU415" s="41"/>
      <c r="BV415" s="41"/>
      <c r="BW415" s="41"/>
      <c r="BX415" s="41"/>
      <c r="BY415" s="41"/>
      <c r="BZ415" s="41"/>
      <c r="CA415" s="41"/>
      <c r="CB415" s="41"/>
      <c r="CC415" s="41"/>
    </row>
    <row r="416" spans="1:8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1"/>
      <c r="BK416" s="41"/>
      <c r="BL416" s="41"/>
      <c r="BM416" s="41"/>
      <c r="BN416" s="41"/>
      <c r="BO416" s="41"/>
      <c r="BP416" s="41"/>
      <c r="BQ416" s="41"/>
      <c r="BR416" s="41"/>
      <c r="BS416" s="41"/>
      <c r="BT416" s="41"/>
      <c r="BU416" s="41"/>
      <c r="BV416" s="41"/>
      <c r="BW416" s="41"/>
      <c r="BX416" s="41"/>
      <c r="BY416" s="41"/>
      <c r="BZ416" s="41"/>
      <c r="CA416" s="41"/>
      <c r="CB416" s="41"/>
      <c r="CC416" s="41"/>
    </row>
    <row r="417" spans="1:8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41"/>
      <c r="BG417" s="41"/>
      <c r="BH417" s="41"/>
      <c r="BI417" s="41"/>
      <c r="BJ417" s="41"/>
      <c r="BK417" s="41"/>
      <c r="BL417" s="41"/>
      <c r="BM417" s="41"/>
      <c r="BN417" s="41"/>
      <c r="BO417" s="41"/>
      <c r="BP417" s="41"/>
      <c r="BQ417" s="41"/>
      <c r="BR417" s="41"/>
      <c r="BS417" s="41"/>
      <c r="BT417" s="41"/>
      <c r="BU417" s="41"/>
      <c r="BV417" s="41"/>
      <c r="BW417" s="41"/>
      <c r="BX417" s="41"/>
      <c r="BY417" s="41"/>
      <c r="BZ417" s="41"/>
      <c r="CA417" s="41"/>
      <c r="CB417" s="41"/>
      <c r="CC417" s="41"/>
    </row>
    <row r="418" spans="1:8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41"/>
      <c r="BG418" s="41"/>
      <c r="BH418" s="41"/>
      <c r="BI418" s="41"/>
      <c r="BJ418" s="41"/>
      <c r="BK418" s="41"/>
      <c r="BL418" s="41"/>
      <c r="BM418" s="41"/>
      <c r="BN418" s="41"/>
      <c r="BO418" s="41"/>
      <c r="BP418" s="41"/>
      <c r="BQ418" s="41"/>
      <c r="BR418" s="41"/>
      <c r="BS418" s="41"/>
      <c r="BT418" s="41"/>
      <c r="BU418" s="41"/>
      <c r="BV418" s="41"/>
      <c r="BW418" s="41"/>
      <c r="BX418" s="41"/>
      <c r="BY418" s="41"/>
      <c r="BZ418" s="41"/>
      <c r="CA418" s="41"/>
      <c r="CB418" s="41"/>
      <c r="CC418" s="41"/>
    </row>
    <row r="419" spans="1:8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41"/>
      <c r="BG419" s="41"/>
      <c r="BH419" s="41"/>
      <c r="BI419" s="41"/>
      <c r="BJ419" s="41"/>
      <c r="BK419" s="41"/>
      <c r="BL419" s="41"/>
      <c r="BM419" s="41"/>
      <c r="BN419" s="41"/>
      <c r="BO419" s="41"/>
      <c r="BP419" s="41"/>
      <c r="BQ419" s="41"/>
      <c r="BR419" s="41"/>
      <c r="BS419" s="41"/>
      <c r="BT419" s="41"/>
      <c r="BU419" s="41"/>
      <c r="BV419" s="41"/>
      <c r="BW419" s="41"/>
      <c r="BX419" s="41"/>
      <c r="BY419" s="41"/>
      <c r="BZ419" s="41"/>
      <c r="CA419" s="41"/>
      <c r="CB419" s="41"/>
      <c r="CC419" s="41"/>
    </row>
    <row r="420" spans="1:8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1"/>
      <c r="BE420" s="41"/>
      <c r="BF420" s="41"/>
      <c r="BG420" s="41"/>
      <c r="BH420" s="41"/>
      <c r="BI420" s="41"/>
      <c r="BJ420" s="41"/>
      <c r="BK420" s="41"/>
      <c r="BL420" s="41"/>
      <c r="BM420" s="41"/>
      <c r="BN420" s="41"/>
      <c r="BO420" s="41"/>
      <c r="BP420" s="41"/>
      <c r="BQ420" s="41"/>
      <c r="BR420" s="41"/>
      <c r="BS420" s="41"/>
      <c r="BT420" s="41"/>
      <c r="BU420" s="41"/>
      <c r="BV420" s="41"/>
      <c r="BW420" s="41"/>
      <c r="BX420" s="41"/>
      <c r="BY420" s="41"/>
      <c r="BZ420" s="41"/>
      <c r="CA420" s="41"/>
      <c r="CB420" s="41"/>
      <c r="CC420" s="41"/>
    </row>
    <row r="421" spans="1:8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41"/>
      <c r="BG421" s="41"/>
      <c r="BH421" s="41"/>
      <c r="BI421" s="41"/>
      <c r="BJ421" s="41"/>
      <c r="BK421" s="41"/>
      <c r="BL421" s="41"/>
      <c r="BM421" s="41"/>
      <c r="BN421" s="41"/>
      <c r="BO421" s="41"/>
      <c r="BP421" s="41"/>
      <c r="BQ421" s="41"/>
      <c r="BR421" s="41"/>
      <c r="BS421" s="41"/>
      <c r="BT421" s="41"/>
      <c r="BU421" s="41"/>
      <c r="BV421" s="41"/>
      <c r="BW421" s="41"/>
      <c r="BX421" s="41"/>
      <c r="BY421" s="41"/>
      <c r="BZ421" s="41"/>
      <c r="CA421" s="41"/>
      <c r="CB421" s="41"/>
      <c r="CC421" s="41"/>
    </row>
    <row r="422" spans="1:8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  <c r="BC422" s="41"/>
      <c r="BD422" s="41"/>
      <c r="BE422" s="41"/>
      <c r="BF422" s="41"/>
      <c r="BG422" s="41"/>
      <c r="BH422" s="41"/>
      <c r="BI422" s="41"/>
      <c r="BJ422" s="41"/>
      <c r="BK422" s="41"/>
      <c r="BL422" s="41"/>
      <c r="BM422" s="41"/>
      <c r="BN422" s="41"/>
      <c r="BO422" s="41"/>
      <c r="BP422" s="41"/>
      <c r="BQ422" s="41"/>
      <c r="BR422" s="41"/>
      <c r="BS422" s="41"/>
      <c r="BT422" s="41"/>
      <c r="BU422" s="41"/>
      <c r="BV422" s="41"/>
      <c r="BW422" s="41"/>
      <c r="BX422" s="41"/>
      <c r="BY422" s="41"/>
      <c r="BZ422" s="41"/>
      <c r="CA422" s="41"/>
      <c r="CB422" s="41"/>
      <c r="CC422" s="41"/>
    </row>
    <row r="423" spans="1:8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  <c r="BC423" s="41"/>
      <c r="BD423" s="41"/>
      <c r="BE423" s="41"/>
      <c r="BF423" s="41"/>
      <c r="BG423" s="41"/>
      <c r="BH423" s="41"/>
      <c r="BI423" s="41"/>
      <c r="BJ423" s="41"/>
      <c r="BK423" s="41"/>
      <c r="BL423" s="41"/>
      <c r="BM423" s="41"/>
      <c r="BN423" s="41"/>
      <c r="BO423" s="41"/>
      <c r="BP423" s="41"/>
      <c r="BQ423" s="41"/>
      <c r="BR423" s="41"/>
      <c r="BS423" s="41"/>
      <c r="BT423" s="41"/>
      <c r="BU423" s="41"/>
      <c r="BV423" s="41"/>
      <c r="BW423" s="41"/>
      <c r="BX423" s="41"/>
      <c r="BY423" s="41"/>
      <c r="BZ423" s="41"/>
      <c r="CA423" s="41"/>
      <c r="CB423" s="41"/>
      <c r="CC423" s="41"/>
    </row>
    <row r="424" spans="1:8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41"/>
      <c r="BG424" s="41"/>
      <c r="BH424" s="41"/>
      <c r="BI424" s="41"/>
      <c r="BJ424" s="41"/>
      <c r="BK424" s="41"/>
      <c r="BL424" s="41"/>
      <c r="BM424" s="41"/>
      <c r="BN424" s="41"/>
      <c r="BO424" s="41"/>
      <c r="BP424" s="41"/>
      <c r="BQ424" s="41"/>
      <c r="BR424" s="41"/>
      <c r="BS424" s="41"/>
      <c r="BT424" s="41"/>
      <c r="BU424" s="41"/>
      <c r="BV424" s="41"/>
      <c r="BW424" s="41"/>
      <c r="BX424" s="41"/>
      <c r="BY424" s="41"/>
      <c r="BZ424" s="41"/>
      <c r="CA424" s="41"/>
      <c r="CB424" s="41"/>
      <c r="CC424" s="41"/>
    </row>
    <row r="425" spans="1:8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  <c r="BC425" s="41"/>
      <c r="BD425" s="41"/>
      <c r="BE425" s="41"/>
      <c r="BF425" s="41"/>
      <c r="BG425" s="41"/>
      <c r="BH425" s="41"/>
      <c r="BI425" s="41"/>
      <c r="BJ425" s="41"/>
      <c r="BK425" s="41"/>
      <c r="BL425" s="41"/>
      <c r="BM425" s="41"/>
      <c r="BN425" s="41"/>
      <c r="BO425" s="41"/>
      <c r="BP425" s="41"/>
      <c r="BQ425" s="41"/>
      <c r="BR425" s="41"/>
      <c r="BS425" s="41"/>
      <c r="BT425" s="41"/>
      <c r="BU425" s="41"/>
      <c r="BV425" s="41"/>
      <c r="BW425" s="41"/>
      <c r="BX425" s="41"/>
      <c r="BY425" s="41"/>
      <c r="BZ425" s="41"/>
      <c r="CA425" s="41"/>
      <c r="CB425" s="41"/>
      <c r="CC425" s="41"/>
    </row>
    <row r="426" spans="1:8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1"/>
      <c r="BK426" s="41"/>
      <c r="BL426" s="41"/>
      <c r="BM426" s="41"/>
      <c r="BN426" s="41"/>
      <c r="BO426" s="41"/>
      <c r="BP426" s="41"/>
      <c r="BQ426" s="41"/>
      <c r="BR426" s="41"/>
      <c r="BS426" s="41"/>
      <c r="BT426" s="41"/>
      <c r="BU426" s="41"/>
      <c r="BV426" s="41"/>
      <c r="BW426" s="41"/>
      <c r="BX426" s="41"/>
      <c r="BY426" s="41"/>
      <c r="BZ426" s="41"/>
      <c r="CA426" s="41"/>
      <c r="CB426" s="41"/>
      <c r="CC426" s="41"/>
    </row>
    <row r="427" spans="1:8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41"/>
      <c r="BG427" s="41"/>
      <c r="BH427" s="41"/>
      <c r="BI427" s="41"/>
      <c r="BJ427" s="41"/>
      <c r="BK427" s="41"/>
      <c r="BL427" s="41"/>
      <c r="BM427" s="41"/>
      <c r="BN427" s="41"/>
      <c r="BO427" s="41"/>
      <c r="BP427" s="41"/>
      <c r="BQ427" s="41"/>
      <c r="BR427" s="41"/>
      <c r="BS427" s="41"/>
      <c r="BT427" s="41"/>
      <c r="BU427" s="41"/>
      <c r="BV427" s="41"/>
      <c r="BW427" s="41"/>
      <c r="BX427" s="41"/>
      <c r="BY427" s="41"/>
      <c r="BZ427" s="41"/>
      <c r="CA427" s="41"/>
      <c r="CB427" s="41"/>
      <c r="CC427" s="41"/>
    </row>
    <row r="428" spans="1:8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1"/>
      <c r="BE428" s="41"/>
      <c r="BF428" s="41"/>
      <c r="BG428" s="41"/>
      <c r="BH428" s="41"/>
      <c r="BI428" s="41"/>
      <c r="BJ428" s="41"/>
      <c r="BK428" s="41"/>
      <c r="BL428" s="41"/>
      <c r="BM428" s="41"/>
      <c r="BN428" s="41"/>
      <c r="BO428" s="41"/>
      <c r="BP428" s="41"/>
      <c r="BQ428" s="41"/>
      <c r="BR428" s="41"/>
      <c r="BS428" s="41"/>
      <c r="BT428" s="41"/>
      <c r="BU428" s="41"/>
      <c r="BV428" s="41"/>
      <c r="BW428" s="41"/>
      <c r="BX428" s="41"/>
      <c r="BY428" s="41"/>
      <c r="BZ428" s="41"/>
      <c r="CA428" s="41"/>
      <c r="CB428" s="41"/>
      <c r="CC428" s="41"/>
    </row>
    <row r="429" spans="1:8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41"/>
      <c r="BG429" s="41"/>
      <c r="BH429" s="41"/>
      <c r="BI429" s="41"/>
      <c r="BJ429" s="41"/>
      <c r="BK429" s="41"/>
      <c r="BL429" s="41"/>
      <c r="BM429" s="41"/>
      <c r="BN429" s="41"/>
      <c r="BO429" s="41"/>
      <c r="BP429" s="41"/>
      <c r="BQ429" s="41"/>
      <c r="BR429" s="41"/>
      <c r="BS429" s="41"/>
      <c r="BT429" s="41"/>
      <c r="BU429" s="41"/>
      <c r="BV429" s="41"/>
      <c r="BW429" s="41"/>
      <c r="BX429" s="41"/>
      <c r="BY429" s="41"/>
      <c r="BZ429" s="41"/>
      <c r="CA429" s="41"/>
      <c r="CB429" s="41"/>
      <c r="CC429" s="41"/>
    </row>
    <row r="430" spans="1:8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1"/>
      <c r="BE430" s="41"/>
      <c r="BF430" s="41"/>
      <c r="BG430" s="41"/>
      <c r="BH430" s="41"/>
      <c r="BI430" s="41"/>
      <c r="BJ430" s="41"/>
      <c r="BK430" s="41"/>
      <c r="BL430" s="41"/>
      <c r="BM430" s="41"/>
      <c r="BN430" s="41"/>
      <c r="BO430" s="41"/>
      <c r="BP430" s="41"/>
      <c r="BQ430" s="41"/>
      <c r="BR430" s="41"/>
      <c r="BS430" s="41"/>
      <c r="BT430" s="41"/>
      <c r="BU430" s="41"/>
      <c r="BV430" s="41"/>
      <c r="BW430" s="41"/>
      <c r="BX430" s="41"/>
      <c r="BY430" s="41"/>
      <c r="BZ430" s="41"/>
      <c r="CA430" s="41"/>
      <c r="CB430" s="41"/>
      <c r="CC430" s="41"/>
    </row>
    <row r="431" spans="1:8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/>
      <c r="BK431" s="41"/>
      <c r="BL431" s="41"/>
      <c r="BM431" s="41"/>
      <c r="BN431" s="41"/>
      <c r="BO431" s="41"/>
      <c r="BP431" s="41"/>
      <c r="BQ431" s="41"/>
      <c r="BR431" s="41"/>
      <c r="BS431" s="41"/>
      <c r="BT431" s="41"/>
      <c r="BU431" s="41"/>
      <c r="BV431" s="41"/>
      <c r="BW431" s="41"/>
      <c r="BX431" s="41"/>
      <c r="BY431" s="41"/>
      <c r="BZ431" s="41"/>
      <c r="CA431" s="41"/>
      <c r="CB431" s="41"/>
      <c r="CC431" s="41"/>
    </row>
    <row r="432" spans="1:8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  <c r="BG432" s="41"/>
      <c r="BH432" s="41"/>
      <c r="BI432" s="41"/>
      <c r="BJ432" s="41"/>
      <c r="BK432" s="41"/>
      <c r="BL432" s="41"/>
      <c r="BM432" s="41"/>
      <c r="BN432" s="41"/>
      <c r="BO432" s="41"/>
      <c r="BP432" s="41"/>
      <c r="BQ432" s="41"/>
      <c r="BR432" s="41"/>
      <c r="BS432" s="41"/>
      <c r="BT432" s="41"/>
      <c r="BU432" s="41"/>
      <c r="BV432" s="41"/>
      <c r="BW432" s="41"/>
      <c r="BX432" s="41"/>
      <c r="BY432" s="41"/>
      <c r="BZ432" s="41"/>
      <c r="CA432" s="41"/>
      <c r="CB432" s="41"/>
      <c r="CC432" s="41"/>
    </row>
    <row r="433" spans="1:8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1"/>
      <c r="BK433" s="41"/>
      <c r="BL433" s="41"/>
      <c r="BM433" s="41"/>
      <c r="BN433" s="41"/>
      <c r="BO433" s="41"/>
      <c r="BP433" s="41"/>
      <c r="BQ433" s="41"/>
      <c r="BR433" s="41"/>
      <c r="BS433" s="41"/>
      <c r="BT433" s="41"/>
      <c r="BU433" s="41"/>
      <c r="BV433" s="41"/>
      <c r="BW433" s="41"/>
      <c r="BX433" s="41"/>
      <c r="BY433" s="41"/>
      <c r="BZ433" s="41"/>
      <c r="CA433" s="41"/>
      <c r="CB433" s="41"/>
      <c r="CC433" s="41"/>
    </row>
    <row r="434" spans="1:8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41"/>
      <c r="BG434" s="41"/>
      <c r="BH434" s="41"/>
      <c r="BI434" s="41"/>
      <c r="BJ434" s="41"/>
      <c r="BK434" s="41"/>
      <c r="BL434" s="41"/>
      <c r="BM434" s="41"/>
      <c r="BN434" s="41"/>
      <c r="BO434" s="41"/>
      <c r="BP434" s="41"/>
      <c r="BQ434" s="41"/>
      <c r="BR434" s="41"/>
      <c r="BS434" s="41"/>
      <c r="BT434" s="41"/>
      <c r="BU434" s="41"/>
      <c r="BV434" s="41"/>
      <c r="BW434" s="41"/>
      <c r="BX434" s="41"/>
      <c r="BY434" s="41"/>
      <c r="BZ434" s="41"/>
      <c r="CA434" s="41"/>
      <c r="CB434" s="41"/>
      <c r="CC434" s="41"/>
    </row>
    <row r="435" spans="1:8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/>
      <c r="BK435" s="41"/>
      <c r="BL435" s="41"/>
      <c r="BM435" s="41"/>
      <c r="BN435" s="41"/>
      <c r="BO435" s="41"/>
      <c r="BP435" s="41"/>
      <c r="BQ435" s="41"/>
      <c r="BR435" s="41"/>
      <c r="BS435" s="41"/>
      <c r="BT435" s="41"/>
      <c r="BU435" s="41"/>
      <c r="BV435" s="41"/>
      <c r="BW435" s="41"/>
      <c r="BX435" s="41"/>
      <c r="BY435" s="41"/>
      <c r="BZ435" s="41"/>
      <c r="CA435" s="41"/>
      <c r="CB435" s="41"/>
      <c r="CC435" s="41"/>
    </row>
    <row r="436" spans="1:8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1"/>
      <c r="BG436" s="41"/>
      <c r="BH436" s="41"/>
      <c r="BI436" s="41"/>
      <c r="BJ436" s="41"/>
      <c r="BK436" s="41"/>
      <c r="BL436" s="41"/>
      <c r="BM436" s="41"/>
      <c r="BN436" s="41"/>
      <c r="BO436" s="41"/>
      <c r="BP436" s="41"/>
      <c r="BQ436" s="41"/>
      <c r="BR436" s="41"/>
      <c r="BS436" s="41"/>
      <c r="BT436" s="41"/>
      <c r="BU436" s="41"/>
      <c r="BV436" s="41"/>
      <c r="BW436" s="41"/>
      <c r="BX436" s="41"/>
      <c r="BY436" s="41"/>
      <c r="BZ436" s="41"/>
      <c r="CA436" s="41"/>
      <c r="CB436" s="41"/>
      <c r="CC436" s="41"/>
    </row>
    <row r="437" spans="1:8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41"/>
      <c r="BG437" s="41"/>
      <c r="BH437" s="41"/>
      <c r="BI437" s="41"/>
      <c r="BJ437" s="41"/>
      <c r="BK437" s="41"/>
      <c r="BL437" s="41"/>
      <c r="BM437" s="41"/>
      <c r="BN437" s="41"/>
      <c r="BO437" s="41"/>
      <c r="BP437" s="41"/>
      <c r="BQ437" s="41"/>
      <c r="BR437" s="41"/>
      <c r="BS437" s="41"/>
      <c r="BT437" s="41"/>
      <c r="BU437" s="41"/>
      <c r="BV437" s="41"/>
      <c r="BW437" s="41"/>
      <c r="BX437" s="41"/>
      <c r="BY437" s="41"/>
      <c r="BZ437" s="41"/>
      <c r="CA437" s="41"/>
      <c r="CB437" s="41"/>
      <c r="CC437" s="41"/>
    </row>
    <row r="438" spans="1:8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  <c r="BC438" s="41"/>
      <c r="BD438" s="41"/>
      <c r="BE438" s="41"/>
      <c r="BF438" s="41"/>
      <c r="BG438" s="41"/>
      <c r="BH438" s="41"/>
      <c r="BI438" s="41"/>
      <c r="BJ438" s="41"/>
      <c r="BK438" s="41"/>
      <c r="BL438" s="41"/>
      <c r="BM438" s="41"/>
      <c r="BN438" s="41"/>
      <c r="BO438" s="41"/>
      <c r="BP438" s="41"/>
      <c r="BQ438" s="41"/>
      <c r="BR438" s="41"/>
      <c r="BS438" s="41"/>
      <c r="BT438" s="41"/>
      <c r="BU438" s="41"/>
      <c r="BV438" s="41"/>
      <c r="BW438" s="41"/>
      <c r="BX438" s="41"/>
      <c r="BY438" s="41"/>
      <c r="BZ438" s="41"/>
      <c r="CA438" s="41"/>
      <c r="CB438" s="41"/>
      <c r="CC438" s="41"/>
    </row>
    <row r="439" spans="1:8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  <c r="BC439" s="41"/>
      <c r="BD439" s="41"/>
      <c r="BE439" s="41"/>
      <c r="BF439" s="41"/>
      <c r="BG439" s="41"/>
      <c r="BH439" s="41"/>
      <c r="BI439" s="41"/>
      <c r="BJ439" s="41"/>
      <c r="BK439" s="41"/>
      <c r="BL439" s="41"/>
      <c r="BM439" s="41"/>
      <c r="BN439" s="41"/>
      <c r="BO439" s="41"/>
      <c r="BP439" s="41"/>
      <c r="BQ439" s="41"/>
      <c r="BR439" s="41"/>
      <c r="BS439" s="41"/>
      <c r="BT439" s="41"/>
      <c r="BU439" s="41"/>
      <c r="BV439" s="41"/>
      <c r="BW439" s="41"/>
      <c r="BX439" s="41"/>
      <c r="BY439" s="41"/>
      <c r="BZ439" s="41"/>
      <c r="CA439" s="41"/>
      <c r="CB439" s="41"/>
      <c r="CC439" s="41"/>
    </row>
    <row r="440" spans="1:8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  <c r="BC440" s="41"/>
      <c r="BD440" s="41"/>
      <c r="BE440" s="41"/>
      <c r="BF440" s="41"/>
      <c r="BG440" s="41"/>
      <c r="BH440" s="41"/>
      <c r="BI440" s="41"/>
      <c r="BJ440" s="41"/>
      <c r="BK440" s="41"/>
      <c r="BL440" s="41"/>
      <c r="BM440" s="41"/>
      <c r="BN440" s="41"/>
      <c r="BO440" s="41"/>
      <c r="BP440" s="41"/>
      <c r="BQ440" s="41"/>
      <c r="BR440" s="41"/>
      <c r="BS440" s="41"/>
      <c r="BT440" s="41"/>
      <c r="BU440" s="41"/>
      <c r="BV440" s="41"/>
      <c r="BW440" s="41"/>
      <c r="BX440" s="41"/>
      <c r="BY440" s="41"/>
      <c r="BZ440" s="41"/>
      <c r="CA440" s="41"/>
      <c r="CB440" s="41"/>
      <c r="CC440" s="41"/>
    </row>
    <row r="441" spans="1:8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  <c r="BC441" s="41"/>
      <c r="BD441" s="41"/>
      <c r="BE441" s="41"/>
      <c r="BF441" s="41"/>
      <c r="BG441" s="41"/>
      <c r="BH441" s="41"/>
      <c r="BI441" s="41"/>
      <c r="BJ441" s="41"/>
      <c r="BK441" s="41"/>
      <c r="BL441" s="41"/>
      <c r="BM441" s="41"/>
      <c r="BN441" s="41"/>
      <c r="BO441" s="41"/>
      <c r="BP441" s="41"/>
      <c r="BQ441" s="41"/>
      <c r="BR441" s="41"/>
      <c r="BS441" s="41"/>
      <c r="BT441" s="41"/>
      <c r="BU441" s="41"/>
      <c r="BV441" s="41"/>
      <c r="BW441" s="41"/>
      <c r="BX441" s="41"/>
      <c r="BY441" s="41"/>
      <c r="BZ441" s="41"/>
      <c r="CA441" s="41"/>
      <c r="CB441" s="41"/>
      <c r="CC441" s="41"/>
    </row>
    <row r="442" spans="1:8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41"/>
      <c r="BG442" s="41"/>
      <c r="BH442" s="41"/>
      <c r="BI442" s="41"/>
      <c r="BJ442" s="41"/>
      <c r="BK442" s="41"/>
      <c r="BL442" s="41"/>
      <c r="BM442" s="41"/>
      <c r="BN442" s="41"/>
      <c r="BO442" s="41"/>
      <c r="BP442" s="41"/>
      <c r="BQ442" s="41"/>
      <c r="BR442" s="41"/>
      <c r="BS442" s="41"/>
      <c r="BT442" s="41"/>
      <c r="BU442" s="41"/>
      <c r="BV442" s="41"/>
      <c r="BW442" s="41"/>
      <c r="BX442" s="41"/>
      <c r="BY442" s="41"/>
      <c r="BZ442" s="41"/>
      <c r="CA442" s="41"/>
      <c r="CB442" s="41"/>
      <c r="CC442" s="41"/>
    </row>
    <row r="443" spans="1:8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  <c r="BC443" s="41"/>
      <c r="BD443" s="41"/>
      <c r="BE443" s="41"/>
      <c r="BF443" s="41"/>
      <c r="BG443" s="41"/>
      <c r="BH443" s="41"/>
      <c r="BI443" s="41"/>
      <c r="BJ443" s="41"/>
      <c r="BK443" s="41"/>
      <c r="BL443" s="41"/>
      <c r="BM443" s="41"/>
      <c r="BN443" s="41"/>
      <c r="BO443" s="41"/>
      <c r="BP443" s="41"/>
      <c r="BQ443" s="41"/>
      <c r="BR443" s="41"/>
      <c r="BS443" s="41"/>
      <c r="BT443" s="41"/>
      <c r="BU443" s="41"/>
      <c r="BV443" s="41"/>
      <c r="BW443" s="41"/>
      <c r="BX443" s="41"/>
      <c r="BY443" s="41"/>
      <c r="BZ443" s="41"/>
      <c r="CA443" s="41"/>
      <c r="CB443" s="41"/>
      <c r="CC443" s="41"/>
    </row>
    <row r="444" spans="1:8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41"/>
      <c r="BG444" s="41"/>
      <c r="BH444" s="41"/>
      <c r="BI444" s="41"/>
      <c r="BJ444" s="41"/>
      <c r="BK444" s="41"/>
      <c r="BL444" s="41"/>
      <c r="BM444" s="41"/>
      <c r="BN444" s="41"/>
      <c r="BO444" s="41"/>
      <c r="BP444" s="41"/>
      <c r="BQ444" s="41"/>
      <c r="BR444" s="41"/>
      <c r="BS444" s="41"/>
      <c r="BT444" s="41"/>
      <c r="BU444" s="41"/>
      <c r="BV444" s="41"/>
      <c r="BW444" s="41"/>
      <c r="BX444" s="41"/>
      <c r="BY444" s="41"/>
      <c r="BZ444" s="41"/>
      <c r="CA444" s="41"/>
      <c r="CB444" s="41"/>
      <c r="CC444" s="41"/>
    </row>
    <row r="445" spans="1:8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  <c r="BC445" s="41"/>
      <c r="BD445" s="41"/>
      <c r="BE445" s="41"/>
      <c r="BF445" s="41"/>
      <c r="BG445" s="41"/>
      <c r="BH445" s="41"/>
      <c r="BI445" s="41"/>
      <c r="BJ445" s="41"/>
      <c r="BK445" s="41"/>
      <c r="BL445" s="41"/>
      <c r="BM445" s="41"/>
      <c r="BN445" s="41"/>
      <c r="BO445" s="41"/>
      <c r="BP445" s="41"/>
      <c r="BQ445" s="41"/>
      <c r="BR445" s="41"/>
      <c r="BS445" s="41"/>
      <c r="BT445" s="41"/>
      <c r="BU445" s="41"/>
      <c r="BV445" s="41"/>
      <c r="BW445" s="41"/>
      <c r="BX445" s="41"/>
      <c r="BY445" s="41"/>
      <c r="BZ445" s="41"/>
      <c r="CA445" s="41"/>
      <c r="CB445" s="41"/>
      <c r="CC445" s="41"/>
    </row>
    <row r="446" spans="1:8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/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1"/>
      <c r="CA446" s="41"/>
      <c r="CB446" s="41"/>
      <c r="CC446" s="41"/>
    </row>
    <row r="447" spans="1:8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  <c r="BC447" s="41"/>
      <c r="BD447" s="41"/>
      <c r="BE447" s="41"/>
      <c r="BF447" s="41"/>
      <c r="BG447" s="41"/>
      <c r="BH447" s="41"/>
      <c r="BI447" s="41"/>
      <c r="BJ447" s="41"/>
      <c r="BK447" s="41"/>
      <c r="BL447" s="41"/>
      <c r="BM447" s="41"/>
      <c r="BN447" s="41"/>
      <c r="BO447" s="41"/>
      <c r="BP447" s="41"/>
      <c r="BQ447" s="41"/>
      <c r="BR447" s="41"/>
      <c r="BS447" s="41"/>
      <c r="BT447" s="41"/>
      <c r="BU447" s="41"/>
      <c r="BV447" s="41"/>
      <c r="BW447" s="41"/>
      <c r="BX447" s="41"/>
      <c r="BY447" s="41"/>
      <c r="BZ447" s="41"/>
      <c r="CA447" s="41"/>
      <c r="CB447" s="41"/>
      <c r="CC447" s="41"/>
    </row>
    <row r="448" spans="1:8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  <c r="BC448" s="41"/>
      <c r="BD448" s="41"/>
      <c r="BE448" s="41"/>
      <c r="BF448" s="41"/>
      <c r="BG448" s="41"/>
      <c r="BH448" s="41"/>
      <c r="BI448" s="41"/>
      <c r="BJ448" s="41"/>
      <c r="BK448" s="41"/>
      <c r="BL448" s="41"/>
      <c r="BM448" s="41"/>
      <c r="BN448" s="41"/>
      <c r="BO448" s="41"/>
      <c r="BP448" s="41"/>
      <c r="BQ448" s="41"/>
      <c r="BR448" s="41"/>
      <c r="BS448" s="41"/>
      <c r="BT448" s="41"/>
      <c r="BU448" s="41"/>
      <c r="BV448" s="41"/>
      <c r="BW448" s="41"/>
      <c r="BX448" s="41"/>
      <c r="BY448" s="41"/>
      <c r="BZ448" s="41"/>
      <c r="CA448" s="41"/>
      <c r="CB448" s="41"/>
      <c r="CC448" s="41"/>
    </row>
    <row r="449" spans="1:8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  <c r="BC449" s="41"/>
      <c r="BD449" s="41"/>
      <c r="BE449" s="41"/>
      <c r="BF449" s="41"/>
      <c r="BG449" s="41"/>
      <c r="BH449" s="41"/>
      <c r="BI449" s="41"/>
      <c r="BJ449" s="41"/>
      <c r="BK449" s="41"/>
      <c r="BL449" s="41"/>
      <c r="BM449" s="41"/>
      <c r="BN449" s="41"/>
      <c r="BO449" s="41"/>
      <c r="BP449" s="41"/>
      <c r="BQ449" s="41"/>
      <c r="BR449" s="41"/>
      <c r="BS449" s="41"/>
      <c r="BT449" s="41"/>
      <c r="BU449" s="41"/>
      <c r="BV449" s="41"/>
      <c r="BW449" s="41"/>
      <c r="BX449" s="41"/>
      <c r="BY449" s="41"/>
      <c r="BZ449" s="41"/>
      <c r="CA449" s="41"/>
      <c r="CB449" s="41"/>
      <c r="CC449" s="41"/>
    </row>
    <row r="450" spans="1:8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  <c r="BC450" s="41"/>
      <c r="BD450" s="41"/>
      <c r="BE450" s="41"/>
      <c r="BF450" s="41"/>
      <c r="BG450" s="41"/>
      <c r="BH450" s="41"/>
      <c r="BI450" s="41"/>
      <c r="BJ450" s="41"/>
      <c r="BK450" s="41"/>
      <c r="BL450" s="41"/>
      <c r="BM450" s="41"/>
      <c r="BN450" s="41"/>
      <c r="BO450" s="41"/>
      <c r="BP450" s="41"/>
      <c r="BQ450" s="41"/>
      <c r="BR450" s="41"/>
      <c r="BS450" s="41"/>
      <c r="BT450" s="41"/>
      <c r="BU450" s="41"/>
      <c r="BV450" s="41"/>
      <c r="BW450" s="41"/>
      <c r="BX450" s="41"/>
      <c r="BY450" s="41"/>
      <c r="BZ450" s="41"/>
      <c r="CA450" s="41"/>
      <c r="CB450" s="41"/>
      <c r="CC450" s="41"/>
    </row>
    <row r="451" spans="1:8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  <c r="BC451" s="41"/>
      <c r="BD451" s="41"/>
      <c r="BE451" s="41"/>
      <c r="BF451" s="41"/>
      <c r="BG451" s="41"/>
      <c r="BH451" s="41"/>
      <c r="BI451" s="41"/>
      <c r="BJ451" s="41"/>
      <c r="BK451" s="41"/>
      <c r="BL451" s="41"/>
      <c r="BM451" s="41"/>
      <c r="BN451" s="41"/>
      <c r="BO451" s="41"/>
      <c r="BP451" s="41"/>
      <c r="BQ451" s="41"/>
      <c r="BR451" s="41"/>
      <c r="BS451" s="41"/>
      <c r="BT451" s="41"/>
      <c r="BU451" s="41"/>
      <c r="BV451" s="41"/>
      <c r="BW451" s="41"/>
      <c r="BX451" s="41"/>
      <c r="BY451" s="41"/>
      <c r="BZ451" s="41"/>
      <c r="CA451" s="41"/>
      <c r="CB451" s="41"/>
      <c r="CC451" s="41"/>
    </row>
    <row r="452" spans="1:8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  <c r="BC452" s="41"/>
      <c r="BD452" s="41"/>
      <c r="BE452" s="41"/>
      <c r="BF452" s="41"/>
      <c r="BG452" s="41"/>
      <c r="BH452" s="41"/>
      <c r="BI452" s="41"/>
      <c r="BJ452" s="41"/>
      <c r="BK452" s="41"/>
      <c r="BL452" s="41"/>
      <c r="BM452" s="41"/>
      <c r="BN452" s="41"/>
      <c r="BO452" s="41"/>
      <c r="BP452" s="41"/>
      <c r="BQ452" s="41"/>
      <c r="BR452" s="41"/>
      <c r="BS452" s="41"/>
      <c r="BT452" s="41"/>
      <c r="BU452" s="41"/>
      <c r="BV452" s="41"/>
      <c r="BW452" s="41"/>
      <c r="BX452" s="41"/>
      <c r="BY452" s="41"/>
      <c r="BZ452" s="41"/>
      <c r="CA452" s="41"/>
      <c r="CB452" s="41"/>
      <c r="CC452" s="41"/>
    </row>
    <row r="453" spans="1:8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41"/>
      <c r="BG453" s="41"/>
      <c r="BH453" s="41"/>
      <c r="BI453" s="41"/>
      <c r="BJ453" s="41"/>
      <c r="BK453" s="41"/>
      <c r="BL453" s="41"/>
      <c r="BM453" s="41"/>
      <c r="BN453" s="41"/>
      <c r="BO453" s="41"/>
      <c r="BP453" s="41"/>
      <c r="BQ453" s="41"/>
      <c r="BR453" s="41"/>
      <c r="BS453" s="41"/>
      <c r="BT453" s="41"/>
      <c r="BU453" s="41"/>
      <c r="BV453" s="41"/>
      <c r="BW453" s="41"/>
      <c r="BX453" s="41"/>
      <c r="BY453" s="41"/>
      <c r="BZ453" s="41"/>
      <c r="CA453" s="41"/>
      <c r="CB453" s="41"/>
      <c r="CC453" s="41"/>
    </row>
    <row r="454" spans="1:8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41"/>
      <c r="BG454" s="41"/>
      <c r="BH454" s="41"/>
      <c r="BI454" s="41"/>
      <c r="BJ454" s="41"/>
      <c r="BK454" s="41"/>
      <c r="BL454" s="41"/>
      <c r="BM454" s="41"/>
      <c r="BN454" s="41"/>
      <c r="BO454" s="41"/>
      <c r="BP454" s="41"/>
      <c r="BQ454" s="41"/>
      <c r="BR454" s="41"/>
      <c r="BS454" s="41"/>
      <c r="BT454" s="41"/>
      <c r="BU454" s="41"/>
      <c r="BV454" s="41"/>
      <c r="BW454" s="41"/>
      <c r="BX454" s="41"/>
      <c r="BY454" s="41"/>
      <c r="BZ454" s="41"/>
      <c r="CA454" s="41"/>
      <c r="CB454" s="41"/>
      <c r="CC454" s="41"/>
    </row>
    <row r="455" spans="1:8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/>
      <c r="BG455" s="41"/>
      <c r="BH455" s="41"/>
      <c r="BI455" s="41"/>
      <c r="BJ455" s="41"/>
      <c r="BK455" s="41"/>
      <c r="BL455" s="41"/>
      <c r="BM455" s="41"/>
      <c r="BN455" s="41"/>
      <c r="BO455" s="41"/>
      <c r="BP455" s="41"/>
      <c r="BQ455" s="41"/>
      <c r="BR455" s="41"/>
      <c r="BS455" s="41"/>
      <c r="BT455" s="41"/>
      <c r="BU455" s="41"/>
      <c r="BV455" s="41"/>
      <c r="BW455" s="41"/>
      <c r="BX455" s="41"/>
      <c r="BY455" s="41"/>
      <c r="BZ455" s="41"/>
      <c r="CA455" s="41"/>
      <c r="CB455" s="41"/>
      <c r="CC455" s="41"/>
    </row>
    <row r="456" spans="1:8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1"/>
      <c r="BK456" s="41"/>
      <c r="BL456" s="41"/>
      <c r="BM456" s="41"/>
      <c r="BN456" s="41"/>
      <c r="BO456" s="41"/>
      <c r="BP456" s="41"/>
      <c r="BQ456" s="41"/>
      <c r="BR456" s="41"/>
      <c r="BS456" s="41"/>
      <c r="BT456" s="41"/>
      <c r="BU456" s="41"/>
      <c r="BV456" s="41"/>
      <c r="BW456" s="41"/>
      <c r="BX456" s="41"/>
      <c r="BY456" s="41"/>
      <c r="BZ456" s="41"/>
      <c r="CA456" s="41"/>
      <c r="CB456" s="41"/>
      <c r="CC456" s="41"/>
    </row>
    <row r="457" spans="1:8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41"/>
      <c r="BG457" s="41"/>
      <c r="BH457" s="41"/>
      <c r="BI457" s="41"/>
      <c r="BJ457" s="41"/>
      <c r="BK457" s="41"/>
      <c r="BL457" s="41"/>
      <c r="BM457" s="41"/>
      <c r="BN457" s="41"/>
      <c r="BO457" s="41"/>
      <c r="BP457" s="41"/>
      <c r="BQ457" s="41"/>
      <c r="BR457" s="41"/>
      <c r="BS457" s="41"/>
      <c r="BT457" s="41"/>
      <c r="BU457" s="41"/>
      <c r="BV457" s="41"/>
      <c r="BW457" s="41"/>
      <c r="BX457" s="41"/>
      <c r="BY457" s="41"/>
      <c r="BZ457" s="41"/>
      <c r="CA457" s="41"/>
      <c r="CB457" s="41"/>
      <c r="CC457" s="41"/>
    </row>
    <row r="458" spans="1:8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41"/>
      <c r="BG458" s="41"/>
      <c r="BH458" s="41"/>
      <c r="BI458" s="41"/>
      <c r="BJ458" s="41"/>
      <c r="BK458" s="41"/>
      <c r="BL458" s="41"/>
      <c r="BM458" s="41"/>
      <c r="BN458" s="41"/>
      <c r="BO458" s="41"/>
      <c r="BP458" s="41"/>
      <c r="BQ458" s="41"/>
      <c r="BR458" s="41"/>
      <c r="BS458" s="41"/>
      <c r="BT458" s="41"/>
      <c r="BU458" s="41"/>
      <c r="BV458" s="41"/>
      <c r="BW458" s="41"/>
      <c r="BX458" s="41"/>
      <c r="BY458" s="41"/>
      <c r="BZ458" s="41"/>
      <c r="CA458" s="41"/>
      <c r="CB458" s="41"/>
      <c r="CC458" s="41"/>
    </row>
    <row r="459" spans="1:8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1"/>
      <c r="BK459" s="41"/>
      <c r="BL459" s="41"/>
      <c r="BM459" s="41"/>
      <c r="BN459" s="41"/>
      <c r="BO459" s="41"/>
      <c r="BP459" s="41"/>
      <c r="BQ459" s="41"/>
      <c r="BR459" s="41"/>
      <c r="BS459" s="41"/>
      <c r="BT459" s="41"/>
      <c r="BU459" s="41"/>
      <c r="BV459" s="41"/>
      <c r="BW459" s="41"/>
      <c r="BX459" s="41"/>
      <c r="BY459" s="41"/>
      <c r="BZ459" s="41"/>
      <c r="CA459" s="41"/>
      <c r="CB459" s="41"/>
      <c r="CC459" s="41"/>
    </row>
    <row r="460" spans="1:8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1"/>
      <c r="BK460" s="41"/>
      <c r="BL460" s="41"/>
      <c r="BM460" s="41"/>
      <c r="BN460" s="41"/>
      <c r="BO460" s="41"/>
      <c r="BP460" s="41"/>
      <c r="BQ460" s="41"/>
      <c r="BR460" s="41"/>
      <c r="BS460" s="41"/>
      <c r="BT460" s="41"/>
      <c r="BU460" s="41"/>
      <c r="BV460" s="41"/>
      <c r="BW460" s="41"/>
      <c r="BX460" s="41"/>
      <c r="BY460" s="41"/>
      <c r="BZ460" s="41"/>
      <c r="CA460" s="41"/>
      <c r="CB460" s="41"/>
      <c r="CC460" s="41"/>
    </row>
    <row r="461" spans="1:8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  <c r="BC461" s="41"/>
      <c r="BD461" s="41"/>
      <c r="BE461" s="41"/>
      <c r="BF461" s="41"/>
      <c r="BG461" s="41"/>
      <c r="BH461" s="41"/>
      <c r="BI461" s="41"/>
      <c r="BJ461" s="41"/>
      <c r="BK461" s="41"/>
      <c r="BL461" s="41"/>
      <c r="BM461" s="41"/>
      <c r="BN461" s="41"/>
      <c r="BO461" s="41"/>
      <c r="BP461" s="41"/>
      <c r="BQ461" s="41"/>
      <c r="BR461" s="41"/>
      <c r="BS461" s="41"/>
      <c r="BT461" s="41"/>
      <c r="BU461" s="41"/>
      <c r="BV461" s="41"/>
      <c r="BW461" s="41"/>
      <c r="BX461" s="41"/>
      <c r="BY461" s="41"/>
      <c r="BZ461" s="41"/>
      <c r="CA461" s="41"/>
      <c r="CB461" s="41"/>
      <c r="CC461" s="41"/>
    </row>
    <row r="462" spans="1:8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  <c r="BG462" s="41"/>
      <c r="BH462" s="41"/>
      <c r="BI462" s="41"/>
      <c r="BJ462" s="41"/>
      <c r="BK462" s="41"/>
      <c r="BL462" s="41"/>
      <c r="BM462" s="41"/>
      <c r="BN462" s="41"/>
      <c r="BO462" s="41"/>
      <c r="BP462" s="41"/>
      <c r="BQ462" s="41"/>
      <c r="BR462" s="41"/>
      <c r="BS462" s="41"/>
      <c r="BT462" s="41"/>
      <c r="BU462" s="41"/>
      <c r="BV462" s="41"/>
      <c r="BW462" s="41"/>
      <c r="BX462" s="41"/>
      <c r="BY462" s="41"/>
      <c r="BZ462" s="41"/>
      <c r="CA462" s="41"/>
      <c r="CB462" s="41"/>
      <c r="CC462" s="41"/>
    </row>
    <row r="463" spans="1:8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1"/>
      <c r="BK463" s="41"/>
      <c r="BL463" s="41"/>
      <c r="BM463" s="41"/>
      <c r="BN463" s="41"/>
      <c r="BO463" s="41"/>
      <c r="BP463" s="41"/>
      <c r="BQ463" s="41"/>
      <c r="BR463" s="41"/>
      <c r="BS463" s="41"/>
      <c r="BT463" s="41"/>
      <c r="BU463" s="41"/>
      <c r="BV463" s="41"/>
      <c r="BW463" s="41"/>
      <c r="BX463" s="41"/>
      <c r="BY463" s="41"/>
      <c r="BZ463" s="41"/>
      <c r="CA463" s="41"/>
      <c r="CB463" s="41"/>
      <c r="CC463" s="41"/>
    </row>
    <row r="464" spans="1:8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  <c r="BC464" s="41"/>
      <c r="BD464" s="41"/>
      <c r="BE464" s="41"/>
      <c r="BF464" s="41"/>
      <c r="BG464" s="41"/>
      <c r="BH464" s="41"/>
      <c r="BI464" s="41"/>
      <c r="BJ464" s="41"/>
      <c r="BK464" s="41"/>
      <c r="BL464" s="41"/>
      <c r="BM464" s="41"/>
      <c r="BN464" s="41"/>
      <c r="BO464" s="41"/>
      <c r="BP464" s="41"/>
      <c r="BQ464" s="41"/>
      <c r="BR464" s="41"/>
      <c r="BS464" s="41"/>
      <c r="BT464" s="41"/>
      <c r="BU464" s="41"/>
      <c r="BV464" s="41"/>
      <c r="BW464" s="41"/>
      <c r="BX464" s="41"/>
      <c r="BY464" s="41"/>
      <c r="BZ464" s="41"/>
      <c r="CA464" s="41"/>
      <c r="CB464" s="41"/>
      <c r="CC464" s="41"/>
    </row>
    <row r="465" spans="1:8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41"/>
      <c r="BG465" s="41"/>
      <c r="BH465" s="41"/>
      <c r="BI465" s="41"/>
      <c r="BJ465" s="41"/>
      <c r="BK465" s="41"/>
      <c r="BL465" s="41"/>
      <c r="BM465" s="41"/>
      <c r="BN465" s="41"/>
      <c r="BO465" s="41"/>
      <c r="BP465" s="41"/>
      <c r="BQ465" s="41"/>
      <c r="BR465" s="41"/>
      <c r="BS465" s="41"/>
      <c r="BT465" s="41"/>
      <c r="BU465" s="41"/>
      <c r="BV465" s="41"/>
      <c r="BW465" s="41"/>
      <c r="BX465" s="41"/>
      <c r="BY465" s="41"/>
      <c r="BZ465" s="41"/>
      <c r="CA465" s="41"/>
      <c r="CB465" s="41"/>
      <c r="CC465" s="41"/>
    </row>
    <row r="466" spans="1:8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  <c r="BG466" s="41"/>
      <c r="BH466" s="41"/>
      <c r="BI466" s="41"/>
      <c r="BJ466" s="41"/>
      <c r="BK466" s="41"/>
      <c r="BL466" s="41"/>
      <c r="BM466" s="41"/>
      <c r="BN466" s="41"/>
      <c r="BO466" s="41"/>
      <c r="BP466" s="41"/>
      <c r="BQ466" s="41"/>
      <c r="BR466" s="41"/>
      <c r="BS466" s="41"/>
      <c r="BT466" s="41"/>
      <c r="BU466" s="41"/>
      <c r="BV466" s="41"/>
      <c r="BW466" s="41"/>
      <c r="BX466" s="41"/>
      <c r="BY466" s="41"/>
      <c r="BZ466" s="41"/>
      <c r="CA466" s="41"/>
      <c r="CB466" s="41"/>
      <c r="CC466" s="41"/>
    </row>
    <row r="467" spans="1:8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  <c r="BC467" s="41"/>
      <c r="BD467" s="41"/>
      <c r="BE467" s="41"/>
      <c r="BF467" s="41"/>
      <c r="BG467" s="41"/>
      <c r="BH467" s="41"/>
      <c r="BI467" s="41"/>
      <c r="BJ467" s="41"/>
      <c r="BK467" s="41"/>
      <c r="BL467" s="41"/>
      <c r="BM467" s="41"/>
      <c r="BN467" s="41"/>
      <c r="BO467" s="41"/>
      <c r="BP467" s="41"/>
      <c r="BQ467" s="41"/>
      <c r="BR467" s="41"/>
      <c r="BS467" s="41"/>
      <c r="BT467" s="41"/>
      <c r="BU467" s="41"/>
      <c r="BV467" s="41"/>
      <c r="BW467" s="41"/>
      <c r="BX467" s="41"/>
      <c r="BY467" s="41"/>
      <c r="BZ467" s="41"/>
      <c r="CA467" s="41"/>
      <c r="CB467" s="41"/>
      <c r="CC467" s="41"/>
    </row>
    <row r="468" spans="1:8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  <c r="BG468" s="41"/>
      <c r="BH468" s="41"/>
      <c r="BI468" s="41"/>
      <c r="BJ468" s="41"/>
      <c r="BK468" s="41"/>
      <c r="BL468" s="41"/>
      <c r="BM468" s="41"/>
      <c r="BN468" s="41"/>
      <c r="BO468" s="41"/>
      <c r="BP468" s="41"/>
      <c r="BQ468" s="41"/>
      <c r="BR468" s="41"/>
      <c r="BS468" s="41"/>
      <c r="BT468" s="41"/>
      <c r="BU468" s="41"/>
      <c r="BV468" s="41"/>
      <c r="BW468" s="41"/>
      <c r="BX468" s="41"/>
      <c r="BY468" s="41"/>
      <c r="BZ468" s="41"/>
      <c r="CA468" s="41"/>
      <c r="CB468" s="41"/>
      <c r="CC468" s="41"/>
    </row>
    <row r="469" spans="1:8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  <c r="BC469" s="41"/>
      <c r="BD469" s="41"/>
      <c r="BE469" s="41"/>
      <c r="BF469" s="41"/>
      <c r="BG469" s="41"/>
      <c r="BH469" s="41"/>
      <c r="BI469" s="41"/>
      <c r="BJ469" s="41"/>
      <c r="BK469" s="41"/>
      <c r="BL469" s="41"/>
      <c r="BM469" s="41"/>
      <c r="BN469" s="41"/>
      <c r="BO469" s="41"/>
      <c r="BP469" s="41"/>
      <c r="BQ469" s="41"/>
      <c r="BR469" s="41"/>
      <c r="BS469" s="41"/>
      <c r="BT469" s="41"/>
      <c r="BU469" s="41"/>
      <c r="BV469" s="41"/>
      <c r="BW469" s="41"/>
      <c r="BX469" s="41"/>
      <c r="BY469" s="41"/>
      <c r="BZ469" s="41"/>
      <c r="CA469" s="41"/>
      <c r="CB469" s="41"/>
      <c r="CC469" s="41"/>
    </row>
    <row r="470" spans="1:8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41"/>
      <c r="BK470" s="41"/>
      <c r="BL470" s="41"/>
      <c r="BM470" s="41"/>
      <c r="BN470" s="41"/>
      <c r="BO470" s="41"/>
      <c r="BP470" s="41"/>
      <c r="BQ470" s="41"/>
      <c r="BR470" s="41"/>
      <c r="BS470" s="41"/>
      <c r="BT470" s="41"/>
      <c r="BU470" s="41"/>
      <c r="BV470" s="41"/>
      <c r="BW470" s="41"/>
      <c r="BX470" s="41"/>
      <c r="BY470" s="41"/>
      <c r="BZ470" s="41"/>
      <c r="CA470" s="41"/>
      <c r="CB470" s="41"/>
      <c r="CC470" s="41"/>
    </row>
    <row r="471" spans="1:8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1"/>
      <c r="BK471" s="41"/>
      <c r="BL471" s="41"/>
      <c r="BM471" s="41"/>
      <c r="BN471" s="41"/>
      <c r="BO471" s="41"/>
      <c r="BP471" s="41"/>
      <c r="BQ471" s="41"/>
      <c r="BR471" s="41"/>
      <c r="BS471" s="41"/>
      <c r="BT471" s="41"/>
      <c r="BU471" s="41"/>
      <c r="BV471" s="41"/>
      <c r="BW471" s="41"/>
      <c r="BX471" s="41"/>
      <c r="BY471" s="41"/>
      <c r="BZ471" s="41"/>
      <c r="CA471" s="41"/>
      <c r="CB471" s="41"/>
      <c r="CC471" s="41"/>
    </row>
    <row r="472" spans="1:8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41"/>
      <c r="BG472" s="41"/>
      <c r="BH472" s="41"/>
      <c r="BI472" s="41"/>
      <c r="BJ472" s="41"/>
      <c r="BK472" s="41"/>
      <c r="BL472" s="41"/>
      <c r="BM472" s="41"/>
      <c r="BN472" s="41"/>
      <c r="BO472" s="41"/>
      <c r="BP472" s="41"/>
      <c r="BQ472" s="41"/>
      <c r="BR472" s="41"/>
      <c r="BS472" s="41"/>
      <c r="BT472" s="41"/>
      <c r="BU472" s="41"/>
      <c r="BV472" s="41"/>
      <c r="BW472" s="41"/>
      <c r="BX472" s="41"/>
      <c r="BY472" s="41"/>
      <c r="BZ472" s="41"/>
      <c r="CA472" s="41"/>
      <c r="CB472" s="41"/>
      <c r="CC472" s="41"/>
    </row>
    <row r="473" spans="1:8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41"/>
      <c r="BG473" s="41"/>
      <c r="BH473" s="41"/>
      <c r="BI473" s="41"/>
      <c r="BJ473" s="41"/>
      <c r="BK473" s="41"/>
      <c r="BL473" s="41"/>
      <c r="BM473" s="41"/>
      <c r="BN473" s="41"/>
      <c r="BO473" s="41"/>
      <c r="BP473" s="41"/>
      <c r="BQ473" s="41"/>
      <c r="BR473" s="41"/>
      <c r="BS473" s="41"/>
      <c r="BT473" s="41"/>
      <c r="BU473" s="41"/>
      <c r="BV473" s="41"/>
      <c r="BW473" s="41"/>
      <c r="BX473" s="41"/>
      <c r="BY473" s="41"/>
      <c r="BZ473" s="41"/>
      <c r="CA473" s="41"/>
      <c r="CB473" s="41"/>
      <c r="CC473" s="41"/>
    </row>
    <row r="474" spans="1:8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41"/>
      <c r="BG474" s="41"/>
      <c r="BH474" s="41"/>
      <c r="BI474" s="41"/>
      <c r="BJ474" s="41"/>
      <c r="BK474" s="41"/>
      <c r="BL474" s="41"/>
      <c r="BM474" s="41"/>
      <c r="BN474" s="41"/>
      <c r="BO474" s="41"/>
      <c r="BP474" s="41"/>
      <c r="BQ474" s="41"/>
      <c r="BR474" s="41"/>
      <c r="BS474" s="41"/>
      <c r="BT474" s="41"/>
      <c r="BU474" s="41"/>
      <c r="BV474" s="41"/>
      <c r="BW474" s="41"/>
      <c r="BX474" s="41"/>
      <c r="BY474" s="41"/>
      <c r="BZ474" s="41"/>
      <c r="CA474" s="41"/>
      <c r="CB474" s="41"/>
      <c r="CC474" s="41"/>
    </row>
    <row r="475" spans="1:8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1"/>
      <c r="BK475" s="41"/>
      <c r="BL475" s="41"/>
      <c r="BM475" s="41"/>
      <c r="BN475" s="41"/>
      <c r="BO475" s="41"/>
      <c r="BP475" s="41"/>
      <c r="BQ475" s="41"/>
      <c r="BR475" s="41"/>
      <c r="BS475" s="41"/>
      <c r="BT475" s="41"/>
      <c r="BU475" s="41"/>
      <c r="BV475" s="41"/>
      <c r="BW475" s="41"/>
      <c r="BX475" s="41"/>
      <c r="BY475" s="41"/>
      <c r="BZ475" s="41"/>
      <c r="CA475" s="41"/>
      <c r="CB475" s="41"/>
      <c r="CC475" s="41"/>
    </row>
    <row r="476" spans="1:8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  <c r="BC476" s="41"/>
      <c r="BD476" s="41"/>
      <c r="BE476" s="41"/>
      <c r="BF476" s="41"/>
      <c r="BG476" s="41"/>
      <c r="BH476" s="41"/>
      <c r="BI476" s="41"/>
      <c r="BJ476" s="41"/>
      <c r="BK476" s="41"/>
      <c r="BL476" s="41"/>
      <c r="BM476" s="41"/>
      <c r="BN476" s="41"/>
      <c r="BO476" s="41"/>
      <c r="BP476" s="41"/>
      <c r="BQ476" s="41"/>
      <c r="BR476" s="41"/>
      <c r="BS476" s="41"/>
      <c r="BT476" s="41"/>
      <c r="BU476" s="41"/>
      <c r="BV476" s="41"/>
      <c r="BW476" s="41"/>
      <c r="BX476" s="41"/>
      <c r="BY476" s="41"/>
      <c r="BZ476" s="41"/>
      <c r="CA476" s="41"/>
      <c r="CB476" s="41"/>
      <c r="CC476" s="41"/>
    </row>
    <row r="477" spans="1:8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  <c r="BC477" s="41"/>
      <c r="BD477" s="41"/>
      <c r="BE477" s="41"/>
      <c r="BF477" s="41"/>
      <c r="BG477" s="41"/>
      <c r="BH477" s="41"/>
      <c r="BI477" s="41"/>
      <c r="BJ477" s="41"/>
      <c r="BK477" s="41"/>
      <c r="BL477" s="41"/>
      <c r="BM477" s="41"/>
      <c r="BN477" s="41"/>
      <c r="BO477" s="41"/>
      <c r="BP477" s="41"/>
      <c r="BQ477" s="41"/>
      <c r="BR477" s="41"/>
      <c r="BS477" s="41"/>
      <c r="BT477" s="41"/>
      <c r="BU477" s="41"/>
      <c r="BV477" s="41"/>
      <c r="BW477" s="41"/>
      <c r="BX477" s="41"/>
      <c r="BY477" s="41"/>
      <c r="BZ477" s="41"/>
      <c r="CA477" s="41"/>
      <c r="CB477" s="41"/>
      <c r="CC477" s="41"/>
    </row>
    <row r="478" spans="1:8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  <c r="BG478" s="41"/>
      <c r="BH478" s="41"/>
      <c r="BI478" s="41"/>
      <c r="BJ478" s="41"/>
      <c r="BK478" s="41"/>
      <c r="BL478" s="41"/>
      <c r="BM478" s="41"/>
      <c r="BN478" s="41"/>
      <c r="BO478" s="41"/>
      <c r="BP478" s="41"/>
      <c r="BQ478" s="41"/>
      <c r="BR478" s="41"/>
      <c r="BS478" s="41"/>
      <c r="BT478" s="41"/>
      <c r="BU478" s="41"/>
      <c r="BV478" s="41"/>
      <c r="BW478" s="41"/>
      <c r="BX478" s="41"/>
      <c r="BY478" s="41"/>
      <c r="BZ478" s="41"/>
      <c r="CA478" s="41"/>
      <c r="CB478" s="41"/>
      <c r="CC478" s="41"/>
    </row>
    <row r="479" spans="1:8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1"/>
      <c r="BK479" s="41"/>
      <c r="BL479" s="41"/>
      <c r="BM479" s="41"/>
      <c r="BN479" s="41"/>
      <c r="BO479" s="41"/>
      <c r="BP479" s="41"/>
      <c r="BQ479" s="41"/>
      <c r="BR479" s="41"/>
      <c r="BS479" s="41"/>
      <c r="BT479" s="41"/>
      <c r="BU479" s="41"/>
      <c r="BV479" s="41"/>
      <c r="BW479" s="41"/>
      <c r="BX479" s="41"/>
      <c r="BY479" s="41"/>
      <c r="BZ479" s="41"/>
      <c r="CA479" s="41"/>
      <c r="CB479" s="41"/>
      <c r="CC479" s="41"/>
    </row>
    <row r="480" spans="1:8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41"/>
      <c r="BG480" s="41"/>
      <c r="BH480" s="41"/>
      <c r="BI480" s="41"/>
      <c r="BJ480" s="41"/>
      <c r="BK480" s="41"/>
      <c r="BL480" s="41"/>
      <c r="BM480" s="41"/>
      <c r="BN480" s="41"/>
      <c r="BO480" s="41"/>
      <c r="BP480" s="41"/>
      <c r="BQ480" s="41"/>
      <c r="BR480" s="41"/>
      <c r="BS480" s="41"/>
      <c r="BT480" s="41"/>
      <c r="BU480" s="41"/>
      <c r="BV480" s="41"/>
      <c r="BW480" s="41"/>
      <c r="BX480" s="41"/>
      <c r="BY480" s="41"/>
      <c r="BZ480" s="41"/>
      <c r="CA480" s="41"/>
      <c r="CB480" s="41"/>
      <c r="CC480" s="41"/>
    </row>
    <row r="481" spans="1: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  <c r="BC481" s="41"/>
      <c r="BD481" s="41"/>
      <c r="BE481" s="41"/>
      <c r="BF481" s="41"/>
      <c r="BG481" s="41"/>
      <c r="BH481" s="41"/>
      <c r="BI481" s="41"/>
      <c r="BJ481" s="41"/>
      <c r="BK481" s="41"/>
      <c r="BL481" s="41"/>
      <c r="BM481" s="41"/>
      <c r="BN481" s="41"/>
      <c r="BO481" s="41"/>
      <c r="BP481" s="41"/>
      <c r="BQ481" s="41"/>
      <c r="BR481" s="41"/>
      <c r="BS481" s="41"/>
      <c r="BT481" s="41"/>
      <c r="BU481" s="41"/>
      <c r="BV481" s="41"/>
      <c r="BW481" s="41"/>
      <c r="BX481" s="41"/>
      <c r="BY481" s="41"/>
      <c r="BZ481" s="41"/>
      <c r="CA481" s="41"/>
      <c r="CB481" s="41"/>
      <c r="CC481" s="41"/>
    </row>
    <row r="482" spans="1:8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41"/>
      <c r="BG482" s="41"/>
      <c r="BH482" s="41"/>
      <c r="BI482" s="41"/>
      <c r="BJ482" s="41"/>
      <c r="BK482" s="41"/>
      <c r="BL482" s="41"/>
      <c r="BM482" s="41"/>
      <c r="BN482" s="41"/>
      <c r="BO482" s="41"/>
      <c r="BP482" s="41"/>
      <c r="BQ482" s="41"/>
      <c r="BR482" s="41"/>
      <c r="BS482" s="41"/>
      <c r="BT482" s="41"/>
      <c r="BU482" s="41"/>
      <c r="BV482" s="41"/>
      <c r="BW482" s="41"/>
      <c r="BX482" s="41"/>
      <c r="BY482" s="41"/>
      <c r="BZ482" s="41"/>
      <c r="CA482" s="41"/>
      <c r="CB482" s="41"/>
      <c r="CC482" s="41"/>
    </row>
    <row r="483" spans="1:8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  <c r="BC483" s="41"/>
      <c r="BD483" s="41"/>
      <c r="BE483" s="41"/>
      <c r="BF483" s="41"/>
      <c r="BG483" s="41"/>
      <c r="BH483" s="41"/>
      <c r="BI483" s="41"/>
      <c r="BJ483" s="41"/>
      <c r="BK483" s="41"/>
      <c r="BL483" s="41"/>
      <c r="BM483" s="41"/>
      <c r="BN483" s="41"/>
      <c r="BO483" s="41"/>
      <c r="BP483" s="41"/>
      <c r="BQ483" s="41"/>
      <c r="BR483" s="41"/>
      <c r="BS483" s="41"/>
      <c r="BT483" s="41"/>
      <c r="BU483" s="41"/>
      <c r="BV483" s="41"/>
      <c r="BW483" s="41"/>
      <c r="BX483" s="41"/>
      <c r="BY483" s="41"/>
      <c r="BZ483" s="41"/>
      <c r="CA483" s="41"/>
      <c r="CB483" s="41"/>
      <c r="CC483" s="41"/>
    </row>
    <row r="484" spans="1:8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/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1"/>
      <c r="CA484" s="41"/>
      <c r="CB484" s="41"/>
      <c r="CC484" s="41"/>
    </row>
    <row r="485" spans="1:8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  <c r="BC485" s="41"/>
      <c r="BD485" s="41"/>
      <c r="BE485" s="41"/>
      <c r="BF485" s="41"/>
      <c r="BG485" s="41"/>
      <c r="BH485" s="41"/>
      <c r="BI485" s="41"/>
      <c r="BJ485" s="41"/>
      <c r="BK485" s="41"/>
      <c r="BL485" s="41"/>
      <c r="BM485" s="41"/>
      <c r="BN485" s="41"/>
      <c r="BO485" s="41"/>
      <c r="BP485" s="41"/>
      <c r="BQ485" s="41"/>
      <c r="BR485" s="41"/>
      <c r="BS485" s="41"/>
      <c r="BT485" s="41"/>
      <c r="BU485" s="41"/>
      <c r="BV485" s="41"/>
      <c r="BW485" s="41"/>
      <c r="BX485" s="41"/>
      <c r="BY485" s="41"/>
      <c r="BZ485" s="41"/>
      <c r="CA485" s="41"/>
      <c r="CB485" s="41"/>
      <c r="CC485" s="41"/>
    </row>
    <row r="486" spans="1:8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  <c r="BC486" s="41"/>
      <c r="BD486" s="41"/>
      <c r="BE486" s="41"/>
      <c r="BF486" s="41"/>
      <c r="BG486" s="41"/>
      <c r="BH486" s="41"/>
      <c r="BI486" s="41"/>
      <c r="BJ486" s="41"/>
      <c r="BK486" s="41"/>
      <c r="BL486" s="41"/>
      <c r="BM486" s="41"/>
      <c r="BN486" s="41"/>
      <c r="BO486" s="41"/>
      <c r="BP486" s="41"/>
      <c r="BQ486" s="41"/>
      <c r="BR486" s="41"/>
      <c r="BS486" s="41"/>
      <c r="BT486" s="41"/>
      <c r="BU486" s="41"/>
      <c r="BV486" s="41"/>
      <c r="BW486" s="41"/>
      <c r="BX486" s="41"/>
      <c r="BY486" s="41"/>
      <c r="BZ486" s="41"/>
      <c r="CA486" s="41"/>
      <c r="CB486" s="41"/>
      <c r="CC486" s="41"/>
    </row>
    <row r="487" spans="1:8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  <c r="BC487" s="41"/>
      <c r="BD487" s="41"/>
      <c r="BE487" s="41"/>
      <c r="BF487" s="41"/>
      <c r="BG487" s="41"/>
      <c r="BH487" s="41"/>
      <c r="BI487" s="41"/>
      <c r="BJ487" s="41"/>
      <c r="BK487" s="41"/>
      <c r="BL487" s="41"/>
      <c r="BM487" s="41"/>
      <c r="BN487" s="41"/>
      <c r="BO487" s="41"/>
      <c r="BP487" s="41"/>
      <c r="BQ487" s="41"/>
      <c r="BR487" s="41"/>
      <c r="BS487" s="41"/>
      <c r="BT487" s="41"/>
      <c r="BU487" s="41"/>
      <c r="BV487" s="41"/>
      <c r="BW487" s="41"/>
      <c r="BX487" s="41"/>
      <c r="BY487" s="41"/>
      <c r="BZ487" s="41"/>
      <c r="CA487" s="41"/>
      <c r="CB487" s="41"/>
      <c r="CC487" s="41"/>
    </row>
    <row r="488" spans="1:8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  <c r="BC488" s="41"/>
      <c r="BD488" s="41"/>
      <c r="BE488" s="41"/>
      <c r="BF488" s="41"/>
      <c r="BG488" s="41"/>
      <c r="BH488" s="41"/>
      <c r="BI488" s="41"/>
      <c r="BJ488" s="41"/>
      <c r="BK488" s="41"/>
      <c r="BL488" s="41"/>
      <c r="BM488" s="41"/>
      <c r="BN488" s="41"/>
      <c r="BO488" s="41"/>
      <c r="BP488" s="41"/>
      <c r="BQ488" s="41"/>
      <c r="BR488" s="41"/>
      <c r="BS488" s="41"/>
      <c r="BT488" s="41"/>
      <c r="BU488" s="41"/>
      <c r="BV488" s="41"/>
      <c r="BW488" s="41"/>
      <c r="BX488" s="41"/>
      <c r="BY488" s="41"/>
      <c r="BZ488" s="41"/>
      <c r="CA488" s="41"/>
      <c r="CB488" s="41"/>
      <c r="CC488" s="41"/>
    </row>
    <row r="489" spans="1:8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  <c r="BC489" s="41"/>
      <c r="BD489" s="41"/>
      <c r="BE489" s="41"/>
      <c r="BF489" s="41"/>
      <c r="BG489" s="41"/>
      <c r="BH489" s="41"/>
      <c r="BI489" s="41"/>
      <c r="BJ489" s="41"/>
      <c r="BK489" s="41"/>
      <c r="BL489" s="41"/>
      <c r="BM489" s="41"/>
      <c r="BN489" s="41"/>
      <c r="BO489" s="41"/>
      <c r="BP489" s="41"/>
      <c r="BQ489" s="41"/>
      <c r="BR489" s="41"/>
      <c r="BS489" s="41"/>
      <c r="BT489" s="41"/>
      <c r="BU489" s="41"/>
      <c r="BV489" s="41"/>
      <c r="BW489" s="41"/>
      <c r="BX489" s="41"/>
      <c r="BY489" s="41"/>
      <c r="BZ489" s="41"/>
      <c r="CA489" s="41"/>
      <c r="CB489" s="41"/>
      <c r="CC489" s="41"/>
    </row>
    <row r="490" spans="1:8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  <c r="BC490" s="41"/>
      <c r="BD490" s="41"/>
      <c r="BE490" s="41"/>
      <c r="BF490" s="41"/>
      <c r="BG490" s="41"/>
      <c r="BH490" s="41"/>
      <c r="BI490" s="41"/>
      <c r="BJ490" s="41"/>
      <c r="BK490" s="41"/>
      <c r="BL490" s="41"/>
      <c r="BM490" s="41"/>
      <c r="BN490" s="41"/>
      <c r="BO490" s="41"/>
      <c r="BP490" s="41"/>
      <c r="BQ490" s="41"/>
      <c r="BR490" s="41"/>
      <c r="BS490" s="41"/>
      <c r="BT490" s="41"/>
      <c r="BU490" s="41"/>
      <c r="BV490" s="41"/>
      <c r="BW490" s="41"/>
      <c r="BX490" s="41"/>
      <c r="BY490" s="41"/>
      <c r="BZ490" s="41"/>
      <c r="CA490" s="41"/>
      <c r="CB490" s="41"/>
      <c r="CC490" s="41"/>
    </row>
    <row r="491" spans="1:8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  <c r="BC491" s="41"/>
      <c r="BD491" s="41"/>
      <c r="BE491" s="41"/>
      <c r="BF491" s="41"/>
      <c r="BG491" s="41"/>
      <c r="BH491" s="41"/>
      <c r="BI491" s="41"/>
      <c r="BJ491" s="41"/>
      <c r="BK491" s="41"/>
      <c r="BL491" s="41"/>
      <c r="BM491" s="41"/>
      <c r="BN491" s="41"/>
      <c r="BO491" s="41"/>
      <c r="BP491" s="41"/>
      <c r="BQ491" s="41"/>
      <c r="BR491" s="41"/>
      <c r="BS491" s="41"/>
      <c r="BT491" s="41"/>
      <c r="BU491" s="41"/>
      <c r="BV491" s="41"/>
      <c r="BW491" s="41"/>
      <c r="BX491" s="41"/>
      <c r="BY491" s="41"/>
      <c r="BZ491" s="41"/>
      <c r="CA491" s="41"/>
      <c r="CB491" s="41"/>
      <c r="CC491" s="41"/>
    </row>
    <row r="492" spans="1:8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41"/>
      <c r="BG492" s="41"/>
      <c r="BH492" s="41"/>
      <c r="BI492" s="41"/>
      <c r="BJ492" s="41"/>
      <c r="BK492" s="41"/>
      <c r="BL492" s="41"/>
      <c r="BM492" s="41"/>
      <c r="BN492" s="41"/>
      <c r="BO492" s="41"/>
      <c r="BP492" s="41"/>
      <c r="BQ492" s="41"/>
      <c r="BR492" s="41"/>
      <c r="BS492" s="41"/>
      <c r="BT492" s="41"/>
      <c r="BU492" s="41"/>
      <c r="BV492" s="41"/>
      <c r="BW492" s="41"/>
      <c r="BX492" s="41"/>
      <c r="BY492" s="41"/>
      <c r="BZ492" s="41"/>
      <c r="CA492" s="41"/>
      <c r="CB492" s="41"/>
      <c r="CC492" s="41"/>
    </row>
    <row r="493" spans="1:8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  <c r="BC493" s="41"/>
      <c r="BD493" s="41"/>
      <c r="BE493" s="41"/>
      <c r="BF493" s="41"/>
      <c r="BG493" s="41"/>
      <c r="BH493" s="41"/>
      <c r="BI493" s="41"/>
      <c r="BJ493" s="41"/>
      <c r="BK493" s="41"/>
      <c r="BL493" s="41"/>
      <c r="BM493" s="41"/>
      <c r="BN493" s="41"/>
      <c r="BO493" s="41"/>
      <c r="BP493" s="41"/>
      <c r="BQ493" s="41"/>
      <c r="BR493" s="41"/>
      <c r="BS493" s="41"/>
      <c r="BT493" s="41"/>
      <c r="BU493" s="41"/>
      <c r="BV493" s="41"/>
      <c r="BW493" s="41"/>
      <c r="BX493" s="41"/>
      <c r="BY493" s="41"/>
      <c r="BZ493" s="41"/>
      <c r="CA493" s="41"/>
      <c r="CB493" s="41"/>
      <c r="CC493" s="41"/>
    </row>
    <row r="494" spans="1:8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  <c r="BC494" s="41"/>
      <c r="BD494" s="41"/>
      <c r="BE494" s="41"/>
      <c r="BF494" s="41"/>
      <c r="BG494" s="41"/>
      <c r="BH494" s="41"/>
      <c r="BI494" s="41"/>
      <c r="BJ494" s="41"/>
      <c r="BK494" s="41"/>
      <c r="BL494" s="41"/>
      <c r="BM494" s="41"/>
      <c r="BN494" s="41"/>
      <c r="BO494" s="41"/>
      <c r="BP494" s="41"/>
      <c r="BQ494" s="41"/>
      <c r="BR494" s="41"/>
      <c r="BS494" s="41"/>
      <c r="BT494" s="41"/>
      <c r="BU494" s="41"/>
      <c r="BV494" s="41"/>
      <c r="BW494" s="41"/>
      <c r="BX494" s="41"/>
      <c r="BY494" s="41"/>
      <c r="BZ494" s="41"/>
      <c r="CA494" s="41"/>
      <c r="CB494" s="41"/>
      <c r="CC494" s="41"/>
    </row>
    <row r="495" spans="1:8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  <c r="BC495" s="41"/>
      <c r="BD495" s="41"/>
      <c r="BE495" s="41"/>
      <c r="BF495" s="41"/>
      <c r="BG495" s="41"/>
      <c r="BH495" s="41"/>
      <c r="BI495" s="41"/>
      <c r="BJ495" s="41"/>
      <c r="BK495" s="41"/>
      <c r="BL495" s="41"/>
      <c r="BM495" s="41"/>
      <c r="BN495" s="41"/>
      <c r="BO495" s="41"/>
      <c r="BP495" s="41"/>
      <c r="BQ495" s="41"/>
      <c r="BR495" s="41"/>
      <c r="BS495" s="41"/>
      <c r="BT495" s="41"/>
      <c r="BU495" s="41"/>
      <c r="BV495" s="41"/>
      <c r="BW495" s="41"/>
      <c r="BX495" s="41"/>
      <c r="BY495" s="41"/>
      <c r="BZ495" s="41"/>
      <c r="CA495" s="41"/>
      <c r="CB495" s="41"/>
      <c r="CC495" s="41"/>
    </row>
    <row r="496" spans="1:8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  <c r="BC496" s="41"/>
      <c r="BD496" s="41"/>
      <c r="BE496" s="41"/>
      <c r="BF496" s="41"/>
      <c r="BG496" s="41"/>
      <c r="BH496" s="41"/>
      <c r="BI496" s="41"/>
      <c r="BJ496" s="41"/>
      <c r="BK496" s="41"/>
      <c r="BL496" s="41"/>
      <c r="BM496" s="41"/>
      <c r="BN496" s="41"/>
      <c r="BO496" s="41"/>
      <c r="BP496" s="41"/>
      <c r="BQ496" s="41"/>
      <c r="BR496" s="41"/>
      <c r="BS496" s="41"/>
      <c r="BT496" s="41"/>
      <c r="BU496" s="41"/>
      <c r="BV496" s="41"/>
      <c r="BW496" s="41"/>
      <c r="BX496" s="41"/>
      <c r="BY496" s="41"/>
      <c r="BZ496" s="41"/>
      <c r="CA496" s="41"/>
      <c r="CB496" s="41"/>
      <c r="CC496" s="41"/>
    </row>
    <row r="497" spans="1:8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  <c r="BC497" s="41"/>
      <c r="BD497" s="41"/>
      <c r="BE497" s="41"/>
      <c r="BF497" s="41"/>
      <c r="BG497" s="41"/>
      <c r="BH497" s="41"/>
      <c r="BI497" s="41"/>
      <c r="BJ497" s="41"/>
      <c r="BK497" s="41"/>
      <c r="BL497" s="41"/>
      <c r="BM497" s="41"/>
      <c r="BN497" s="41"/>
      <c r="BO497" s="41"/>
      <c r="BP497" s="41"/>
      <c r="BQ497" s="41"/>
      <c r="BR497" s="41"/>
      <c r="BS497" s="41"/>
      <c r="BT497" s="41"/>
      <c r="BU497" s="41"/>
      <c r="BV497" s="41"/>
      <c r="BW497" s="41"/>
      <c r="BX497" s="41"/>
      <c r="BY497" s="41"/>
      <c r="BZ497" s="41"/>
      <c r="CA497" s="41"/>
      <c r="CB497" s="41"/>
      <c r="CC497" s="41"/>
    </row>
    <row r="498" spans="1:8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  <c r="BC498" s="41"/>
      <c r="BD498" s="41"/>
      <c r="BE498" s="41"/>
      <c r="BF498" s="41"/>
      <c r="BG498" s="41"/>
      <c r="BH498" s="41"/>
      <c r="BI498" s="41"/>
      <c r="BJ498" s="41"/>
      <c r="BK498" s="41"/>
      <c r="BL498" s="41"/>
      <c r="BM498" s="41"/>
      <c r="BN498" s="41"/>
      <c r="BO498" s="41"/>
      <c r="BP498" s="41"/>
      <c r="BQ498" s="41"/>
      <c r="BR498" s="41"/>
      <c r="BS498" s="41"/>
      <c r="BT498" s="41"/>
      <c r="BU498" s="41"/>
      <c r="BV498" s="41"/>
      <c r="BW498" s="41"/>
      <c r="BX498" s="41"/>
      <c r="BY498" s="41"/>
      <c r="BZ498" s="41"/>
      <c r="CA498" s="41"/>
      <c r="CB498" s="41"/>
      <c r="CC498" s="41"/>
    </row>
    <row r="499" spans="1:8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  <c r="BC499" s="41"/>
      <c r="BD499" s="41"/>
      <c r="BE499" s="41"/>
      <c r="BF499" s="41"/>
      <c r="BG499" s="41"/>
      <c r="BH499" s="41"/>
      <c r="BI499" s="41"/>
      <c r="BJ499" s="41"/>
      <c r="BK499" s="41"/>
      <c r="BL499" s="41"/>
      <c r="BM499" s="41"/>
      <c r="BN499" s="41"/>
      <c r="BO499" s="41"/>
      <c r="BP499" s="41"/>
      <c r="BQ499" s="41"/>
      <c r="BR499" s="41"/>
      <c r="BS499" s="41"/>
      <c r="BT499" s="41"/>
      <c r="BU499" s="41"/>
      <c r="BV499" s="41"/>
      <c r="BW499" s="41"/>
      <c r="BX499" s="41"/>
      <c r="BY499" s="41"/>
      <c r="BZ499" s="41"/>
      <c r="CA499" s="41"/>
      <c r="CB499" s="41"/>
      <c r="CC499" s="41"/>
    </row>
    <row r="500" spans="1:8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41"/>
      <c r="BG500" s="41"/>
      <c r="BH500" s="41"/>
      <c r="BI500" s="41"/>
      <c r="BJ500" s="41"/>
      <c r="BK500" s="41"/>
      <c r="BL500" s="41"/>
      <c r="BM500" s="41"/>
      <c r="BN500" s="41"/>
      <c r="BO500" s="41"/>
      <c r="BP500" s="41"/>
      <c r="BQ500" s="41"/>
      <c r="BR500" s="41"/>
      <c r="BS500" s="41"/>
      <c r="BT500" s="41"/>
      <c r="BU500" s="41"/>
      <c r="BV500" s="41"/>
      <c r="BW500" s="41"/>
      <c r="BX500" s="41"/>
      <c r="BY500" s="41"/>
      <c r="BZ500" s="41"/>
      <c r="CA500" s="41"/>
      <c r="CB500" s="41"/>
      <c r="CC500" s="41"/>
    </row>
    <row r="501" spans="1:8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  <c r="BC501" s="41"/>
      <c r="BD501" s="41"/>
      <c r="BE501" s="41"/>
      <c r="BF501" s="41"/>
      <c r="BG501" s="41"/>
      <c r="BH501" s="41"/>
      <c r="BI501" s="41"/>
      <c r="BJ501" s="41"/>
      <c r="BK501" s="41"/>
      <c r="BL501" s="41"/>
      <c r="BM501" s="41"/>
      <c r="BN501" s="41"/>
      <c r="BO501" s="41"/>
      <c r="BP501" s="41"/>
      <c r="BQ501" s="41"/>
      <c r="BR501" s="41"/>
      <c r="BS501" s="41"/>
      <c r="BT501" s="41"/>
      <c r="BU501" s="41"/>
      <c r="BV501" s="41"/>
      <c r="BW501" s="41"/>
      <c r="BX501" s="41"/>
      <c r="BY501" s="41"/>
      <c r="BZ501" s="41"/>
      <c r="CA501" s="41"/>
      <c r="CB501" s="41"/>
      <c r="CC501" s="41"/>
    </row>
    <row r="502" spans="1:8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  <c r="BC502" s="41"/>
      <c r="BD502" s="41"/>
      <c r="BE502" s="41"/>
      <c r="BF502" s="41"/>
      <c r="BG502" s="41"/>
      <c r="BH502" s="41"/>
      <c r="BI502" s="41"/>
      <c r="BJ502" s="41"/>
      <c r="BK502" s="41"/>
      <c r="BL502" s="41"/>
      <c r="BM502" s="41"/>
      <c r="BN502" s="41"/>
      <c r="BO502" s="41"/>
      <c r="BP502" s="41"/>
      <c r="BQ502" s="41"/>
      <c r="BR502" s="41"/>
      <c r="BS502" s="41"/>
      <c r="BT502" s="41"/>
      <c r="BU502" s="41"/>
      <c r="BV502" s="41"/>
      <c r="BW502" s="41"/>
      <c r="BX502" s="41"/>
      <c r="BY502" s="41"/>
      <c r="BZ502" s="41"/>
      <c r="CA502" s="41"/>
      <c r="CB502" s="41"/>
      <c r="CC502" s="41"/>
    </row>
    <row r="503" spans="1:8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41"/>
      <c r="BG503" s="41"/>
      <c r="BH503" s="41"/>
      <c r="BI503" s="41"/>
      <c r="BJ503" s="41"/>
      <c r="BK503" s="41"/>
      <c r="BL503" s="41"/>
      <c r="BM503" s="41"/>
      <c r="BN503" s="41"/>
      <c r="BO503" s="41"/>
      <c r="BP503" s="41"/>
      <c r="BQ503" s="41"/>
      <c r="BR503" s="41"/>
      <c r="BS503" s="41"/>
      <c r="BT503" s="41"/>
      <c r="BU503" s="41"/>
      <c r="BV503" s="41"/>
      <c r="BW503" s="41"/>
      <c r="BX503" s="41"/>
      <c r="BY503" s="41"/>
      <c r="BZ503" s="41"/>
      <c r="CA503" s="41"/>
      <c r="CB503" s="41"/>
      <c r="CC503" s="41"/>
    </row>
    <row r="504" spans="1:8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1"/>
      <c r="BK504" s="41"/>
      <c r="BL504" s="41"/>
      <c r="BM504" s="41"/>
      <c r="BN504" s="41"/>
      <c r="BO504" s="41"/>
      <c r="BP504" s="41"/>
      <c r="BQ504" s="41"/>
      <c r="BR504" s="41"/>
      <c r="BS504" s="41"/>
      <c r="BT504" s="41"/>
      <c r="BU504" s="41"/>
      <c r="BV504" s="41"/>
      <c r="BW504" s="41"/>
      <c r="BX504" s="41"/>
      <c r="BY504" s="41"/>
      <c r="BZ504" s="41"/>
      <c r="CA504" s="41"/>
      <c r="CB504" s="41"/>
      <c r="CC504" s="41"/>
    </row>
    <row r="505" spans="1:8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  <c r="BC505" s="41"/>
      <c r="BD505" s="41"/>
      <c r="BE505" s="41"/>
      <c r="BF505" s="41"/>
      <c r="BG505" s="41"/>
      <c r="BH505" s="41"/>
      <c r="BI505" s="41"/>
      <c r="BJ505" s="41"/>
      <c r="BK505" s="41"/>
      <c r="BL505" s="41"/>
      <c r="BM505" s="41"/>
      <c r="BN505" s="41"/>
      <c r="BO505" s="41"/>
      <c r="BP505" s="41"/>
      <c r="BQ505" s="41"/>
      <c r="BR505" s="41"/>
      <c r="BS505" s="41"/>
      <c r="BT505" s="41"/>
      <c r="BU505" s="41"/>
      <c r="BV505" s="41"/>
      <c r="BW505" s="41"/>
      <c r="BX505" s="41"/>
      <c r="BY505" s="41"/>
      <c r="BZ505" s="41"/>
      <c r="CA505" s="41"/>
      <c r="CB505" s="41"/>
      <c r="CC505" s="41"/>
    </row>
    <row r="506" spans="1:8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41"/>
      <c r="BG506" s="41"/>
      <c r="BH506" s="41"/>
      <c r="BI506" s="41"/>
      <c r="BJ506" s="41"/>
      <c r="BK506" s="41"/>
      <c r="BL506" s="41"/>
      <c r="BM506" s="41"/>
      <c r="BN506" s="41"/>
      <c r="BO506" s="41"/>
      <c r="BP506" s="41"/>
      <c r="BQ506" s="41"/>
      <c r="BR506" s="41"/>
      <c r="BS506" s="41"/>
      <c r="BT506" s="41"/>
      <c r="BU506" s="41"/>
      <c r="BV506" s="41"/>
      <c r="BW506" s="41"/>
      <c r="BX506" s="41"/>
      <c r="BY506" s="41"/>
      <c r="BZ506" s="41"/>
      <c r="CA506" s="41"/>
      <c r="CB506" s="41"/>
      <c r="CC506" s="41"/>
    </row>
    <row r="507" spans="1:8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  <c r="BC507" s="41"/>
      <c r="BD507" s="41"/>
      <c r="BE507" s="41"/>
      <c r="BF507" s="41"/>
      <c r="BG507" s="41"/>
      <c r="BH507" s="41"/>
      <c r="BI507" s="41"/>
      <c r="BJ507" s="41"/>
      <c r="BK507" s="41"/>
      <c r="BL507" s="41"/>
      <c r="BM507" s="41"/>
      <c r="BN507" s="41"/>
      <c r="BO507" s="41"/>
      <c r="BP507" s="41"/>
      <c r="BQ507" s="41"/>
      <c r="BR507" s="41"/>
      <c r="BS507" s="41"/>
      <c r="BT507" s="41"/>
      <c r="BU507" s="41"/>
      <c r="BV507" s="41"/>
      <c r="BW507" s="41"/>
      <c r="BX507" s="41"/>
      <c r="BY507" s="41"/>
      <c r="BZ507" s="41"/>
      <c r="CA507" s="41"/>
      <c r="CB507" s="41"/>
      <c r="CC507" s="41"/>
    </row>
    <row r="508" spans="1:8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  <c r="BC508" s="41"/>
      <c r="BD508" s="41"/>
      <c r="BE508" s="41"/>
      <c r="BF508" s="41"/>
      <c r="BG508" s="41"/>
      <c r="BH508" s="41"/>
      <c r="BI508" s="41"/>
      <c r="BJ508" s="41"/>
      <c r="BK508" s="41"/>
      <c r="BL508" s="41"/>
      <c r="BM508" s="41"/>
      <c r="BN508" s="41"/>
      <c r="BO508" s="41"/>
      <c r="BP508" s="41"/>
      <c r="BQ508" s="41"/>
      <c r="BR508" s="41"/>
      <c r="BS508" s="41"/>
      <c r="BT508" s="41"/>
      <c r="BU508" s="41"/>
      <c r="BV508" s="41"/>
      <c r="BW508" s="41"/>
      <c r="BX508" s="41"/>
      <c r="BY508" s="41"/>
      <c r="BZ508" s="41"/>
      <c r="CA508" s="41"/>
      <c r="CB508" s="41"/>
      <c r="CC508" s="41"/>
    </row>
    <row r="509" spans="1:8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  <c r="BC509" s="41"/>
      <c r="BD509" s="41"/>
      <c r="BE509" s="41"/>
      <c r="BF509" s="41"/>
      <c r="BG509" s="41"/>
      <c r="BH509" s="41"/>
      <c r="BI509" s="41"/>
      <c r="BJ509" s="41"/>
      <c r="BK509" s="41"/>
      <c r="BL509" s="41"/>
      <c r="BM509" s="41"/>
      <c r="BN509" s="41"/>
      <c r="BO509" s="41"/>
      <c r="BP509" s="41"/>
      <c r="BQ509" s="41"/>
      <c r="BR509" s="41"/>
      <c r="BS509" s="41"/>
      <c r="BT509" s="41"/>
      <c r="BU509" s="41"/>
      <c r="BV509" s="41"/>
      <c r="BW509" s="41"/>
      <c r="BX509" s="41"/>
      <c r="BY509" s="41"/>
      <c r="BZ509" s="41"/>
      <c r="CA509" s="41"/>
      <c r="CB509" s="41"/>
      <c r="CC509" s="41"/>
    </row>
    <row r="510" spans="1:8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41"/>
      <c r="BG510" s="41"/>
      <c r="BH510" s="41"/>
      <c r="BI510" s="41"/>
      <c r="BJ510" s="41"/>
      <c r="BK510" s="41"/>
      <c r="BL510" s="41"/>
      <c r="BM510" s="41"/>
      <c r="BN510" s="41"/>
      <c r="BO510" s="41"/>
      <c r="BP510" s="41"/>
      <c r="BQ510" s="41"/>
      <c r="BR510" s="41"/>
      <c r="BS510" s="41"/>
      <c r="BT510" s="41"/>
      <c r="BU510" s="41"/>
      <c r="BV510" s="41"/>
      <c r="BW510" s="41"/>
      <c r="BX510" s="41"/>
      <c r="BY510" s="41"/>
      <c r="BZ510" s="41"/>
      <c r="CA510" s="41"/>
      <c r="CB510" s="41"/>
      <c r="CC510" s="41"/>
    </row>
    <row r="511" spans="1:8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  <c r="BC511" s="41"/>
      <c r="BD511" s="41"/>
      <c r="BE511" s="41"/>
      <c r="BF511" s="41"/>
      <c r="BG511" s="41"/>
      <c r="BH511" s="41"/>
      <c r="BI511" s="41"/>
      <c r="BJ511" s="41"/>
      <c r="BK511" s="41"/>
      <c r="BL511" s="41"/>
      <c r="BM511" s="41"/>
      <c r="BN511" s="41"/>
      <c r="BO511" s="41"/>
      <c r="BP511" s="41"/>
      <c r="BQ511" s="41"/>
      <c r="BR511" s="41"/>
      <c r="BS511" s="41"/>
      <c r="BT511" s="41"/>
      <c r="BU511" s="41"/>
      <c r="BV511" s="41"/>
      <c r="BW511" s="41"/>
      <c r="BX511" s="41"/>
      <c r="BY511" s="41"/>
      <c r="BZ511" s="41"/>
      <c r="CA511" s="41"/>
      <c r="CB511" s="41"/>
      <c r="CC511" s="41"/>
    </row>
    <row r="512" spans="1:8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  <c r="BC512" s="41"/>
      <c r="BD512" s="41"/>
      <c r="BE512" s="41"/>
      <c r="BF512" s="41"/>
      <c r="BG512" s="41"/>
      <c r="BH512" s="41"/>
      <c r="BI512" s="41"/>
      <c r="BJ512" s="41"/>
      <c r="BK512" s="41"/>
      <c r="BL512" s="41"/>
      <c r="BM512" s="41"/>
      <c r="BN512" s="41"/>
      <c r="BO512" s="41"/>
      <c r="BP512" s="41"/>
      <c r="BQ512" s="41"/>
      <c r="BR512" s="41"/>
      <c r="BS512" s="41"/>
      <c r="BT512" s="41"/>
      <c r="BU512" s="41"/>
      <c r="BV512" s="41"/>
      <c r="BW512" s="41"/>
      <c r="BX512" s="41"/>
      <c r="BY512" s="41"/>
      <c r="BZ512" s="41"/>
      <c r="CA512" s="41"/>
      <c r="CB512" s="41"/>
      <c r="CC512" s="41"/>
    </row>
    <row r="513" spans="1:8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  <c r="BC513" s="41"/>
      <c r="BD513" s="41"/>
      <c r="BE513" s="41"/>
      <c r="BF513" s="41"/>
      <c r="BG513" s="41"/>
      <c r="BH513" s="41"/>
      <c r="BI513" s="41"/>
      <c r="BJ513" s="41"/>
      <c r="BK513" s="41"/>
      <c r="BL513" s="41"/>
      <c r="BM513" s="41"/>
      <c r="BN513" s="41"/>
      <c r="BO513" s="41"/>
      <c r="BP513" s="41"/>
      <c r="BQ513" s="41"/>
      <c r="BR513" s="41"/>
      <c r="BS513" s="41"/>
      <c r="BT513" s="41"/>
      <c r="BU513" s="41"/>
      <c r="BV513" s="41"/>
      <c r="BW513" s="41"/>
      <c r="BX513" s="41"/>
      <c r="BY513" s="41"/>
      <c r="BZ513" s="41"/>
      <c r="CA513" s="41"/>
      <c r="CB513" s="41"/>
      <c r="CC513" s="41"/>
    </row>
    <row r="514" spans="1:8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1"/>
      <c r="BK514" s="41"/>
      <c r="BL514" s="41"/>
      <c r="BM514" s="41"/>
      <c r="BN514" s="41"/>
      <c r="BO514" s="41"/>
      <c r="BP514" s="41"/>
      <c r="BQ514" s="41"/>
      <c r="BR514" s="41"/>
      <c r="BS514" s="41"/>
      <c r="BT514" s="41"/>
      <c r="BU514" s="41"/>
      <c r="BV514" s="41"/>
      <c r="BW514" s="41"/>
      <c r="BX514" s="41"/>
      <c r="BY514" s="41"/>
      <c r="BZ514" s="41"/>
      <c r="CA514" s="41"/>
      <c r="CB514" s="41"/>
      <c r="CC514" s="41"/>
    </row>
    <row r="515" spans="1:8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  <c r="BC515" s="41"/>
      <c r="BD515" s="41"/>
      <c r="BE515" s="41"/>
      <c r="BF515" s="41"/>
      <c r="BG515" s="41"/>
      <c r="BH515" s="41"/>
      <c r="BI515" s="41"/>
      <c r="BJ515" s="41"/>
      <c r="BK515" s="41"/>
      <c r="BL515" s="41"/>
      <c r="BM515" s="41"/>
      <c r="BN515" s="41"/>
      <c r="BO515" s="41"/>
      <c r="BP515" s="41"/>
      <c r="BQ515" s="41"/>
      <c r="BR515" s="41"/>
      <c r="BS515" s="41"/>
      <c r="BT515" s="41"/>
      <c r="BU515" s="41"/>
      <c r="BV515" s="41"/>
      <c r="BW515" s="41"/>
      <c r="BX515" s="41"/>
      <c r="BY515" s="41"/>
      <c r="BZ515" s="41"/>
      <c r="CA515" s="41"/>
      <c r="CB515" s="41"/>
      <c r="CC515" s="41"/>
    </row>
    <row r="516" spans="1:8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  <c r="BC516" s="41"/>
      <c r="BD516" s="41"/>
      <c r="BE516" s="41"/>
      <c r="BF516" s="41"/>
      <c r="BG516" s="41"/>
      <c r="BH516" s="41"/>
      <c r="BI516" s="41"/>
      <c r="BJ516" s="41"/>
      <c r="BK516" s="41"/>
      <c r="BL516" s="41"/>
      <c r="BM516" s="41"/>
      <c r="BN516" s="41"/>
      <c r="BO516" s="41"/>
      <c r="BP516" s="41"/>
      <c r="BQ516" s="41"/>
      <c r="BR516" s="41"/>
      <c r="BS516" s="41"/>
      <c r="BT516" s="41"/>
      <c r="BU516" s="41"/>
      <c r="BV516" s="41"/>
      <c r="BW516" s="41"/>
      <c r="BX516" s="41"/>
      <c r="BY516" s="41"/>
      <c r="BZ516" s="41"/>
      <c r="CA516" s="41"/>
      <c r="CB516" s="41"/>
      <c r="CC516" s="41"/>
    </row>
    <row r="517" spans="1:8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  <c r="BC517" s="41"/>
      <c r="BD517" s="41"/>
      <c r="BE517" s="41"/>
      <c r="BF517" s="41"/>
      <c r="BG517" s="41"/>
      <c r="BH517" s="41"/>
      <c r="BI517" s="41"/>
      <c r="BJ517" s="41"/>
      <c r="BK517" s="41"/>
      <c r="BL517" s="41"/>
      <c r="BM517" s="41"/>
      <c r="BN517" s="41"/>
      <c r="BO517" s="41"/>
      <c r="BP517" s="41"/>
      <c r="BQ517" s="41"/>
      <c r="BR517" s="41"/>
      <c r="BS517" s="41"/>
      <c r="BT517" s="41"/>
      <c r="BU517" s="41"/>
      <c r="BV517" s="41"/>
      <c r="BW517" s="41"/>
      <c r="BX517" s="41"/>
      <c r="BY517" s="41"/>
      <c r="BZ517" s="41"/>
      <c r="CA517" s="41"/>
      <c r="CB517" s="41"/>
      <c r="CC517" s="41"/>
    </row>
    <row r="518" spans="1:8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41"/>
      <c r="BG518" s="41"/>
      <c r="BH518" s="41"/>
      <c r="BI518" s="41"/>
      <c r="BJ518" s="41"/>
      <c r="BK518" s="41"/>
      <c r="BL518" s="41"/>
      <c r="BM518" s="41"/>
      <c r="BN518" s="41"/>
      <c r="BO518" s="41"/>
      <c r="BP518" s="41"/>
      <c r="BQ518" s="41"/>
      <c r="BR518" s="41"/>
      <c r="BS518" s="41"/>
      <c r="BT518" s="41"/>
      <c r="BU518" s="41"/>
      <c r="BV518" s="41"/>
      <c r="BW518" s="41"/>
      <c r="BX518" s="41"/>
      <c r="BY518" s="41"/>
      <c r="BZ518" s="41"/>
      <c r="CA518" s="41"/>
      <c r="CB518" s="41"/>
      <c r="CC518" s="41"/>
    </row>
    <row r="519" spans="1:8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  <c r="BC519" s="41"/>
      <c r="BD519" s="41"/>
      <c r="BE519" s="41"/>
      <c r="BF519" s="41"/>
      <c r="BG519" s="41"/>
      <c r="BH519" s="41"/>
      <c r="BI519" s="41"/>
      <c r="BJ519" s="41"/>
      <c r="BK519" s="41"/>
      <c r="BL519" s="41"/>
      <c r="BM519" s="41"/>
      <c r="BN519" s="41"/>
      <c r="BO519" s="41"/>
      <c r="BP519" s="41"/>
      <c r="BQ519" s="41"/>
      <c r="BR519" s="41"/>
      <c r="BS519" s="41"/>
      <c r="BT519" s="41"/>
      <c r="BU519" s="41"/>
      <c r="BV519" s="41"/>
      <c r="BW519" s="41"/>
      <c r="BX519" s="41"/>
      <c r="BY519" s="41"/>
      <c r="BZ519" s="41"/>
      <c r="CA519" s="41"/>
      <c r="CB519" s="41"/>
      <c r="CC519" s="41"/>
    </row>
    <row r="520" spans="1:8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  <c r="BC520" s="41"/>
      <c r="BD520" s="41"/>
      <c r="BE520" s="41"/>
      <c r="BF520" s="41"/>
      <c r="BG520" s="41"/>
      <c r="BH520" s="41"/>
      <c r="BI520" s="41"/>
      <c r="BJ520" s="41"/>
      <c r="BK520" s="41"/>
      <c r="BL520" s="41"/>
      <c r="BM520" s="41"/>
      <c r="BN520" s="41"/>
      <c r="BO520" s="41"/>
      <c r="BP520" s="41"/>
      <c r="BQ520" s="41"/>
      <c r="BR520" s="41"/>
      <c r="BS520" s="41"/>
      <c r="BT520" s="41"/>
      <c r="BU520" s="41"/>
      <c r="BV520" s="41"/>
      <c r="BW520" s="41"/>
      <c r="BX520" s="41"/>
      <c r="BY520" s="41"/>
      <c r="BZ520" s="41"/>
      <c r="CA520" s="41"/>
      <c r="CB520" s="41"/>
      <c r="CC520" s="41"/>
    </row>
    <row r="521" spans="1:8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  <c r="BC521" s="41"/>
      <c r="BD521" s="41"/>
      <c r="BE521" s="41"/>
      <c r="BF521" s="41"/>
      <c r="BG521" s="41"/>
      <c r="BH521" s="41"/>
      <c r="BI521" s="41"/>
      <c r="BJ521" s="41"/>
      <c r="BK521" s="41"/>
      <c r="BL521" s="41"/>
      <c r="BM521" s="41"/>
      <c r="BN521" s="41"/>
      <c r="BO521" s="41"/>
      <c r="BP521" s="41"/>
      <c r="BQ521" s="41"/>
      <c r="BR521" s="41"/>
      <c r="BS521" s="41"/>
      <c r="BT521" s="41"/>
      <c r="BU521" s="41"/>
      <c r="BV521" s="41"/>
      <c r="BW521" s="41"/>
      <c r="BX521" s="41"/>
      <c r="BY521" s="41"/>
      <c r="BZ521" s="41"/>
      <c r="CA521" s="41"/>
      <c r="CB521" s="41"/>
      <c r="CC521" s="41"/>
    </row>
    <row r="522" spans="1:8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/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1"/>
      <c r="CA522" s="41"/>
      <c r="CB522" s="41"/>
      <c r="CC522" s="41"/>
    </row>
    <row r="523" spans="1:8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  <c r="BC523" s="41"/>
      <c r="BD523" s="41"/>
      <c r="BE523" s="41"/>
      <c r="BF523" s="41"/>
      <c r="BG523" s="41"/>
      <c r="BH523" s="41"/>
      <c r="BI523" s="41"/>
      <c r="BJ523" s="41"/>
      <c r="BK523" s="41"/>
      <c r="BL523" s="41"/>
      <c r="BM523" s="41"/>
      <c r="BN523" s="41"/>
      <c r="BO523" s="41"/>
      <c r="BP523" s="41"/>
      <c r="BQ523" s="41"/>
      <c r="BR523" s="41"/>
      <c r="BS523" s="41"/>
      <c r="BT523" s="41"/>
      <c r="BU523" s="41"/>
      <c r="BV523" s="41"/>
      <c r="BW523" s="41"/>
      <c r="BX523" s="41"/>
      <c r="BY523" s="41"/>
      <c r="BZ523" s="41"/>
      <c r="CA523" s="41"/>
      <c r="CB523" s="41"/>
      <c r="CC523" s="41"/>
    </row>
    <row r="524" spans="1:8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  <c r="BC524" s="41"/>
      <c r="BD524" s="41"/>
      <c r="BE524" s="41"/>
      <c r="BF524" s="41"/>
      <c r="BG524" s="41"/>
      <c r="BH524" s="41"/>
      <c r="BI524" s="41"/>
      <c r="BJ524" s="41"/>
      <c r="BK524" s="41"/>
      <c r="BL524" s="41"/>
      <c r="BM524" s="41"/>
      <c r="BN524" s="41"/>
      <c r="BO524" s="41"/>
      <c r="BP524" s="41"/>
      <c r="BQ524" s="41"/>
      <c r="BR524" s="41"/>
      <c r="BS524" s="41"/>
      <c r="BT524" s="41"/>
      <c r="BU524" s="41"/>
      <c r="BV524" s="41"/>
      <c r="BW524" s="41"/>
      <c r="BX524" s="41"/>
      <c r="BY524" s="41"/>
      <c r="BZ524" s="41"/>
      <c r="CA524" s="41"/>
      <c r="CB524" s="41"/>
      <c r="CC524" s="41"/>
    </row>
    <row r="525" spans="1:8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  <c r="BC525" s="41"/>
      <c r="BD525" s="41"/>
      <c r="BE525" s="41"/>
      <c r="BF525" s="41"/>
      <c r="BG525" s="41"/>
      <c r="BH525" s="41"/>
      <c r="BI525" s="41"/>
      <c r="BJ525" s="41"/>
      <c r="BK525" s="41"/>
      <c r="BL525" s="41"/>
      <c r="BM525" s="41"/>
      <c r="BN525" s="41"/>
      <c r="BO525" s="41"/>
      <c r="BP525" s="41"/>
      <c r="BQ525" s="41"/>
      <c r="BR525" s="41"/>
      <c r="BS525" s="41"/>
      <c r="BT525" s="41"/>
      <c r="BU525" s="41"/>
      <c r="BV525" s="41"/>
      <c r="BW525" s="41"/>
      <c r="BX525" s="41"/>
      <c r="BY525" s="41"/>
      <c r="BZ525" s="41"/>
      <c r="CA525" s="41"/>
      <c r="CB525" s="41"/>
      <c r="CC525" s="41"/>
    </row>
    <row r="526" spans="1:8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41"/>
      <c r="BG526" s="41"/>
      <c r="BH526" s="41"/>
      <c r="BI526" s="41"/>
      <c r="BJ526" s="41"/>
      <c r="BK526" s="41"/>
      <c r="BL526" s="41"/>
      <c r="BM526" s="41"/>
      <c r="BN526" s="41"/>
      <c r="BO526" s="41"/>
      <c r="BP526" s="41"/>
      <c r="BQ526" s="41"/>
      <c r="BR526" s="41"/>
      <c r="BS526" s="41"/>
      <c r="BT526" s="41"/>
      <c r="BU526" s="41"/>
      <c r="BV526" s="41"/>
      <c r="BW526" s="41"/>
      <c r="BX526" s="41"/>
      <c r="BY526" s="41"/>
      <c r="BZ526" s="41"/>
      <c r="CA526" s="41"/>
      <c r="CB526" s="41"/>
      <c r="CC526" s="41"/>
    </row>
    <row r="527" spans="1:8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  <c r="BC527" s="41"/>
      <c r="BD527" s="41"/>
      <c r="BE527" s="41"/>
      <c r="BF527" s="41"/>
      <c r="BG527" s="41"/>
      <c r="BH527" s="41"/>
      <c r="BI527" s="41"/>
      <c r="BJ527" s="41"/>
      <c r="BK527" s="41"/>
      <c r="BL527" s="41"/>
      <c r="BM527" s="41"/>
      <c r="BN527" s="41"/>
      <c r="BO527" s="41"/>
      <c r="BP527" s="41"/>
      <c r="BQ527" s="41"/>
      <c r="BR527" s="41"/>
      <c r="BS527" s="41"/>
      <c r="BT527" s="41"/>
      <c r="BU527" s="41"/>
      <c r="BV527" s="41"/>
      <c r="BW527" s="41"/>
      <c r="BX527" s="41"/>
      <c r="BY527" s="41"/>
      <c r="BZ527" s="41"/>
      <c r="CA527" s="41"/>
      <c r="CB527" s="41"/>
      <c r="CC527" s="41"/>
    </row>
    <row r="528" spans="1:8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41"/>
      <c r="BG528" s="41"/>
      <c r="BH528" s="41"/>
      <c r="BI528" s="41"/>
      <c r="BJ528" s="41"/>
      <c r="BK528" s="41"/>
      <c r="BL528" s="41"/>
      <c r="BM528" s="41"/>
      <c r="BN528" s="41"/>
      <c r="BO528" s="41"/>
      <c r="BP528" s="41"/>
      <c r="BQ528" s="41"/>
      <c r="BR528" s="41"/>
      <c r="BS528" s="41"/>
      <c r="BT528" s="41"/>
      <c r="BU528" s="41"/>
      <c r="BV528" s="41"/>
      <c r="BW528" s="41"/>
      <c r="BX528" s="41"/>
      <c r="BY528" s="41"/>
      <c r="BZ528" s="41"/>
      <c r="CA528" s="41"/>
      <c r="CB528" s="41"/>
      <c r="CC528" s="41"/>
    </row>
    <row r="529" spans="1:8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  <c r="BC529" s="41"/>
      <c r="BD529" s="41"/>
      <c r="BE529" s="41"/>
      <c r="BF529" s="41"/>
      <c r="BG529" s="41"/>
      <c r="BH529" s="41"/>
      <c r="BI529" s="41"/>
      <c r="BJ529" s="41"/>
      <c r="BK529" s="41"/>
      <c r="BL529" s="41"/>
      <c r="BM529" s="41"/>
      <c r="BN529" s="41"/>
      <c r="BO529" s="41"/>
      <c r="BP529" s="41"/>
      <c r="BQ529" s="41"/>
      <c r="BR529" s="41"/>
      <c r="BS529" s="41"/>
      <c r="BT529" s="41"/>
      <c r="BU529" s="41"/>
      <c r="BV529" s="41"/>
      <c r="BW529" s="41"/>
      <c r="BX529" s="41"/>
      <c r="BY529" s="41"/>
      <c r="BZ529" s="41"/>
      <c r="CA529" s="41"/>
      <c r="CB529" s="41"/>
      <c r="CC529" s="41"/>
    </row>
    <row r="530" spans="1:8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  <c r="BC530" s="41"/>
      <c r="BD530" s="41"/>
      <c r="BE530" s="41"/>
      <c r="BF530" s="41"/>
      <c r="BG530" s="41"/>
      <c r="BH530" s="41"/>
      <c r="BI530" s="41"/>
      <c r="BJ530" s="41"/>
      <c r="BK530" s="41"/>
      <c r="BL530" s="41"/>
      <c r="BM530" s="41"/>
      <c r="BN530" s="41"/>
      <c r="BO530" s="41"/>
      <c r="BP530" s="41"/>
      <c r="BQ530" s="41"/>
      <c r="BR530" s="41"/>
      <c r="BS530" s="41"/>
      <c r="BT530" s="41"/>
      <c r="BU530" s="41"/>
      <c r="BV530" s="41"/>
      <c r="BW530" s="41"/>
      <c r="BX530" s="41"/>
      <c r="BY530" s="41"/>
      <c r="BZ530" s="41"/>
      <c r="CA530" s="41"/>
      <c r="CB530" s="41"/>
      <c r="CC530" s="41"/>
    </row>
    <row r="531" spans="1:8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  <c r="BC531" s="41"/>
      <c r="BD531" s="41"/>
      <c r="BE531" s="41"/>
      <c r="BF531" s="41"/>
      <c r="BG531" s="41"/>
      <c r="BH531" s="41"/>
      <c r="BI531" s="41"/>
      <c r="BJ531" s="41"/>
      <c r="BK531" s="41"/>
      <c r="BL531" s="41"/>
      <c r="BM531" s="41"/>
      <c r="BN531" s="41"/>
      <c r="BO531" s="41"/>
      <c r="BP531" s="41"/>
      <c r="BQ531" s="41"/>
      <c r="BR531" s="41"/>
      <c r="BS531" s="41"/>
      <c r="BT531" s="41"/>
      <c r="BU531" s="41"/>
      <c r="BV531" s="41"/>
      <c r="BW531" s="41"/>
      <c r="BX531" s="41"/>
      <c r="BY531" s="41"/>
      <c r="BZ531" s="41"/>
      <c r="CA531" s="41"/>
      <c r="CB531" s="41"/>
      <c r="CC531" s="41"/>
    </row>
    <row r="532" spans="1:8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  <c r="BG532" s="41"/>
      <c r="BH532" s="41"/>
      <c r="BI532" s="41"/>
      <c r="BJ532" s="41"/>
      <c r="BK532" s="41"/>
      <c r="BL532" s="41"/>
      <c r="BM532" s="41"/>
      <c r="BN532" s="41"/>
      <c r="BO532" s="41"/>
      <c r="BP532" s="41"/>
      <c r="BQ532" s="41"/>
      <c r="BR532" s="41"/>
      <c r="BS532" s="41"/>
      <c r="BT532" s="41"/>
      <c r="BU532" s="41"/>
      <c r="BV532" s="41"/>
      <c r="BW532" s="41"/>
      <c r="BX532" s="41"/>
      <c r="BY532" s="41"/>
      <c r="BZ532" s="41"/>
      <c r="CA532" s="41"/>
      <c r="CB532" s="41"/>
      <c r="CC532" s="41"/>
    </row>
    <row r="533" spans="1:8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  <c r="BC533" s="41"/>
      <c r="BD533" s="41"/>
      <c r="BE533" s="41"/>
      <c r="BF533" s="41"/>
      <c r="BG533" s="41"/>
      <c r="BH533" s="41"/>
      <c r="BI533" s="41"/>
      <c r="BJ533" s="41"/>
      <c r="BK533" s="41"/>
      <c r="BL533" s="41"/>
      <c r="BM533" s="41"/>
      <c r="BN533" s="41"/>
      <c r="BO533" s="41"/>
      <c r="BP533" s="41"/>
      <c r="BQ533" s="41"/>
      <c r="BR533" s="41"/>
      <c r="BS533" s="41"/>
      <c r="BT533" s="41"/>
      <c r="BU533" s="41"/>
      <c r="BV533" s="41"/>
      <c r="BW533" s="41"/>
      <c r="BX533" s="41"/>
      <c r="BY533" s="41"/>
      <c r="BZ533" s="41"/>
      <c r="CA533" s="41"/>
      <c r="CB533" s="41"/>
      <c r="CC533" s="41"/>
    </row>
    <row r="534" spans="1:8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  <c r="BC534" s="41"/>
      <c r="BD534" s="41"/>
      <c r="BE534" s="41"/>
      <c r="BF534" s="41"/>
      <c r="BG534" s="41"/>
      <c r="BH534" s="41"/>
      <c r="BI534" s="41"/>
      <c r="BJ534" s="41"/>
      <c r="BK534" s="41"/>
      <c r="BL534" s="41"/>
      <c r="BM534" s="41"/>
      <c r="BN534" s="41"/>
      <c r="BO534" s="41"/>
      <c r="BP534" s="41"/>
      <c r="BQ534" s="41"/>
      <c r="BR534" s="41"/>
      <c r="BS534" s="41"/>
      <c r="BT534" s="41"/>
      <c r="BU534" s="41"/>
      <c r="BV534" s="41"/>
      <c r="BW534" s="41"/>
      <c r="BX534" s="41"/>
      <c r="BY534" s="41"/>
      <c r="BZ534" s="41"/>
      <c r="CA534" s="41"/>
      <c r="CB534" s="41"/>
      <c r="CC534" s="41"/>
    </row>
    <row r="535" spans="1:8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  <c r="BC535" s="41"/>
      <c r="BD535" s="41"/>
      <c r="BE535" s="41"/>
      <c r="BF535" s="41"/>
      <c r="BG535" s="41"/>
      <c r="BH535" s="41"/>
      <c r="BI535" s="41"/>
      <c r="BJ535" s="41"/>
      <c r="BK535" s="41"/>
      <c r="BL535" s="41"/>
      <c r="BM535" s="41"/>
      <c r="BN535" s="41"/>
      <c r="BO535" s="41"/>
      <c r="BP535" s="41"/>
      <c r="BQ535" s="41"/>
      <c r="BR535" s="41"/>
      <c r="BS535" s="41"/>
      <c r="BT535" s="41"/>
      <c r="BU535" s="41"/>
      <c r="BV535" s="41"/>
      <c r="BW535" s="41"/>
      <c r="BX535" s="41"/>
      <c r="BY535" s="41"/>
      <c r="BZ535" s="41"/>
      <c r="CA535" s="41"/>
      <c r="CB535" s="41"/>
      <c r="CC535" s="41"/>
    </row>
    <row r="536" spans="1:8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  <c r="BC536" s="41"/>
      <c r="BD536" s="41"/>
      <c r="BE536" s="41"/>
      <c r="BF536" s="41"/>
      <c r="BG536" s="41"/>
      <c r="BH536" s="41"/>
      <c r="BI536" s="41"/>
      <c r="BJ536" s="41"/>
      <c r="BK536" s="41"/>
      <c r="BL536" s="41"/>
      <c r="BM536" s="41"/>
      <c r="BN536" s="41"/>
      <c r="BO536" s="41"/>
      <c r="BP536" s="41"/>
      <c r="BQ536" s="41"/>
      <c r="BR536" s="41"/>
      <c r="BS536" s="41"/>
      <c r="BT536" s="41"/>
      <c r="BU536" s="41"/>
      <c r="BV536" s="41"/>
      <c r="BW536" s="41"/>
      <c r="BX536" s="41"/>
      <c r="BY536" s="41"/>
      <c r="BZ536" s="41"/>
      <c r="CA536" s="41"/>
      <c r="CB536" s="41"/>
      <c r="CC536" s="41"/>
    </row>
    <row r="537" spans="1:8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  <c r="BC537" s="41"/>
      <c r="BD537" s="41"/>
      <c r="BE537" s="41"/>
      <c r="BF537" s="41"/>
      <c r="BG537" s="41"/>
      <c r="BH537" s="41"/>
      <c r="BI537" s="41"/>
      <c r="BJ537" s="41"/>
      <c r="BK537" s="41"/>
      <c r="BL537" s="41"/>
      <c r="BM537" s="41"/>
      <c r="BN537" s="41"/>
      <c r="BO537" s="41"/>
      <c r="BP537" s="41"/>
      <c r="BQ537" s="41"/>
      <c r="BR537" s="41"/>
      <c r="BS537" s="41"/>
      <c r="BT537" s="41"/>
      <c r="BU537" s="41"/>
      <c r="BV537" s="41"/>
      <c r="BW537" s="41"/>
      <c r="BX537" s="41"/>
      <c r="BY537" s="41"/>
      <c r="BZ537" s="41"/>
      <c r="CA537" s="41"/>
      <c r="CB537" s="41"/>
      <c r="CC537" s="41"/>
    </row>
    <row r="538" spans="1:8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  <c r="BG538" s="41"/>
      <c r="BH538" s="41"/>
      <c r="BI538" s="41"/>
      <c r="BJ538" s="41"/>
      <c r="BK538" s="41"/>
      <c r="BL538" s="41"/>
      <c r="BM538" s="41"/>
      <c r="BN538" s="41"/>
      <c r="BO538" s="41"/>
      <c r="BP538" s="41"/>
      <c r="BQ538" s="41"/>
      <c r="BR538" s="41"/>
      <c r="BS538" s="41"/>
      <c r="BT538" s="41"/>
      <c r="BU538" s="41"/>
      <c r="BV538" s="41"/>
      <c r="BW538" s="41"/>
      <c r="BX538" s="41"/>
      <c r="BY538" s="41"/>
      <c r="BZ538" s="41"/>
      <c r="CA538" s="41"/>
      <c r="CB538" s="41"/>
      <c r="CC538" s="41"/>
    </row>
    <row r="539" spans="1:8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  <c r="BC539" s="41"/>
      <c r="BD539" s="41"/>
      <c r="BE539" s="41"/>
      <c r="BF539" s="41"/>
      <c r="BG539" s="41"/>
      <c r="BH539" s="41"/>
      <c r="BI539" s="41"/>
      <c r="BJ539" s="41"/>
      <c r="BK539" s="41"/>
      <c r="BL539" s="41"/>
      <c r="BM539" s="41"/>
      <c r="BN539" s="41"/>
      <c r="BO539" s="41"/>
      <c r="BP539" s="41"/>
      <c r="BQ539" s="41"/>
      <c r="BR539" s="41"/>
      <c r="BS539" s="41"/>
      <c r="BT539" s="41"/>
      <c r="BU539" s="41"/>
      <c r="BV539" s="41"/>
      <c r="BW539" s="41"/>
      <c r="BX539" s="41"/>
      <c r="BY539" s="41"/>
      <c r="BZ539" s="41"/>
      <c r="CA539" s="41"/>
      <c r="CB539" s="41"/>
      <c r="CC539" s="41"/>
    </row>
    <row r="540" spans="1:8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  <c r="BG540" s="41"/>
      <c r="BH540" s="41"/>
      <c r="BI540" s="41"/>
      <c r="BJ540" s="41"/>
      <c r="BK540" s="41"/>
      <c r="BL540" s="41"/>
      <c r="BM540" s="41"/>
      <c r="BN540" s="41"/>
      <c r="BO540" s="41"/>
      <c r="BP540" s="41"/>
      <c r="BQ540" s="41"/>
      <c r="BR540" s="41"/>
      <c r="BS540" s="41"/>
      <c r="BT540" s="41"/>
      <c r="BU540" s="41"/>
      <c r="BV540" s="41"/>
      <c r="BW540" s="41"/>
      <c r="BX540" s="41"/>
      <c r="BY540" s="41"/>
      <c r="BZ540" s="41"/>
      <c r="CA540" s="41"/>
      <c r="CB540" s="41"/>
      <c r="CC540" s="41"/>
    </row>
    <row r="541" spans="1:8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  <c r="BC541" s="41"/>
      <c r="BD541" s="41"/>
      <c r="BE541" s="41"/>
      <c r="BF541" s="41"/>
      <c r="BG541" s="41"/>
      <c r="BH541" s="41"/>
      <c r="BI541" s="41"/>
      <c r="BJ541" s="41"/>
      <c r="BK541" s="41"/>
      <c r="BL541" s="41"/>
      <c r="BM541" s="41"/>
      <c r="BN541" s="41"/>
      <c r="BO541" s="41"/>
      <c r="BP541" s="41"/>
      <c r="BQ541" s="41"/>
      <c r="BR541" s="41"/>
      <c r="BS541" s="41"/>
      <c r="BT541" s="41"/>
      <c r="BU541" s="41"/>
      <c r="BV541" s="41"/>
      <c r="BW541" s="41"/>
      <c r="BX541" s="41"/>
      <c r="BY541" s="41"/>
      <c r="BZ541" s="41"/>
      <c r="CA541" s="41"/>
      <c r="CB541" s="41"/>
      <c r="CC541" s="41"/>
    </row>
    <row r="542" spans="1:8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  <c r="BC542" s="41"/>
      <c r="BD542" s="41"/>
      <c r="BE542" s="41"/>
      <c r="BF542" s="41"/>
      <c r="BG542" s="41"/>
      <c r="BH542" s="41"/>
      <c r="BI542" s="41"/>
      <c r="BJ542" s="41"/>
      <c r="BK542" s="41"/>
      <c r="BL542" s="41"/>
      <c r="BM542" s="41"/>
      <c r="BN542" s="41"/>
      <c r="BO542" s="41"/>
      <c r="BP542" s="41"/>
      <c r="BQ542" s="41"/>
      <c r="BR542" s="41"/>
      <c r="BS542" s="41"/>
      <c r="BT542" s="41"/>
      <c r="BU542" s="41"/>
      <c r="BV542" s="41"/>
      <c r="BW542" s="41"/>
      <c r="BX542" s="41"/>
      <c r="BY542" s="41"/>
      <c r="BZ542" s="41"/>
      <c r="CA542" s="41"/>
      <c r="CB542" s="41"/>
      <c r="CC542" s="41"/>
    </row>
    <row r="543" spans="1:8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  <c r="BC543" s="41"/>
      <c r="BD543" s="41"/>
      <c r="BE543" s="41"/>
      <c r="BF543" s="41"/>
      <c r="BG543" s="41"/>
      <c r="BH543" s="41"/>
      <c r="BI543" s="41"/>
      <c r="BJ543" s="41"/>
      <c r="BK543" s="41"/>
      <c r="BL543" s="41"/>
      <c r="BM543" s="41"/>
      <c r="BN543" s="41"/>
      <c r="BO543" s="41"/>
      <c r="BP543" s="41"/>
      <c r="BQ543" s="41"/>
      <c r="BR543" s="41"/>
      <c r="BS543" s="41"/>
      <c r="BT543" s="41"/>
      <c r="BU543" s="41"/>
      <c r="BV543" s="41"/>
      <c r="BW543" s="41"/>
      <c r="BX543" s="41"/>
      <c r="BY543" s="41"/>
      <c r="BZ543" s="41"/>
      <c r="CA543" s="41"/>
      <c r="CB543" s="41"/>
      <c r="CC543" s="41"/>
    </row>
    <row r="544" spans="1:8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  <c r="BC544" s="41"/>
      <c r="BD544" s="41"/>
      <c r="BE544" s="41"/>
      <c r="BF544" s="41"/>
      <c r="BG544" s="41"/>
      <c r="BH544" s="41"/>
      <c r="BI544" s="41"/>
      <c r="BJ544" s="41"/>
      <c r="BK544" s="41"/>
      <c r="BL544" s="41"/>
      <c r="BM544" s="41"/>
      <c r="BN544" s="41"/>
      <c r="BO544" s="41"/>
      <c r="BP544" s="41"/>
      <c r="BQ544" s="41"/>
      <c r="BR544" s="41"/>
      <c r="BS544" s="41"/>
      <c r="BT544" s="41"/>
      <c r="BU544" s="41"/>
      <c r="BV544" s="41"/>
      <c r="BW544" s="41"/>
      <c r="BX544" s="41"/>
      <c r="BY544" s="41"/>
      <c r="BZ544" s="41"/>
      <c r="CA544" s="41"/>
      <c r="CB544" s="41"/>
      <c r="CC544" s="41"/>
    </row>
    <row r="545" spans="1:8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  <c r="BC545" s="41"/>
      <c r="BD545" s="41"/>
      <c r="BE545" s="41"/>
      <c r="BF545" s="41"/>
      <c r="BG545" s="41"/>
      <c r="BH545" s="41"/>
      <c r="BI545" s="41"/>
      <c r="BJ545" s="41"/>
      <c r="BK545" s="41"/>
      <c r="BL545" s="41"/>
      <c r="BM545" s="41"/>
      <c r="BN545" s="41"/>
      <c r="BO545" s="41"/>
      <c r="BP545" s="41"/>
      <c r="BQ545" s="41"/>
      <c r="BR545" s="41"/>
      <c r="BS545" s="41"/>
      <c r="BT545" s="41"/>
      <c r="BU545" s="41"/>
      <c r="BV545" s="41"/>
      <c r="BW545" s="41"/>
      <c r="BX545" s="41"/>
      <c r="BY545" s="41"/>
      <c r="BZ545" s="41"/>
      <c r="CA545" s="41"/>
      <c r="CB545" s="41"/>
      <c r="CC545" s="41"/>
    </row>
    <row r="546" spans="1:8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  <c r="BC546" s="41"/>
      <c r="BD546" s="41"/>
      <c r="BE546" s="41"/>
      <c r="BF546" s="41"/>
      <c r="BG546" s="41"/>
      <c r="BH546" s="41"/>
      <c r="BI546" s="41"/>
      <c r="BJ546" s="41"/>
      <c r="BK546" s="41"/>
      <c r="BL546" s="41"/>
      <c r="BM546" s="41"/>
      <c r="BN546" s="41"/>
      <c r="BO546" s="41"/>
      <c r="BP546" s="41"/>
      <c r="BQ546" s="41"/>
      <c r="BR546" s="41"/>
      <c r="BS546" s="41"/>
      <c r="BT546" s="41"/>
      <c r="BU546" s="41"/>
      <c r="BV546" s="41"/>
      <c r="BW546" s="41"/>
      <c r="BX546" s="41"/>
      <c r="BY546" s="41"/>
      <c r="BZ546" s="41"/>
      <c r="CA546" s="41"/>
      <c r="CB546" s="41"/>
      <c r="CC546" s="41"/>
    </row>
    <row r="547" spans="1:8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  <c r="BC547" s="41"/>
      <c r="BD547" s="41"/>
      <c r="BE547" s="41"/>
      <c r="BF547" s="41"/>
      <c r="BG547" s="41"/>
      <c r="BH547" s="41"/>
      <c r="BI547" s="41"/>
      <c r="BJ547" s="41"/>
      <c r="BK547" s="41"/>
      <c r="BL547" s="41"/>
      <c r="BM547" s="41"/>
      <c r="BN547" s="41"/>
      <c r="BO547" s="41"/>
      <c r="BP547" s="41"/>
      <c r="BQ547" s="41"/>
      <c r="BR547" s="41"/>
      <c r="BS547" s="41"/>
      <c r="BT547" s="41"/>
      <c r="BU547" s="41"/>
      <c r="BV547" s="41"/>
      <c r="BW547" s="41"/>
      <c r="BX547" s="41"/>
      <c r="BY547" s="41"/>
      <c r="BZ547" s="41"/>
      <c r="CA547" s="41"/>
      <c r="CB547" s="41"/>
      <c r="CC547" s="41"/>
    </row>
    <row r="548" spans="1:8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  <c r="BC548" s="41"/>
      <c r="BD548" s="41"/>
      <c r="BE548" s="41"/>
      <c r="BF548" s="41"/>
      <c r="BG548" s="41"/>
      <c r="BH548" s="41"/>
      <c r="BI548" s="41"/>
      <c r="BJ548" s="41"/>
      <c r="BK548" s="41"/>
      <c r="BL548" s="41"/>
      <c r="BM548" s="41"/>
      <c r="BN548" s="41"/>
      <c r="BO548" s="41"/>
      <c r="BP548" s="41"/>
      <c r="BQ548" s="41"/>
      <c r="BR548" s="41"/>
      <c r="BS548" s="41"/>
      <c r="BT548" s="41"/>
      <c r="BU548" s="41"/>
      <c r="BV548" s="41"/>
      <c r="BW548" s="41"/>
      <c r="BX548" s="41"/>
      <c r="BY548" s="41"/>
      <c r="BZ548" s="41"/>
      <c r="CA548" s="41"/>
      <c r="CB548" s="41"/>
      <c r="CC548" s="41"/>
    </row>
    <row r="549" spans="1:8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41"/>
      <c r="BG549" s="41"/>
      <c r="BH549" s="41"/>
      <c r="BI549" s="41"/>
      <c r="BJ549" s="41"/>
      <c r="BK549" s="41"/>
      <c r="BL549" s="41"/>
      <c r="BM549" s="41"/>
      <c r="BN549" s="41"/>
      <c r="BO549" s="41"/>
      <c r="BP549" s="41"/>
      <c r="BQ549" s="41"/>
      <c r="BR549" s="41"/>
      <c r="BS549" s="41"/>
      <c r="BT549" s="41"/>
      <c r="BU549" s="41"/>
      <c r="BV549" s="41"/>
      <c r="BW549" s="41"/>
      <c r="BX549" s="41"/>
      <c r="BY549" s="41"/>
      <c r="BZ549" s="41"/>
      <c r="CA549" s="41"/>
      <c r="CB549" s="41"/>
      <c r="CC549" s="41"/>
    </row>
    <row r="550" spans="1:8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  <c r="BC550" s="41"/>
      <c r="BD550" s="41"/>
      <c r="BE550" s="41"/>
      <c r="BF550" s="41"/>
      <c r="BG550" s="41"/>
      <c r="BH550" s="41"/>
      <c r="BI550" s="41"/>
      <c r="BJ550" s="41"/>
      <c r="BK550" s="41"/>
      <c r="BL550" s="41"/>
      <c r="BM550" s="41"/>
      <c r="BN550" s="41"/>
      <c r="BO550" s="41"/>
      <c r="BP550" s="41"/>
      <c r="BQ550" s="41"/>
      <c r="BR550" s="41"/>
      <c r="BS550" s="41"/>
      <c r="BT550" s="41"/>
      <c r="BU550" s="41"/>
      <c r="BV550" s="41"/>
      <c r="BW550" s="41"/>
      <c r="BX550" s="41"/>
      <c r="BY550" s="41"/>
      <c r="BZ550" s="41"/>
      <c r="CA550" s="41"/>
      <c r="CB550" s="41"/>
      <c r="CC550" s="41"/>
    </row>
    <row r="551" spans="1:8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41"/>
      <c r="BG551" s="41"/>
      <c r="BH551" s="41"/>
      <c r="BI551" s="41"/>
      <c r="BJ551" s="41"/>
      <c r="BK551" s="41"/>
      <c r="BL551" s="41"/>
      <c r="BM551" s="41"/>
      <c r="BN551" s="41"/>
      <c r="BO551" s="41"/>
      <c r="BP551" s="41"/>
      <c r="BQ551" s="41"/>
      <c r="BR551" s="41"/>
      <c r="BS551" s="41"/>
      <c r="BT551" s="41"/>
      <c r="BU551" s="41"/>
      <c r="BV551" s="41"/>
      <c r="BW551" s="41"/>
      <c r="BX551" s="41"/>
      <c r="BY551" s="41"/>
      <c r="BZ551" s="41"/>
      <c r="CA551" s="41"/>
      <c r="CB551" s="41"/>
      <c r="CC551" s="41"/>
    </row>
    <row r="552" spans="1:8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  <c r="BG552" s="41"/>
      <c r="BH552" s="41"/>
      <c r="BI552" s="41"/>
      <c r="BJ552" s="41"/>
      <c r="BK552" s="41"/>
      <c r="BL552" s="41"/>
      <c r="BM552" s="41"/>
      <c r="BN552" s="41"/>
      <c r="BO552" s="41"/>
      <c r="BP552" s="41"/>
      <c r="BQ552" s="41"/>
      <c r="BR552" s="41"/>
      <c r="BS552" s="41"/>
      <c r="BT552" s="41"/>
      <c r="BU552" s="41"/>
      <c r="BV552" s="41"/>
      <c r="BW552" s="41"/>
      <c r="BX552" s="41"/>
      <c r="BY552" s="41"/>
      <c r="BZ552" s="41"/>
      <c r="CA552" s="41"/>
      <c r="CB552" s="41"/>
      <c r="CC552" s="41"/>
    </row>
    <row r="553" spans="1:8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  <c r="BC553" s="41"/>
      <c r="BD553" s="41"/>
      <c r="BE553" s="41"/>
      <c r="BF553" s="41"/>
      <c r="BG553" s="41"/>
      <c r="BH553" s="41"/>
      <c r="BI553" s="41"/>
      <c r="BJ553" s="41"/>
      <c r="BK553" s="41"/>
      <c r="BL553" s="41"/>
      <c r="BM553" s="41"/>
      <c r="BN553" s="41"/>
      <c r="BO553" s="41"/>
      <c r="BP553" s="41"/>
      <c r="BQ553" s="41"/>
      <c r="BR553" s="41"/>
      <c r="BS553" s="41"/>
      <c r="BT553" s="41"/>
      <c r="BU553" s="41"/>
      <c r="BV553" s="41"/>
      <c r="BW553" s="41"/>
      <c r="BX553" s="41"/>
      <c r="BY553" s="41"/>
      <c r="BZ553" s="41"/>
      <c r="CA553" s="41"/>
      <c r="CB553" s="41"/>
      <c r="CC553" s="41"/>
    </row>
    <row r="554" spans="1:8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  <c r="BC554" s="41"/>
      <c r="BD554" s="41"/>
      <c r="BE554" s="41"/>
      <c r="BF554" s="41"/>
      <c r="BG554" s="41"/>
      <c r="BH554" s="41"/>
      <c r="BI554" s="41"/>
      <c r="BJ554" s="41"/>
      <c r="BK554" s="41"/>
      <c r="BL554" s="41"/>
      <c r="BM554" s="41"/>
      <c r="BN554" s="41"/>
      <c r="BO554" s="41"/>
      <c r="BP554" s="41"/>
      <c r="BQ554" s="41"/>
      <c r="BR554" s="41"/>
      <c r="BS554" s="41"/>
      <c r="BT554" s="41"/>
      <c r="BU554" s="41"/>
      <c r="BV554" s="41"/>
      <c r="BW554" s="41"/>
      <c r="BX554" s="41"/>
      <c r="BY554" s="41"/>
      <c r="BZ554" s="41"/>
      <c r="CA554" s="41"/>
      <c r="CB554" s="41"/>
      <c r="CC554" s="41"/>
    </row>
    <row r="555" spans="1:8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  <c r="BC555" s="41"/>
      <c r="BD555" s="41"/>
      <c r="BE555" s="41"/>
      <c r="BF555" s="41"/>
      <c r="BG555" s="41"/>
      <c r="BH555" s="41"/>
      <c r="BI555" s="41"/>
      <c r="BJ555" s="41"/>
      <c r="BK555" s="41"/>
      <c r="BL555" s="41"/>
      <c r="BM555" s="41"/>
      <c r="BN555" s="41"/>
      <c r="BO555" s="41"/>
      <c r="BP555" s="41"/>
      <c r="BQ555" s="41"/>
      <c r="BR555" s="41"/>
      <c r="BS555" s="41"/>
      <c r="BT555" s="41"/>
      <c r="BU555" s="41"/>
      <c r="BV555" s="41"/>
      <c r="BW555" s="41"/>
      <c r="BX555" s="41"/>
      <c r="BY555" s="41"/>
      <c r="BZ555" s="41"/>
      <c r="CA555" s="41"/>
      <c r="CB555" s="41"/>
      <c r="CC555" s="41"/>
    </row>
    <row r="556" spans="1:8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  <c r="BC556" s="41"/>
      <c r="BD556" s="41"/>
      <c r="BE556" s="41"/>
      <c r="BF556" s="41"/>
      <c r="BG556" s="41"/>
      <c r="BH556" s="41"/>
      <c r="BI556" s="41"/>
      <c r="BJ556" s="41"/>
      <c r="BK556" s="41"/>
      <c r="BL556" s="41"/>
      <c r="BM556" s="41"/>
      <c r="BN556" s="41"/>
      <c r="BO556" s="41"/>
      <c r="BP556" s="41"/>
      <c r="BQ556" s="41"/>
      <c r="BR556" s="41"/>
      <c r="BS556" s="41"/>
      <c r="BT556" s="41"/>
      <c r="BU556" s="41"/>
      <c r="BV556" s="41"/>
      <c r="BW556" s="41"/>
      <c r="BX556" s="41"/>
      <c r="BY556" s="41"/>
      <c r="BZ556" s="41"/>
      <c r="CA556" s="41"/>
      <c r="CB556" s="41"/>
      <c r="CC556" s="41"/>
    </row>
    <row r="557" spans="1:8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  <c r="BC557" s="41"/>
      <c r="BD557" s="41"/>
      <c r="BE557" s="41"/>
      <c r="BF557" s="41"/>
      <c r="BG557" s="41"/>
      <c r="BH557" s="41"/>
      <c r="BI557" s="41"/>
      <c r="BJ557" s="41"/>
      <c r="BK557" s="41"/>
      <c r="BL557" s="41"/>
      <c r="BM557" s="41"/>
      <c r="BN557" s="41"/>
      <c r="BO557" s="41"/>
      <c r="BP557" s="41"/>
      <c r="BQ557" s="41"/>
      <c r="BR557" s="41"/>
      <c r="BS557" s="41"/>
      <c r="BT557" s="41"/>
      <c r="BU557" s="41"/>
      <c r="BV557" s="41"/>
      <c r="BW557" s="41"/>
      <c r="BX557" s="41"/>
      <c r="BY557" s="41"/>
      <c r="BZ557" s="41"/>
      <c r="CA557" s="41"/>
      <c r="CB557" s="41"/>
      <c r="CC557" s="41"/>
    </row>
    <row r="558" spans="1:8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  <c r="BC558" s="41"/>
      <c r="BD558" s="41"/>
      <c r="BE558" s="41"/>
      <c r="BF558" s="41"/>
      <c r="BG558" s="41"/>
      <c r="BH558" s="41"/>
      <c r="BI558" s="41"/>
      <c r="BJ558" s="41"/>
      <c r="BK558" s="41"/>
      <c r="BL558" s="41"/>
      <c r="BM558" s="41"/>
      <c r="BN558" s="41"/>
      <c r="BO558" s="41"/>
      <c r="BP558" s="41"/>
      <c r="BQ558" s="41"/>
      <c r="BR558" s="41"/>
      <c r="BS558" s="41"/>
      <c r="BT558" s="41"/>
      <c r="BU558" s="41"/>
      <c r="BV558" s="41"/>
      <c r="BW558" s="41"/>
      <c r="BX558" s="41"/>
      <c r="BY558" s="41"/>
      <c r="BZ558" s="41"/>
      <c r="CA558" s="41"/>
      <c r="CB558" s="41"/>
      <c r="CC558" s="41"/>
    </row>
    <row r="559" spans="1:8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  <c r="BC559" s="41"/>
      <c r="BD559" s="41"/>
      <c r="BE559" s="41"/>
      <c r="BF559" s="41"/>
      <c r="BG559" s="41"/>
      <c r="BH559" s="41"/>
      <c r="BI559" s="41"/>
      <c r="BJ559" s="41"/>
      <c r="BK559" s="41"/>
      <c r="BL559" s="41"/>
      <c r="BM559" s="41"/>
      <c r="BN559" s="41"/>
      <c r="BO559" s="41"/>
      <c r="BP559" s="41"/>
      <c r="BQ559" s="41"/>
      <c r="BR559" s="41"/>
      <c r="BS559" s="41"/>
      <c r="BT559" s="41"/>
      <c r="BU559" s="41"/>
      <c r="BV559" s="41"/>
      <c r="BW559" s="41"/>
      <c r="BX559" s="41"/>
      <c r="BY559" s="41"/>
      <c r="BZ559" s="41"/>
      <c r="CA559" s="41"/>
      <c r="CB559" s="41"/>
      <c r="CC559" s="41"/>
    </row>
    <row r="560" spans="1:8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/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1"/>
      <c r="CA560" s="41"/>
      <c r="CB560" s="41"/>
      <c r="CC560" s="41"/>
    </row>
    <row r="561" spans="1:8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41"/>
      <c r="BG561" s="41"/>
      <c r="BH561" s="41"/>
      <c r="BI561" s="41"/>
      <c r="BJ561" s="41"/>
      <c r="BK561" s="41"/>
      <c r="BL561" s="41"/>
      <c r="BM561" s="41"/>
      <c r="BN561" s="41"/>
      <c r="BO561" s="41"/>
      <c r="BP561" s="41"/>
      <c r="BQ561" s="41"/>
      <c r="BR561" s="41"/>
      <c r="BS561" s="41"/>
      <c r="BT561" s="41"/>
      <c r="BU561" s="41"/>
      <c r="BV561" s="41"/>
      <c r="BW561" s="41"/>
      <c r="BX561" s="41"/>
      <c r="BY561" s="41"/>
      <c r="BZ561" s="41"/>
      <c r="CA561" s="41"/>
      <c r="CB561" s="41"/>
      <c r="CC561" s="41"/>
    </row>
    <row r="562" spans="1:8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  <c r="BC562" s="41"/>
      <c r="BD562" s="41"/>
      <c r="BE562" s="41"/>
      <c r="BF562" s="41"/>
      <c r="BG562" s="41"/>
      <c r="BH562" s="41"/>
      <c r="BI562" s="41"/>
      <c r="BJ562" s="41"/>
      <c r="BK562" s="41"/>
      <c r="BL562" s="41"/>
      <c r="BM562" s="41"/>
      <c r="BN562" s="41"/>
      <c r="BO562" s="41"/>
      <c r="BP562" s="41"/>
      <c r="BQ562" s="41"/>
      <c r="BR562" s="41"/>
      <c r="BS562" s="41"/>
      <c r="BT562" s="41"/>
      <c r="BU562" s="41"/>
      <c r="BV562" s="41"/>
      <c r="BW562" s="41"/>
      <c r="BX562" s="41"/>
      <c r="BY562" s="41"/>
      <c r="BZ562" s="41"/>
      <c r="CA562" s="41"/>
      <c r="CB562" s="41"/>
      <c r="CC562" s="41"/>
    </row>
    <row r="563" spans="1:8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41"/>
      <c r="BG563" s="41"/>
      <c r="BH563" s="41"/>
      <c r="BI563" s="41"/>
      <c r="BJ563" s="41"/>
      <c r="BK563" s="41"/>
      <c r="BL563" s="41"/>
      <c r="BM563" s="41"/>
      <c r="BN563" s="41"/>
      <c r="BO563" s="41"/>
      <c r="BP563" s="41"/>
      <c r="BQ563" s="41"/>
      <c r="BR563" s="41"/>
      <c r="BS563" s="41"/>
      <c r="BT563" s="41"/>
      <c r="BU563" s="41"/>
      <c r="BV563" s="41"/>
      <c r="BW563" s="41"/>
      <c r="BX563" s="41"/>
      <c r="BY563" s="41"/>
      <c r="BZ563" s="41"/>
      <c r="CA563" s="41"/>
      <c r="CB563" s="41"/>
      <c r="CC563" s="41"/>
    </row>
    <row r="564" spans="1:8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  <c r="BC564" s="41"/>
      <c r="BD564" s="41"/>
      <c r="BE564" s="41"/>
      <c r="BF564" s="41"/>
      <c r="BG564" s="41"/>
      <c r="BH564" s="41"/>
      <c r="BI564" s="41"/>
      <c r="BJ564" s="41"/>
      <c r="BK564" s="41"/>
      <c r="BL564" s="41"/>
      <c r="BM564" s="41"/>
      <c r="BN564" s="41"/>
      <c r="BO564" s="41"/>
      <c r="BP564" s="41"/>
      <c r="BQ564" s="41"/>
      <c r="BR564" s="41"/>
      <c r="BS564" s="41"/>
      <c r="BT564" s="41"/>
      <c r="BU564" s="41"/>
      <c r="BV564" s="41"/>
      <c r="BW564" s="41"/>
      <c r="BX564" s="41"/>
      <c r="BY564" s="41"/>
      <c r="BZ564" s="41"/>
      <c r="CA564" s="41"/>
      <c r="CB564" s="41"/>
      <c r="CC564" s="41"/>
    </row>
    <row r="565" spans="1:8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1"/>
      <c r="BK565" s="41"/>
      <c r="BL565" s="41"/>
      <c r="BM565" s="41"/>
      <c r="BN565" s="41"/>
      <c r="BO565" s="41"/>
      <c r="BP565" s="41"/>
      <c r="BQ565" s="41"/>
      <c r="BR565" s="41"/>
      <c r="BS565" s="41"/>
      <c r="BT565" s="41"/>
      <c r="BU565" s="41"/>
      <c r="BV565" s="41"/>
      <c r="BW565" s="41"/>
      <c r="BX565" s="41"/>
      <c r="BY565" s="41"/>
      <c r="BZ565" s="41"/>
      <c r="CA565" s="41"/>
      <c r="CB565" s="41"/>
      <c r="CC565" s="41"/>
    </row>
    <row r="566" spans="1:8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41"/>
      <c r="BG566" s="41"/>
      <c r="BH566" s="41"/>
      <c r="BI566" s="41"/>
      <c r="BJ566" s="41"/>
      <c r="BK566" s="41"/>
      <c r="BL566" s="41"/>
      <c r="BM566" s="41"/>
      <c r="BN566" s="41"/>
      <c r="BO566" s="41"/>
      <c r="BP566" s="41"/>
      <c r="BQ566" s="41"/>
      <c r="BR566" s="41"/>
      <c r="BS566" s="41"/>
      <c r="BT566" s="41"/>
      <c r="BU566" s="41"/>
      <c r="BV566" s="41"/>
      <c r="BW566" s="41"/>
      <c r="BX566" s="41"/>
      <c r="BY566" s="41"/>
      <c r="BZ566" s="41"/>
      <c r="CA566" s="41"/>
      <c r="CB566" s="41"/>
      <c r="CC566" s="41"/>
    </row>
    <row r="567" spans="1:8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1"/>
      <c r="BK567" s="41"/>
      <c r="BL567" s="41"/>
      <c r="BM567" s="41"/>
      <c r="BN567" s="41"/>
      <c r="BO567" s="41"/>
      <c r="BP567" s="41"/>
      <c r="BQ567" s="41"/>
      <c r="BR567" s="41"/>
      <c r="BS567" s="41"/>
      <c r="BT567" s="41"/>
      <c r="BU567" s="41"/>
      <c r="BV567" s="41"/>
      <c r="BW567" s="41"/>
      <c r="BX567" s="41"/>
      <c r="BY567" s="41"/>
      <c r="BZ567" s="41"/>
      <c r="CA567" s="41"/>
      <c r="CB567" s="41"/>
      <c r="CC567" s="41"/>
    </row>
    <row r="568" spans="1:8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  <c r="BC568" s="41"/>
      <c r="BD568" s="41"/>
      <c r="BE568" s="41"/>
      <c r="BF568" s="41"/>
      <c r="BG568" s="41"/>
      <c r="BH568" s="41"/>
      <c r="BI568" s="41"/>
      <c r="BJ568" s="41"/>
      <c r="BK568" s="41"/>
      <c r="BL568" s="41"/>
      <c r="BM568" s="41"/>
      <c r="BN568" s="41"/>
      <c r="BO568" s="41"/>
      <c r="BP568" s="41"/>
      <c r="BQ568" s="41"/>
      <c r="BR568" s="41"/>
      <c r="BS568" s="41"/>
      <c r="BT568" s="41"/>
      <c r="BU568" s="41"/>
      <c r="BV568" s="41"/>
      <c r="BW568" s="41"/>
      <c r="BX568" s="41"/>
      <c r="BY568" s="41"/>
      <c r="BZ568" s="41"/>
      <c r="CA568" s="41"/>
      <c r="CB568" s="41"/>
      <c r="CC568" s="41"/>
    </row>
    <row r="569" spans="1:8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  <c r="BC569" s="41"/>
      <c r="BD569" s="41"/>
      <c r="BE569" s="41"/>
      <c r="BF569" s="41"/>
      <c r="BG569" s="41"/>
      <c r="BH569" s="41"/>
      <c r="BI569" s="41"/>
      <c r="BJ569" s="41"/>
      <c r="BK569" s="41"/>
      <c r="BL569" s="41"/>
      <c r="BM569" s="41"/>
      <c r="BN569" s="41"/>
      <c r="BO569" s="41"/>
      <c r="BP569" s="41"/>
      <c r="BQ569" s="41"/>
      <c r="BR569" s="41"/>
      <c r="BS569" s="41"/>
      <c r="BT569" s="41"/>
      <c r="BU569" s="41"/>
      <c r="BV569" s="41"/>
      <c r="BW569" s="41"/>
      <c r="BX569" s="41"/>
      <c r="BY569" s="41"/>
      <c r="BZ569" s="41"/>
      <c r="CA569" s="41"/>
      <c r="CB569" s="41"/>
      <c r="CC569" s="41"/>
    </row>
    <row r="570" spans="1:8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  <c r="BC570" s="41"/>
      <c r="BD570" s="41"/>
      <c r="BE570" s="41"/>
      <c r="BF570" s="41"/>
      <c r="BG570" s="41"/>
      <c r="BH570" s="41"/>
      <c r="BI570" s="41"/>
      <c r="BJ570" s="41"/>
      <c r="BK570" s="41"/>
      <c r="BL570" s="41"/>
      <c r="BM570" s="41"/>
      <c r="BN570" s="41"/>
      <c r="BO570" s="41"/>
      <c r="BP570" s="41"/>
      <c r="BQ570" s="41"/>
      <c r="BR570" s="41"/>
      <c r="BS570" s="41"/>
      <c r="BT570" s="41"/>
      <c r="BU570" s="41"/>
      <c r="BV570" s="41"/>
      <c r="BW570" s="41"/>
      <c r="BX570" s="41"/>
      <c r="BY570" s="41"/>
      <c r="BZ570" s="41"/>
      <c r="CA570" s="41"/>
      <c r="CB570" s="41"/>
      <c r="CC570" s="41"/>
    </row>
    <row r="571" spans="1:8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  <c r="BC571" s="41"/>
      <c r="BD571" s="41"/>
      <c r="BE571" s="41"/>
      <c r="BF571" s="41"/>
      <c r="BG571" s="41"/>
      <c r="BH571" s="41"/>
      <c r="BI571" s="41"/>
      <c r="BJ571" s="41"/>
      <c r="BK571" s="41"/>
      <c r="BL571" s="41"/>
      <c r="BM571" s="41"/>
      <c r="BN571" s="41"/>
      <c r="BO571" s="41"/>
      <c r="BP571" s="41"/>
      <c r="BQ571" s="41"/>
      <c r="BR571" s="41"/>
      <c r="BS571" s="41"/>
      <c r="BT571" s="41"/>
      <c r="BU571" s="41"/>
      <c r="BV571" s="41"/>
      <c r="BW571" s="41"/>
      <c r="BX571" s="41"/>
      <c r="BY571" s="41"/>
      <c r="BZ571" s="41"/>
      <c r="CA571" s="41"/>
      <c r="CB571" s="41"/>
      <c r="CC571" s="41"/>
    </row>
    <row r="572" spans="1:8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  <c r="BC572" s="41"/>
      <c r="BD572" s="41"/>
      <c r="BE572" s="41"/>
      <c r="BF572" s="41"/>
      <c r="BG572" s="41"/>
      <c r="BH572" s="41"/>
      <c r="BI572" s="41"/>
      <c r="BJ572" s="41"/>
      <c r="BK572" s="41"/>
      <c r="BL572" s="41"/>
      <c r="BM572" s="41"/>
      <c r="BN572" s="41"/>
      <c r="BO572" s="41"/>
      <c r="BP572" s="41"/>
      <c r="BQ572" s="41"/>
      <c r="BR572" s="41"/>
      <c r="BS572" s="41"/>
      <c r="BT572" s="41"/>
      <c r="BU572" s="41"/>
      <c r="BV572" s="41"/>
      <c r="BW572" s="41"/>
      <c r="BX572" s="41"/>
      <c r="BY572" s="41"/>
      <c r="BZ572" s="41"/>
      <c r="CA572" s="41"/>
      <c r="CB572" s="41"/>
      <c r="CC572" s="41"/>
    </row>
    <row r="573" spans="1:8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41"/>
      <c r="BG573" s="41"/>
      <c r="BH573" s="41"/>
      <c r="BI573" s="41"/>
      <c r="BJ573" s="41"/>
      <c r="BK573" s="41"/>
      <c r="BL573" s="41"/>
      <c r="BM573" s="41"/>
      <c r="BN573" s="41"/>
      <c r="BO573" s="41"/>
      <c r="BP573" s="41"/>
      <c r="BQ573" s="41"/>
      <c r="BR573" s="41"/>
      <c r="BS573" s="41"/>
      <c r="BT573" s="41"/>
      <c r="BU573" s="41"/>
      <c r="BV573" s="41"/>
      <c r="BW573" s="41"/>
      <c r="BX573" s="41"/>
      <c r="BY573" s="41"/>
      <c r="BZ573" s="41"/>
      <c r="CA573" s="41"/>
      <c r="CB573" s="41"/>
      <c r="CC573" s="41"/>
    </row>
    <row r="574" spans="1:8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  <c r="BC574" s="41"/>
      <c r="BD574" s="41"/>
      <c r="BE574" s="41"/>
      <c r="BF574" s="41"/>
      <c r="BG574" s="41"/>
      <c r="BH574" s="41"/>
      <c r="BI574" s="41"/>
      <c r="BJ574" s="41"/>
      <c r="BK574" s="41"/>
      <c r="BL574" s="41"/>
      <c r="BM574" s="41"/>
      <c r="BN574" s="41"/>
      <c r="BO574" s="41"/>
      <c r="BP574" s="41"/>
      <c r="BQ574" s="41"/>
      <c r="BR574" s="41"/>
      <c r="BS574" s="41"/>
      <c r="BT574" s="41"/>
      <c r="BU574" s="41"/>
      <c r="BV574" s="41"/>
      <c r="BW574" s="41"/>
      <c r="BX574" s="41"/>
      <c r="BY574" s="41"/>
      <c r="BZ574" s="41"/>
      <c r="CA574" s="41"/>
      <c r="CB574" s="41"/>
      <c r="CC574" s="41"/>
    </row>
    <row r="575" spans="1:8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  <c r="BC575" s="41"/>
      <c r="BD575" s="41"/>
      <c r="BE575" s="41"/>
      <c r="BF575" s="41"/>
      <c r="BG575" s="41"/>
      <c r="BH575" s="41"/>
      <c r="BI575" s="41"/>
      <c r="BJ575" s="41"/>
      <c r="BK575" s="41"/>
      <c r="BL575" s="41"/>
      <c r="BM575" s="41"/>
      <c r="BN575" s="41"/>
      <c r="BO575" s="41"/>
      <c r="BP575" s="41"/>
      <c r="BQ575" s="41"/>
      <c r="BR575" s="41"/>
      <c r="BS575" s="41"/>
      <c r="BT575" s="41"/>
      <c r="BU575" s="41"/>
      <c r="BV575" s="41"/>
      <c r="BW575" s="41"/>
      <c r="BX575" s="41"/>
      <c r="BY575" s="41"/>
      <c r="BZ575" s="41"/>
      <c r="CA575" s="41"/>
      <c r="CB575" s="41"/>
      <c r="CC575" s="41"/>
    </row>
    <row r="576" spans="1:8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  <c r="BC576" s="41"/>
      <c r="BD576" s="41"/>
      <c r="BE576" s="41"/>
      <c r="BF576" s="41"/>
      <c r="BG576" s="41"/>
      <c r="BH576" s="41"/>
      <c r="BI576" s="41"/>
      <c r="BJ576" s="41"/>
      <c r="BK576" s="41"/>
      <c r="BL576" s="41"/>
      <c r="BM576" s="41"/>
      <c r="BN576" s="41"/>
      <c r="BO576" s="41"/>
      <c r="BP576" s="41"/>
      <c r="BQ576" s="41"/>
      <c r="BR576" s="41"/>
      <c r="BS576" s="41"/>
      <c r="BT576" s="41"/>
      <c r="BU576" s="41"/>
      <c r="BV576" s="41"/>
      <c r="BW576" s="41"/>
      <c r="BX576" s="41"/>
      <c r="BY576" s="41"/>
      <c r="BZ576" s="41"/>
      <c r="CA576" s="41"/>
      <c r="CB576" s="41"/>
      <c r="CC576" s="41"/>
    </row>
    <row r="577" spans="1:8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/>
      <c r="BI577" s="41"/>
      <c r="BJ577" s="41"/>
      <c r="BK577" s="41"/>
      <c r="BL577" s="41"/>
      <c r="BM577" s="41"/>
      <c r="BN577" s="41"/>
      <c r="BO577" s="41"/>
      <c r="BP577" s="41"/>
      <c r="BQ577" s="41"/>
      <c r="BR577" s="41"/>
      <c r="BS577" s="41"/>
      <c r="BT577" s="41"/>
      <c r="BU577" s="41"/>
      <c r="BV577" s="41"/>
      <c r="BW577" s="41"/>
      <c r="BX577" s="41"/>
      <c r="BY577" s="41"/>
      <c r="BZ577" s="41"/>
      <c r="CA577" s="41"/>
      <c r="CB577" s="41"/>
      <c r="CC577" s="41"/>
    </row>
    <row r="578" spans="1:8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  <c r="BC578" s="41"/>
      <c r="BD578" s="41"/>
      <c r="BE578" s="41"/>
      <c r="BF578" s="41"/>
      <c r="BG578" s="41"/>
      <c r="BH578" s="41"/>
      <c r="BI578" s="41"/>
      <c r="BJ578" s="41"/>
      <c r="BK578" s="41"/>
      <c r="BL578" s="41"/>
      <c r="BM578" s="41"/>
      <c r="BN578" s="41"/>
      <c r="BO578" s="41"/>
      <c r="BP578" s="41"/>
      <c r="BQ578" s="41"/>
      <c r="BR578" s="41"/>
      <c r="BS578" s="41"/>
      <c r="BT578" s="41"/>
      <c r="BU578" s="41"/>
      <c r="BV578" s="41"/>
      <c r="BW578" s="41"/>
      <c r="BX578" s="41"/>
      <c r="BY578" s="41"/>
      <c r="BZ578" s="41"/>
      <c r="CA578" s="41"/>
      <c r="CB578" s="41"/>
      <c r="CC578" s="41"/>
    </row>
    <row r="579" spans="1:8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  <c r="BC579" s="41"/>
      <c r="BD579" s="41"/>
      <c r="BE579" s="41"/>
      <c r="BF579" s="41"/>
      <c r="BG579" s="41"/>
      <c r="BH579" s="41"/>
      <c r="BI579" s="41"/>
      <c r="BJ579" s="41"/>
      <c r="BK579" s="41"/>
      <c r="BL579" s="41"/>
      <c r="BM579" s="41"/>
      <c r="BN579" s="41"/>
      <c r="BO579" s="41"/>
      <c r="BP579" s="41"/>
      <c r="BQ579" s="41"/>
      <c r="BR579" s="41"/>
      <c r="BS579" s="41"/>
      <c r="BT579" s="41"/>
      <c r="BU579" s="41"/>
      <c r="BV579" s="41"/>
      <c r="BW579" s="41"/>
      <c r="BX579" s="41"/>
      <c r="BY579" s="41"/>
      <c r="BZ579" s="41"/>
      <c r="CA579" s="41"/>
      <c r="CB579" s="41"/>
      <c r="CC579" s="41"/>
    </row>
    <row r="580" spans="1:8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  <c r="BC580" s="41"/>
      <c r="BD580" s="41"/>
      <c r="BE580" s="41"/>
      <c r="BF580" s="41"/>
      <c r="BG580" s="41"/>
      <c r="BH580" s="41"/>
      <c r="BI580" s="41"/>
      <c r="BJ580" s="41"/>
      <c r="BK580" s="41"/>
      <c r="BL580" s="41"/>
      <c r="BM580" s="41"/>
      <c r="BN580" s="41"/>
      <c r="BO580" s="41"/>
      <c r="BP580" s="41"/>
      <c r="BQ580" s="41"/>
      <c r="BR580" s="41"/>
      <c r="BS580" s="41"/>
      <c r="BT580" s="41"/>
      <c r="BU580" s="41"/>
      <c r="BV580" s="41"/>
      <c r="BW580" s="41"/>
      <c r="BX580" s="41"/>
      <c r="BY580" s="41"/>
      <c r="BZ580" s="41"/>
      <c r="CA580" s="41"/>
      <c r="CB580" s="41"/>
      <c r="CC580" s="41"/>
    </row>
    <row r="581" spans="1: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/>
      <c r="BK581" s="41"/>
      <c r="BL581" s="41"/>
      <c r="BM581" s="41"/>
      <c r="BN581" s="41"/>
      <c r="BO581" s="41"/>
      <c r="BP581" s="41"/>
      <c r="BQ581" s="41"/>
      <c r="BR581" s="41"/>
      <c r="BS581" s="41"/>
      <c r="BT581" s="41"/>
      <c r="BU581" s="41"/>
      <c r="BV581" s="41"/>
      <c r="BW581" s="41"/>
      <c r="BX581" s="41"/>
      <c r="BY581" s="41"/>
      <c r="BZ581" s="41"/>
      <c r="CA581" s="41"/>
      <c r="CB581" s="41"/>
      <c r="CC581" s="41"/>
    </row>
    <row r="582" spans="1:8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  <c r="BC582" s="41"/>
      <c r="BD582" s="41"/>
      <c r="BE582" s="41"/>
      <c r="BF582" s="41"/>
      <c r="BG582" s="41"/>
      <c r="BH582" s="41"/>
      <c r="BI582" s="41"/>
      <c r="BJ582" s="41"/>
      <c r="BK582" s="41"/>
      <c r="BL582" s="41"/>
      <c r="BM582" s="41"/>
      <c r="BN582" s="41"/>
      <c r="BO582" s="41"/>
      <c r="BP582" s="41"/>
      <c r="BQ582" s="41"/>
      <c r="BR582" s="41"/>
      <c r="BS582" s="41"/>
      <c r="BT582" s="41"/>
      <c r="BU582" s="41"/>
      <c r="BV582" s="41"/>
      <c r="BW582" s="41"/>
      <c r="BX582" s="41"/>
      <c r="BY582" s="41"/>
      <c r="BZ582" s="41"/>
      <c r="CA582" s="41"/>
      <c r="CB582" s="41"/>
      <c r="CC582" s="41"/>
    </row>
    <row r="583" spans="1:8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  <c r="BC583" s="41"/>
      <c r="BD583" s="41"/>
      <c r="BE583" s="41"/>
      <c r="BF583" s="41"/>
      <c r="BG583" s="41"/>
      <c r="BH583" s="41"/>
      <c r="BI583" s="41"/>
      <c r="BJ583" s="41"/>
      <c r="BK583" s="41"/>
      <c r="BL583" s="41"/>
      <c r="BM583" s="41"/>
      <c r="BN583" s="41"/>
      <c r="BO583" s="41"/>
      <c r="BP583" s="41"/>
      <c r="BQ583" s="41"/>
      <c r="BR583" s="41"/>
      <c r="BS583" s="41"/>
      <c r="BT583" s="41"/>
      <c r="BU583" s="41"/>
      <c r="BV583" s="41"/>
      <c r="BW583" s="41"/>
      <c r="BX583" s="41"/>
      <c r="BY583" s="41"/>
      <c r="BZ583" s="41"/>
      <c r="CA583" s="41"/>
      <c r="CB583" s="41"/>
      <c r="CC583" s="41"/>
    </row>
    <row r="584" spans="1:8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  <c r="BC584" s="41"/>
      <c r="BD584" s="41"/>
      <c r="BE584" s="41"/>
      <c r="BF584" s="41"/>
      <c r="BG584" s="41"/>
      <c r="BH584" s="41"/>
      <c r="BI584" s="41"/>
      <c r="BJ584" s="41"/>
      <c r="BK584" s="41"/>
      <c r="BL584" s="41"/>
      <c r="BM584" s="41"/>
      <c r="BN584" s="41"/>
      <c r="BO584" s="41"/>
      <c r="BP584" s="41"/>
      <c r="BQ584" s="41"/>
      <c r="BR584" s="41"/>
      <c r="BS584" s="41"/>
      <c r="BT584" s="41"/>
      <c r="BU584" s="41"/>
      <c r="BV584" s="41"/>
      <c r="BW584" s="41"/>
      <c r="BX584" s="41"/>
      <c r="BY584" s="41"/>
      <c r="BZ584" s="41"/>
      <c r="CA584" s="41"/>
      <c r="CB584" s="41"/>
      <c r="CC584" s="41"/>
    </row>
    <row r="585" spans="1:8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  <c r="BC585" s="41"/>
      <c r="BD585" s="41"/>
      <c r="BE585" s="41"/>
      <c r="BF585" s="41"/>
      <c r="BG585" s="41"/>
      <c r="BH585" s="41"/>
      <c r="BI585" s="41"/>
      <c r="BJ585" s="41"/>
      <c r="BK585" s="41"/>
      <c r="BL585" s="41"/>
      <c r="BM585" s="41"/>
      <c r="BN585" s="41"/>
      <c r="BO585" s="41"/>
      <c r="BP585" s="41"/>
      <c r="BQ585" s="41"/>
      <c r="BR585" s="41"/>
      <c r="BS585" s="41"/>
      <c r="BT585" s="41"/>
      <c r="BU585" s="41"/>
      <c r="BV585" s="41"/>
      <c r="BW585" s="41"/>
      <c r="BX585" s="41"/>
      <c r="BY585" s="41"/>
      <c r="BZ585" s="41"/>
      <c r="CA585" s="41"/>
      <c r="CB585" s="41"/>
      <c r="CC585" s="41"/>
    </row>
    <row r="586" spans="1:8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  <c r="BC586" s="41"/>
      <c r="BD586" s="41"/>
      <c r="BE586" s="41"/>
      <c r="BF586" s="41"/>
      <c r="BG586" s="41"/>
      <c r="BH586" s="41"/>
      <c r="BI586" s="41"/>
      <c r="BJ586" s="41"/>
      <c r="BK586" s="41"/>
      <c r="BL586" s="41"/>
      <c r="BM586" s="41"/>
      <c r="BN586" s="41"/>
      <c r="BO586" s="41"/>
      <c r="BP586" s="41"/>
      <c r="BQ586" s="41"/>
      <c r="BR586" s="41"/>
      <c r="BS586" s="41"/>
      <c r="BT586" s="41"/>
      <c r="BU586" s="41"/>
      <c r="BV586" s="41"/>
      <c r="BW586" s="41"/>
      <c r="BX586" s="41"/>
      <c r="BY586" s="41"/>
      <c r="BZ586" s="41"/>
      <c r="CA586" s="41"/>
      <c r="CB586" s="41"/>
      <c r="CC586" s="41"/>
    </row>
    <row r="587" spans="1:8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  <c r="BC587" s="41"/>
      <c r="BD587" s="41"/>
      <c r="BE587" s="41"/>
      <c r="BF587" s="41"/>
      <c r="BG587" s="41"/>
      <c r="BH587" s="41"/>
      <c r="BI587" s="41"/>
      <c r="BJ587" s="41"/>
      <c r="BK587" s="41"/>
      <c r="BL587" s="41"/>
      <c r="BM587" s="41"/>
      <c r="BN587" s="41"/>
      <c r="BO587" s="41"/>
      <c r="BP587" s="41"/>
      <c r="BQ587" s="41"/>
      <c r="BR587" s="41"/>
      <c r="BS587" s="41"/>
      <c r="BT587" s="41"/>
      <c r="BU587" s="41"/>
      <c r="BV587" s="41"/>
      <c r="BW587" s="41"/>
      <c r="BX587" s="41"/>
      <c r="BY587" s="41"/>
      <c r="BZ587" s="41"/>
      <c r="CA587" s="41"/>
      <c r="CB587" s="41"/>
      <c r="CC587" s="41"/>
    </row>
    <row r="588" spans="1:8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  <c r="BC588" s="41"/>
      <c r="BD588" s="41"/>
      <c r="BE588" s="41"/>
      <c r="BF588" s="41"/>
      <c r="BG588" s="41"/>
      <c r="BH588" s="41"/>
      <c r="BI588" s="41"/>
      <c r="BJ588" s="41"/>
      <c r="BK588" s="41"/>
      <c r="BL588" s="41"/>
      <c r="BM588" s="41"/>
      <c r="BN588" s="41"/>
      <c r="BO588" s="41"/>
      <c r="BP588" s="41"/>
      <c r="BQ588" s="41"/>
      <c r="BR588" s="41"/>
      <c r="BS588" s="41"/>
      <c r="BT588" s="41"/>
      <c r="BU588" s="41"/>
      <c r="BV588" s="41"/>
      <c r="BW588" s="41"/>
      <c r="BX588" s="41"/>
      <c r="BY588" s="41"/>
      <c r="BZ588" s="41"/>
      <c r="CA588" s="41"/>
      <c r="CB588" s="41"/>
      <c r="CC588" s="41"/>
    </row>
    <row r="589" spans="1:8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  <c r="BC589" s="41"/>
      <c r="BD589" s="41"/>
      <c r="BE589" s="41"/>
      <c r="BF589" s="41"/>
      <c r="BG589" s="41"/>
      <c r="BH589" s="41"/>
      <c r="BI589" s="41"/>
      <c r="BJ589" s="41"/>
      <c r="BK589" s="41"/>
      <c r="BL589" s="41"/>
      <c r="BM589" s="41"/>
      <c r="BN589" s="41"/>
      <c r="BO589" s="41"/>
      <c r="BP589" s="41"/>
      <c r="BQ589" s="41"/>
      <c r="BR589" s="41"/>
      <c r="BS589" s="41"/>
      <c r="BT589" s="41"/>
      <c r="BU589" s="41"/>
      <c r="BV589" s="41"/>
      <c r="BW589" s="41"/>
      <c r="BX589" s="41"/>
      <c r="BY589" s="41"/>
      <c r="BZ589" s="41"/>
      <c r="CA589" s="41"/>
      <c r="CB589" s="41"/>
      <c r="CC589" s="41"/>
    </row>
    <row r="590" spans="1:8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  <c r="BG590" s="41"/>
      <c r="BH590" s="41"/>
      <c r="BI590" s="41"/>
      <c r="BJ590" s="41"/>
      <c r="BK590" s="41"/>
      <c r="BL590" s="41"/>
      <c r="BM590" s="41"/>
      <c r="BN590" s="41"/>
      <c r="BO590" s="41"/>
      <c r="BP590" s="41"/>
      <c r="BQ590" s="41"/>
      <c r="BR590" s="41"/>
      <c r="BS590" s="41"/>
      <c r="BT590" s="41"/>
      <c r="BU590" s="41"/>
      <c r="BV590" s="41"/>
      <c r="BW590" s="41"/>
      <c r="BX590" s="41"/>
      <c r="BY590" s="41"/>
      <c r="BZ590" s="41"/>
      <c r="CA590" s="41"/>
      <c r="CB590" s="41"/>
      <c r="CC590" s="41"/>
    </row>
    <row r="591" spans="1:8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1"/>
      <c r="BK591" s="41"/>
      <c r="BL591" s="41"/>
      <c r="BM591" s="41"/>
      <c r="BN591" s="41"/>
      <c r="BO591" s="41"/>
      <c r="BP591" s="41"/>
      <c r="BQ591" s="41"/>
      <c r="BR591" s="41"/>
      <c r="BS591" s="41"/>
      <c r="BT591" s="41"/>
      <c r="BU591" s="41"/>
      <c r="BV591" s="41"/>
      <c r="BW591" s="41"/>
      <c r="BX591" s="41"/>
      <c r="BY591" s="41"/>
      <c r="BZ591" s="41"/>
      <c r="CA591" s="41"/>
      <c r="CB591" s="41"/>
      <c r="CC591" s="41"/>
    </row>
    <row r="592" spans="1:8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  <c r="BC592" s="41"/>
      <c r="BD592" s="41"/>
      <c r="BE592" s="41"/>
      <c r="BF592" s="41"/>
      <c r="BG592" s="41"/>
      <c r="BH592" s="41"/>
      <c r="BI592" s="41"/>
      <c r="BJ592" s="41"/>
      <c r="BK592" s="41"/>
      <c r="BL592" s="41"/>
      <c r="BM592" s="41"/>
      <c r="BN592" s="41"/>
      <c r="BO592" s="41"/>
      <c r="BP592" s="41"/>
      <c r="BQ592" s="41"/>
      <c r="BR592" s="41"/>
      <c r="BS592" s="41"/>
      <c r="BT592" s="41"/>
      <c r="BU592" s="41"/>
      <c r="BV592" s="41"/>
      <c r="BW592" s="41"/>
      <c r="BX592" s="41"/>
      <c r="BY592" s="41"/>
      <c r="BZ592" s="41"/>
      <c r="CA592" s="41"/>
      <c r="CB592" s="41"/>
      <c r="CC592" s="41"/>
    </row>
    <row r="593" spans="1:8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41"/>
      <c r="BK593" s="41"/>
      <c r="BL593" s="41"/>
      <c r="BM593" s="41"/>
      <c r="BN593" s="41"/>
      <c r="BO593" s="41"/>
      <c r="BP593" s="41"/>
      <c r="BQ593" s="41"/>
      <c r="BR593" s="41"/>
      <c r="BS593" s="41"/>
      <c r="BT593" s="41"/>
      <c r="BU593" s="41"/>
      <c r="BV593" s="41"/>
      <c r="BW593" s="41"/>
      <c r="BX593" s="41"/>
      <c r="BY593" s="41"/>
      <c r="BZ593" s="41"/>
      <c r="CA593" s="41"/>
      <c r="CB593" s="41"/>
      <c r="CC593" s="41"/>
    </row>
    <row r="594" spans="1:8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41"/>
      <c r="BG594" s="41"/>
      <c r="BH594" s="41"/>
      <c r="BI594" s="41"/>
      <c r="BJ594" s="41"/>
      <c r="BK594" s="41"/>
      <c r="BL594" s="41"/>
      <c r="BM594" s="41"/>
      <c r="BN594" s="41"/>
      <c r="BO594" s="41"/>
      <c r="BP594" s="41"/>
      <c r="BQ594" s="41"/>
      <c r="BR594" s="41"/>
      <c r="BS594" s="41"/>
      <c r="BT594" s="41"/>
      <c r="BU594" s="41"/>
      <c r="BV594" s="41"/>
      <c r="BW594" s="41"/>
      <c r="BX594" s="41"/>
      <c r="BY594" s="41"/>
      <c r="BZ594" s="41"/>
      <c r="CA594" s="41"/>
      <c r="CB594" s="41"/>
      <c r="CC594" s="41"/>
    </row>
    <row r="595" spans="1:8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1"/>
      <c r="BK595" s="41"/>
      <c r="BL595" s="41"/>
      <c r="BM595" s="41"/>
      <c r="BN595" s="41"/>
      <c r="BO595" s="41"/>
      <c r="BP595" s="41"/>
      <c r="BQ595" s="41"/>
      <c r="BR595" s="41"/>
      <c r="BS595" s="41"/>
      <c r="BT595" s="41"/>
      <c r="BU595" s="41"/>
      <c r="BV595" s="41"/>
      <c r="BW595" s="41"/>
      <c r="BX595" s="41"/>
      <c r="BY595" s="41"/>
      <c r="BZ595" s="41"/>
      <c r="CA595" s="41"/>
      <c r="CB595" s="41"/>
      <c r="CC595" s="41"/>
    </row>
    <row r="596" spans="1:8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  <c r="BG596" s="41"/>
      <c r="BH596" s="41"/>
      <c r="BI596" s="41"/>
      <c r="BJ596" s="41"/>
      <c r="BK596" s="41"/>
      <c r="BL596" s="41"/>
      <c r="BM596" s="41"/>
      <c r="BN596" s="41"/>
      <c r="BO596" s="41"/>
      <c r="BP596" s="41"/>
      <c r="BQ596" s="41"/>
      <c r="BR596" s="41"/>
      <c r="BS596" s="41"/>
      <c r="BT596" s="41"/>
      <c r="BU596" s="41"/>
      <c r="BV596" s="41"/>
      <c r="BW596" s="41"/>
      <c r="BX596" s="41"/>
      <c r="BY596" s="41"/>
      <c r="BZ596" s="41"/>
      <c r="CA596" s="41"/>
      <c r="CB596" s="41"/>
      <c r="CC596" s="41"/>
    </row>
    <row r="597" spans="1:8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41"/>
      <c r="BG597" s="41"/>
      <c r="BH597" s="41"/>
      <c r="BI597" s="41"/>
      <c r="BJ597" s="41"/>
      <c r="BK597" s="41"/>
      <c r="BL597" s="41"/>
      <c r="BM597" s="41"/>
      <c r="BN597" s="41"/>
      <c r="BO597" s="41"/>
      <c r="BP597" s="41"/>
      <c r="BQ597" s="41"/>
      <c r="BR597" s="41"/>
      <c r="BS597" s="41"/>
      <c r="BT597" s="41"/>
      <c r="BU597" s="41"/>
      <c r="BV597" s="41"/>
      <c r="BW597" s="41"/>
      <c r="BX597" s="41"/>
      <c r="BY597" s="41"/>
      <c r="BZ597" s="41"/>
      <c r="CA597" s="41"/>
      <c r="CB597" s="41"/>
      <c r="CC597" s="41"/>
    </row>
    <row r="598" spans="1:8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/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1"/>
      <c r="CA598" s="41"/>
      <c r="CB598" s="41"/>
      <c r="CC598" s="41"/>
    </row>
    <row r="599" spans="1:8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  <c r="BC599" s="41"/>
      <c r="BD599" s="41"/>
      <c r="BE599" s="41"/>
      <c r="BF599" s="41"/>
      <c r="BG599" s="41"/>
      <c r="BH599" s="41"/>
      <c r="BI599" s="41"/>
      <c r="BJ599" s="41"/>
      <c r="BK599" s="41"/>
      <c r="BL599" s="41"/>
      <c r="BM599" s="41"/>
      <c r="BN599" s="41"/>
      <c r="BO599" s="41"/>
      <c r="BP599" s="41"/>
      <c r="BQ599" s="41"/>
      <c r="BR599" s="41"/>
      <c r="BS599" s="41"/>
      <c r="BT599" s="41"/>
      <c r="BU599" s="41"/>
      <c r="BV599" s="41"/>
      <c r="BW599" s="41"/>
      <c r="BX599" s="41"/>
      <c r="BY599" s="41"/>
      <c r="BZ599" s="41"/>
      <c r="CA599" s="41"/>
      <c r="CB599" s="41"/>
      <c r="CC599" s="41"/>
    </row>
    <row r="600" spans="1:8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  <c r="BC600" s="41"/>
      <c r="BD600" s="41"/>
      <c r="BE600" s="41"/>
      <c r="BF600" s="41"/>
      <c r="BG600" s="41"/>
      <c r="BH600" s="41"/>
      <c r="BI600" s="41"/>
      <c r="BJ600" s="41"/>
      <c r="BK600" s="41"/>
      <c r="BL600" s="41"/>
      <c r="BM600" s="41"/>
      <c r="BN600" s="41"/>
      <c r="BO600" s="41"/>
      <c r="BP600" s="41"/>
      <c r="BQ600" s="41"/>
      <c r="BR600" s="41"/>
      <c r="BS600" s="41"/>
      <c r="BT600" s="41"/>
      <c r="BU600" s="41"/>
      <c r="BV600" s="41"/>
      <c r="BW600" s="41"/>
      <c r="BX600" s="41"/>
      <c r="BY600" s="41"/>
      <c r="BZ600" s="41"/>
      <c r="CA600" s="41"/>
      <c r="CB600" s="41"/>
      <c r="CC600" s="41"/>
    </row>
    <row r="601" spans="1:8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  <c r="BC601" s="41"/>
      <c r="BD601" s="41"/>
      <c r="BE601" s="41"/>
      <c r="BF601" s="41"/>
      <c r="BG601" s="41"/>
      <c r="BH601" s="41"/>
      <c r="BI601" s="41"/>
      <c r="BJ601" s="41"/>
      <c r="BK601" s="41"/>
      <c r="BL601" s="41"/>
      <c r="BM601" s="41"/>
      <c r="BN601" s="41"/>
      <c r="BO601" s="41"/>
      <c r="BP601" s="41"/>
      <c r="BQ601" s="41"/>
      <c r="BR601" s="41"/>
      <c r="BS601" s="41"/>
      <c r="BT601" s="41"/>
      <c r="BU601" s="41"/>
      <c r="BV601" s="41"/>
      <c r="BW601" s="41"/>
      <c r="BX601" s="41"/>
      <c r="BY601" s="41"/>
      <c r="BZ601" s="41"/>
      <c r="CA601" s="41"/>
      <c r="CB601" s="41"/>
      <c r="CC601" s="41"/>
    </row>
    <row r="602" spans="1:8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  <c r="BC602" s="41"/>
      <c r="BD602" s="41"/>
      <c r="BE602" s="41"/>
      <c r="BF602" s="41"/>
      <c r="BG602" s="41"/>
      <c r="BH602" s="41"/>
      <c r="BI602" s="41"/>
      <c r="BJ602" s="41"/>
      <c r="BK602" s="41"/>
      <c r="BL602" s="41"/>
      <c r="BM602" s="41"/>
      <c r="BN602" s="41"/>
      <c r="BO602" s="41"/>
      <c r="BP602" s="41"/>
      <c r="BQ602" s="41"/>
      <c r="BR602" s="41"/>
      <c r="BS602" s="41"/>
      <c r="BT602" s="41"/>
      <c r="BU602" s="41"/>
      <c r="BV602" s="41"/>
      <c r="BW602" s="41"/>
      <c r="BX602" s="41"/>
      <c r="BY602" s="41"/>
      <c r="BZ602" s="41"/>
      <c r="CA602" s="41"/>
      <c r="CB602" s="41"/>
      <c r="CC602" s="41"/>
    </row>
    <row r="603" spans="1:8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  <c r="BC603" s="41"/>
      <c r="BD603" s="41"/>
      <c r="BE603" s="41"/>
      <c r="BF603" s="41"/>
      <c r="BG603" s="41"/>
      <c r="BH603" s="41"/>
      <c r="BI603" s="41"/>
      <c r="BJ603" s="41"/>
      <c r="BK603" s="41"/>
      <c r="BL603" s="41"/>
      <c r="BM603" s="41"/>
      <c r="BN603" s="41"/>
      <c r="BO603" s="41"/>
      <c r="BP603" s="41"/>
      <c r="BQ603" s="41"/>
      <c r="BR603" s="41"/>
      <c r="BS603" s="41"/>
      <c r="BT603" s="41"/>
      <c r="BU603" s="41"/>
      <c r="BV603" s="41"/>
      <c r="BW603" s="41"/>
      <c r="BX603" s="41"/>
      <c r="BY603" s="41"/>
      <c r="BZ603" s="41"/>
      <c r="CA603" s="41"/>
      <c r="CB603" s="41"/>
      <c r="CC603" s="41"/>
    </row>
    <row r="604" spans="1:8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41"/>
      <c r="BG604" s="41"/>
      <c r="BH604" s="41"/>
      <c r="BI604" s="41"/>
      <c r="BJ604" s="41"/>
      <c r="BK604" s="41"/>
      <c r="BL604" s="41"/>
      <c r="BM604" s="41"/>
      <c r="BN604" s="41"/>
      <c r="BO604" s="41"/>
      <c r="BP604" s="41"/>
      <c r="BQ604" s="41"/>
      <c r="BR604" s="41"/>
      <c r="BS604" s="41"/>
      <c r="BT604" s="41"/>
      <c r="BU604" s="41"/>
      <c r="BV604" s="41"/>
      <c r="BW604" s="41"/>
      <c r="BX604" s="41"/>
      <c r="BY604" s="41"/>
      <c r="BZ604" s="41"/>
      <c r="CA604" s="41"/>
      <c r="CB604" s="41"/>
      <c r="CC604" s="41"/>
    </row>
    <row r="605" spans="1:8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  <c r="BC605" s="41"/>
      <c r="BD605" s="41"/>
      <c r="BE605" s="41"/>
      <c r="BF605" s="41"/>
      <c r="BG605" s="41"/>
      <c r="BH605" s="41"/>
      <c r="BI605" s="41"/>
      <c r="BJ605" s="41"/>
      <c r="BK605" s="41"/>
      <c r="BL605" s="41"/>
      <c r="BM605" s="41"/>
      <c r="BN605" s="41"/>
      <c r="BO605" s="41"/>
      <c r="BP605" s="41"/>
      <c r="BQ605" s="41"/>
      <c r="BR605" s="41"/>
      <c r="BS605" s="41"/>
      <c r="BT605" s="41"/>
      <c r="BU605" s="41"/>
      <c r="BV605" s="41"/>
      <c r="BW605" s="41"/>
      <c r="BX605" s="41"/>
      <c r="BY605" s="41"/>
      <c r="BZ605" s="41"/>
      <c r="CA605" s="41"/>
      <c r="CB605" s="41"/>
      <c r="CC605" s="41"/>
    </row>
    <row r="606" spans="1:8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41"/>
      <c r="BG606" s="41"/>
      <c r="BH606" s="41"/>
      <c r="BI606" s="41"/>
      <c r="BJ606" s="41"/>
      <c r="BK606" s="41"/>
      <c r="BL606" s="41"/>
      <c r="BM606" s="41"/>
      <c r="BN606" s="41"/>
      <c r="BO606" s="41"/>
      <c r="BP606" s="41"/>
      <c r="BQ606" s="41"/>
      <c r="BR606" s="41"/>
      <c r="BS606" s="41"/>
      <c r="BT606" s="41"/>
      <c r="BU606" s="41"/>
      <c r="BV606" s="41"/>
      <c r="BW606" s="41"/>
      <c r="BX606" s="41"/>
      <c r="BY606" s="41"/>
      <c r="BZ606" s="41"/>
      <c r="CA606" s="41"/>
      <c r="CB606" s="41"/>
      <c r="CC606" s="41"/>
    </row>
    <row r="607" spans="1:8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  <c r="BC607" s="41"/>
      <c r="BD607" s="41"/>
      <c r="BE607" s="41"/>
      <c r="BF607" s="41"/>
      <c r="BG607" s="41"/>
      <c r="BH607" s="41"/>
      <c r="BI607" s="41"/>
      <c r="BJ607" s="41"/>
      <c r="BK607" s="41"/>
      <c r="BL607" s="41"/>
      <c r="BM607" s="41"/>
      <c r="BN607" s="41"/>
      <c r="BO607" s="41"/>
      <c r="BP607" s="41"/>
      <c r="BQ607" s="41"/>
      <c r="BR607" s="41"/>
      <c r="BS607" s="41"/>
      <c r="BT607" s="41"/>
      <c r="BU607" s="41"/>
      <c r="BV607" s="41"/>
      <c r="BW607" s="41"/>
      <c r="BX607" s="41"/>
      <c r="BY607" s="41"/>
      <c r="BZ607" s="41"/>
      <c r="CA607" s="41"/>
      <c r="CB607" s="41"/>
      <c r="CC607" s="41"/>
    </row>
    <row r="608" spans="1:8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41"/>
      <c r="BG608" s="41"/>
      <c r="BH608" s="41"/>
      <c r="BI608" s="41"/>
      <c r="BJ608" s="41"/>
      <c r="BK608" s="41"/>
      <c r="BL608" s="41"/>
      <c r="BM608" s="41"/>
      <c r="BN608" s="41"/>
      <c r="BO608" s="41"/>
      <c r="BP608" s="41"/>
      <c r="BQ608" s="41"/>
      <c r="BR608" s="41"/>
      <c r="BS608" s="41"/>
      <c r="BT608" s="41"/>
      <c r="BU608" s="41"/>
      <c r="BV608" s="41"/>
      <c r="BW608" s="41"/>
      <c r="BX608" s="41"/>
      <c r="BY608" s="41"/>
      <c r="BZ608" s="41"/>
      <c r="CA608" s="41"/>
      <c r="CB608" s="41"/>
      <c r="CC608" s="41"/>
    </row>
    <row r="609" spans="1:8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  <c r="BC609" s="41"/>
      <c r="BD609" s="41"/>
      <c r="BE609" s="41"/>
      <c r="BF609" s="41"/>
      <c r="BG609" s="41"/>
      <c r="BH609" s="41"/>
      <c r="BI609" s="41"/>
      <c r="BJ609" s="41"/>
      <c r="BK609" s="41"/>
      <c r="BL609" s="41"/>
      <c r="BM609" s="41"/>
      <c r="BN609" s="41"/>
      <c r="BO609" s="41"/>
      <c r="BP609" s="41"/>
      <c r="BQ609" s="41"/>
      <c r="BR609" s="41"/>
      <c r="BS609" s="41"/>
      <c r="BT609" s="41"/>
      <c r="BU609" s="41"/>
      <c r="BV609" s="41"/>
      <c r="BW609" s="41"/>
      <c r="BX609" s="41"/>
      <c r="BY609" s="41"/>
      <c r="BZ609" s="41"/>
      <c r="CA609" s="41"/>
      <c r="CB609" s="41"/>
      <c r="CC609" s="41"/>
    </row>
    <row r="610" spans="1:8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  <c r="BC610" s="41"/>
      <c r="BD610" s="41"/>
      <c r="BE610" s="41"/>
      <c r="BF610" s="41"/>
      <c r="BG610" s="41"/>
      <c r="BH610" s="41"/>
      <c r="BI610" s="41"/>
      <c r="BJ610" s="41"/>
      <c r="BK610" s="41"/>
      <c r="BL610" s="41"/>
      <c r="BM610" s="41"/>
      <c r="BN610" s="41"/>
      <c r="BO610" s="41"/>
      <c r="BP610" s="41"/>
      <c r="BQ610" s="41"/>
      <c r="BR610" s="41"/>
      <c r="BS610" s="41"/>
      <c r="BT610" s="41"/>
      <c r="BU610" s="41"/>
      <c r="BV610" s="41"/>
      <c r="BW610" s="41"/>
      <c r="BX610" s="41"/>
      <c r="BY610" s="41"/>
      <c r="BZ610" s="41"/>
      <c r="CA610" s="41"/>
      <c r="CB610" s="41"/>
      <c r="CC610" s="41"/>
    </row>
  </sheetData>
  <sheetProtection sheet="1" objects="1" scenarios="1" selectLockedCells="1"/>
  <mergeCells count="56">
    <mergeCell ref="D30:I30"/>
    <mergeCell ref="H53:I53"/>
    <mergeCell ref="D29:I29"/>
    <mergeCell ref="H31:I31"/>
    <mergeCell ref="D32:E32"/>
    <mergeCell ref="H32:I32"/>
    <mergeCell ref="H49:I49"/>
    <mergeCell ref="H50:I50"/>
    <mergeCell ref="H48:I48"/>
    <mergeCell ref="H51:I51"/>
    <mergeCell ref="D33:E33"/>
    <mergeCell ref="H33:I33"/>
    <mergeCell ref="D48:E48"/>
    <mergeCell ref="D49:E49"/>
    <mergeCell ref="D50:E50"/>
    <mergeCell ref="D51:E51"/>
    <mergeCell ref="H46:I46"/>
    <mergeCell ref="H47:I47"/>
    <mergeCell ref="H38:I38"/>
    <mergeCell ref="H39:I39"/>
    <mergeCell ref="H40:I40"/>
    <mergeCell ref="H41:I41"/>
    <mergeCell ref="H42:I42"/>
    <mergeCell ref="D41:E41"/>
    <mergeCell ref="H43:I43"/>
    <mergeCell ref="H44:I44"/>
    <mergeCell ref="H45:I45"/>
    <mergeCell ref="H37:I37"/>
    <mergeCell ref="D47:E47"/>
    <mergeCell ref="C36:I36"/>
    <mergeCell ref="G23:H23"/>
    <mergeCell ref="G16:H16"/>
    <mergeCell ref="C18:E18"/>
    <mergeCell ref="C19:E19"/>
    <mergeCell ref="G19:H19"/>
    <mergeCell ref="D42:E42"/>
    <mergeCell ref="D43:E43"/>
    <mergeCell ref="D44:E44"/>
    <mergeCell ref="D45:E45"/>
    <mergeCell ref="D46:E46"/>
    <mergeCell ref="D37:E37"/>
    <mergeCell ref="D38:E38"/>
    <mergeCell ref="D39:E39"/>
    <mergeCell ref="D40:E40"/>
    <mergeCell ref="F3:G3"/>
    <mergeCell ref="G5:H5"/>
    <mergeCell ref="B2:D3"/>
    <mergeCell ref="G11:H11"/>
    <mergeCell ref="G15:H15"/>
    <mergeCell ref="F4:G4"/>
    <mergeCell ref="G7:H7"/>
    <mergeCell ref="G8:H8"/>
    <mergeCell ref="G12:H12"/>
    <mergeCell ref="G13:H13"/>
    <mergeCell ref="G9:H9"/>
    <mergeCell ref="G10:H10"/>
  </mergeCells>
  <phoneticPr fontId="29" type="noConversion"/>
  <conditionalFormatting sqref="I15:I16">
    <cfRule type="expression" dxfId="25" priority="1">
      <formula>$C$4=2</formula>
    </cfRule>
  </conditionalFormatting>
  <conditionalFormatting sqref="I19:I23">
    <cfRule type="expression" dxfId="24" priority="2">
      <formula>$C$4=1</formula>
    </cfRule>
  </conditionalFormatting>
  <printOptions horizontalCentered="1"/>
  <pageMargins left="0.5" right="0.5" top="1.5" bottom="0.25" header="0" footer="0"/>
  <pageSetup paperSize="9" scale="68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CC601"/>
  <sheetViews>
    <sheetView showGridLines="0" showRowColHeaders="0" showZeros="0" zoomScale="70" zoomScaleNormal="70" zoomScaleSheetLayoutView="115" workbookViewId="0">
      <selection activeCell="D31" sqref="D31"/>
    </sheetView>
  </sheetViews>
  <sheetFormatPr defaultColWidth="9" defaultRowHeight="14.25"/>
  <cols>
    <col min="1" max="1" width="5.625" style="26" customWidth="1"/>
    <col min="2" max="2" width="8.75" style="26" customWidth="1"/>
    <col min="3" max="5" width="13.625" style="26" customWidth="1"/>
    <col min="6" max="6" width="15.75" style="26" customWidth="1"/>
    <col min="7" max="8" width="13.625" style="26" customWidth="1"/>
    <col min="9" max="9" width="18.625" style="26" customWidth="1"/>
    <col min="10" max="10" width="8.75" style="26" customWidth="1"/>
    <col min="11" max="11" width="2.625" style="26" customWidth="1"/>
    <col min="12" max="12" width="10.875" style="26" customWidth="1"/>
    <col min="13" max="13" width="15.25" style="26" customWidth="1"/>
    <col min="14" max="19" width="10.75" style="26" customWidth="1"/>
    <col min="20" max="22" width="9" style="26"/>
    <col min="23" max="23" width="11.25" style="26" customWidth="1"/>
    <col min="24" max="16384" width="9" style="26"/>
  </cols>
  <sheetData>
    <row r="1" spans="1:81" ht="20.100000000000001" customHeight="1" thickBot="1">
      <c r="A1" s="31"/>
      <c r="B1" s="31"/>
      <c r="C1" s="31"/>
      <c r="D1" s="31"/>
      <c r="E1" s="779" t="s">
        <v>267</v>
      </c>
      <c r="F1" s="779"/>
      <c r="G1" s="779"/>
      <c r="H1" s="318">
        <v>2</v>
      </c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</row>
    <row r="2" spans="1:81" ht="20.100000000000001" customHeight="1">
      <c r="A2" s="31"/>
      <c r="B2" s="757" t="s">
        <v>154</v>
      </c>
      <c r="C2" s="758"/>
      <c r="D2" s="758"/>
      <c r="E2" s="307" t="s">
        <v>262</v>
      </c>
      <c r="F2" s="787" t="s">
        <v>405</v>
      </c>
      <c r="G2" s="787"/>
      <c r="H2" s="308"/>
      <c r="I2" s="308"/>
      <c r="J2" s="309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</row>
    <row r="3" spans="1:81" ht="22.5" customHeight="1">
      <c r="A3" s="31"/>
      <c r="B3" s="759"/>
      <c r="C3" s="760"/>
      <c r="D3" s="760"/>
      <c r="E3" s="229" t="s">
        <v>168</v>
      </c>
      <c r="F3" s="784" t="str">
        <f>initial!F3</f>
        <v>PORT WALCOTT, AUS</v>
      </c>
      <c r="G3" s="784"/>
      <c r="H3" s="243" t="s">
        <v>169</v>
      </c>
      <c r="I3" s="440">
        <v>45182</v>
      </c>
      <c r="J3" s="310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</row>
    <row r="4" spans="1:81" ht="22.5" customHeight="1">
      <c r="A4" s="31"/>
      <c r="B4" s="311"/>
      <c r="C4" s="27"/>
      <c r="D4" s="27"/>
      <c r="E4" s="229" t="s">
        <v>188</v>
      </c>
      <c r="F4" s="783" t="str">
        <f>initial!F4</f>
        <v>102A</v>
      </c>
      <c r="G4" s="783"/>
      <c r="H4" s="27"/>
      <c r="I4" s="27"/>
      <c r="J4" s="310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</row>
    <row r="5" spans="1:81" ht="22.5" customHeight="1">
      <c r="A5" s="31"/>
      <c r="B5" s="311"/>
      <c r="C5" s="27"/>
      <c r="D5" s="27"/>
      <c r="E5" s="27"/>
      <c r="F5" s="27"/>
      <c r="G5" s="756" t="s">
        <v>170</v>
      </c>
      <c r="H5" s="756"/>
      <c r="I5" s="387">
        <v>1.0229999999999999</v>
      </c>
      <c r="J5" s="310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</row>
    <row r="6" spans="1:81" ht="22.5" customHeight="1">
      <c r="A6" s="31"/>
      <c r="B6" s="311"/>
      <c r="C6" s="414">
        <v>17.78</v>
      </c>
      <c r="D6" s="27"/>
      <c r="E6" s="414">
        <v>17.78</v>
      </c>
      <c r="F6" s="27"/>
      <c r="G6" s="299"/>
      <c r="H6" s="244"/>
      <c r="I6" s="245"/>
      <c r="J6" s="310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</row>
    <row r="7" spans="1:81" ht="22.5" customHeight="1">
      <c r="A7" s="31"/>
      <c r="B7" s="311"/>
      <c r="C7" s="418"/>
      <c r="D7" s="27"/>
      <c r="E7" s="418"/>
      <c r="F7" s="27"/>
      <c r="G7" s="782" t="s">
        <v>30</v>
      </c>
      <c r="H7" s="782"/>
      <c r="I7" s="726">
        <v>1282.3699999999999</v>
      </c>
      <c r="J7" s="310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</row>
    <row r="8" spans="1:81" ht="22.5" customHeight="1">
      <c r="A8" s="31"/>
      <c r="B8" s="311"/>
      <c r="C8" s="419" t="str">
        <f>IF(C11&gt;E11,ABS(DEGREES(ATAN((C11-E11)/data!$E$14))),"")</f>
        <v/>
      </c>
      <c r="D8" s="27"/>
      <c r="E8" s="420" t="str">
        <f>IF(E11&gt;C11,ABS(DEGREES(ATAN((C11-E11)/data!$E$14))),"")</f>
        <v/>
      </c>
      <c r="F8" s="27"/>
      <c r="G8" s="782" t="s">
        <v>31</v>
      </c>
      <c r="H8" s="782"/>
      <c r="I8" s="726">
        <v>67.33</v>
      </c>
      <c r="J8" s="310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</row>
    <row r="9" spans="1:81" ht="22.5" customHeight="1">
      <c r="A9" s="31"/>
      <c r="B9" s="435"/>
      <c r="C9" s="431" t="str">
        <f>IF(C11&gt;E11,"List to Port","")</f>
        <v/>
      </c>
      <c r="D9" s="436"/>
      <c r="E9" s="432" t="str">
        <f>IF(E11&gt;C11,"List to Starboard","")</f>
        <v/>
      </c>
      <c r="F9" s="436"/>
      <c r="G9" s="782" t="s">
        <v>32</v>
      </c>
      <c r="H9" s="782"/>
      <c r="I9" s="706">
        <v>202</v>
      </c>
      <c r="J9" s="310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7"/>
      <c r="Y9" s="37"/>
      <c r="Z9" s="37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</row>
    <row r="10" spans="1:81" ht="22.5" customHeight="1">
      <c r="A10" s="31"/>
      <c r="B10" s="311"/>
      <c r="C10" s="418"/>
      <c r="D10" s="27"/>
      <c r="E10" s="418"/>
      <c r="F10" s="27"/>
      <c r="G10" s="782" t="s">
        <v>36</v>
      </c>
      <c r="H10" s="782"/>
      <c r="I10" s="706">
        <v>31</v>
      </c>
      <c r="J10" s="310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7"/>
      <c r="W10" s="31"/>
      <c r="X10" s="38"/>
      <c r="Y10" s="38"/>
      <c r="Z10" s="38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</row>
    <row r="11" spans="1:81" ht="22.5" customHeight="1">
      <c r="A11" s="31"/>
      <c r="B11" s="311"/>
      <c r="C11" s="414">
        <v>17.739999999999998</v>
      </c>
      <c r="D11" s="27"/>
      <c r="E11" s="414">
        <v>17.739999999999998</v>
      </c>
      <c r="F11" s="27"/>
      <c r="G11" s="782" t="s">
        <v>38</v>
      </c>
      <c r="H11" s="782"/>
      <c r="I11" s="706">
        <v>0</v>
      </c>
      <c r="J11" s="310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7"/>
      <c r="W11" s="31"/>
      <c r="X11" s="38"/>
      <c r="Y11" s="38"/>
      <c r="Z11" s="38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</row>
    <row r="12" spans="1:81" ht="22.5" customHeight="1">
      <c r="A12" s="31"/>
      <c r="B12" s="311"/>
      <c r="C12" s="418"/>
      <c r="D12" s="27"/>
      <c r="E12" s="418"/>
      <c r="F12" s="27"/>
      <c r="G12" s="782" t="s">
        <v>42</v>
      </c>
      <c r="H12" s="782"/>
      <c r="I12" s="707">
        <f>initial!I15</f>
        <v>629</v>
      </c>
      <c r="J12" s="310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</row>
    <row r="13" spans="1:81" ht="22.5" customHeight="1">
      <c r="A13" s="31"/>
      <c r="B13" s="311"/>
      <c r="C13" s="418"/>
      <c r="D13" s="27"/>
      <c r="E13" s="418"/>
      <c r="F13" s="27"/>
      <c r="G13" s="780"/>
      <c r="H13" s="780"/>
      <c r="I13" s="426"/>
      <c r="J13" s="310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</row>
    <row r="14" spans="1:81" ht="22.5" customHeight="1">
      <c r="A14" s="31"/>
      <c r="B14" s="311"/>
      <c r="C14" s="418"/>
      <c r="D14" s="27"/>
      <c r="E14" s="418"/>
      <c r="F14" s="27"/>
      <c r="G14" s="781" t="s">
        <v>195</v>
      </c>
      <c r="H14" s="781"/>
      <c r="I14" s="246">
        <f>calc!M36</f>
        <v>242951</v>
      </c>
      <c r="J14" s="312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</row>
    <row r="15" spans="1:81" ht="22.5" customHeight="1">
      <c r="A15" s="31"/>
      <c r="B15" s="311"/>
      <c r="C15" s="418"/>
      <c r="D15" s="27"/>
      <c r="E15" s="418"/>
      <c r="F15" s="27"/>
      <c r="G15" s="781" t="str">
        <f>IF(initial!C4=1,"Total to Load","Total to Disch")</f>
        <v>Total to Load</v>
      </c>
      <c r="H15" s="781"/>
      <c r="I15" s="388">
        <v>234100</v>
      </c>
      <c r="J15" s="312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</row>
    <row r="16" spans="1:81" ht="22.5" customHeight="1">
      <c r="A16" s="31"/>
      <c r="B16" s="311"/>
      <c r="C16" s="414">
        <v>17.670000000000002</v>
      </c>
      <c r="D16" s="27"/>
      <c r="E16" s="414">
        <v>17.670000000000002</v>
      </c>
      <c r="F16" s="27"/>
      <c r="G16" s="781" t="str">
        <f>IF(initial!C4=1,"Cargo to Load","Cargo Discharged")</f>
        <v>Cargo to Load</v>
      </c>
      <c r="H16" s="781"/>
      <c r="I16" s="247">
        <f>I15-I14</f>
        <v>-8851</v>
      </c>
      <c r="J16" s="312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</row>
    <row r="17" spans="1:81" ht="22.5" customHeight="1">
      <c r="A17" s="31"/>
      <c r="B17" s="311"/>
      <c r="C17" s="27"/>
      <c r="D17" s="27"/>
      <c r="E17" s="27" t="s">
        <v>155</v>
      </c>
      <c r="F17" s="27"/>
      <c r="G17" s="27"/>
      <c r="H17" s="27"/>
      <c r="I17" s="27"/>
      <c r="J17" s="312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</row>
    <row r="18" spans="1:81" ht="22.5" customHeight="1">
      <c r="A18" s="31"/>
      <c r="B18" s="311"/>
      <c r="C18" s="785" t="str">
        <f>CONCATENATE(ROUND(calc!N13,1),calc!O13)</f>
        <v>1.7cm SAG</v>
      </c>
      <c r="D18" s="785"/>
      <c r="E18" s="785"/>
      <c r="F18" s="27"/>
      <c r="G18" s="248"/>
      <c r="H18" s="27"/>
      <c r="I18" s="27"/>
      <c r="J18" s="310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9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</row>
    <row r="19" spans="1:81" ht="22.5" customHeight="1">
      <c r="A19" s="31"/>
      <c r="B19" s="311"/>
      <c r="C19" s="786" t="str">
        <f>CONCATENATE(ROUND(calc!K13,2),calc!L13)</f>
        <v>-0.12m by the head</v>
      </c>
      <c r="D19" s="786"/>
      <c r="E19" s="786"/>
      <c r="F19" s="27"/>
      <c r="G19" s="248"/>
      <c r="H19" s="27"/>
      <c r="I19" s="27"/>
      <c r="J19" s="310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9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</row>
    <row r="20" spans="1:81" ht="5.0999999999999996" customHeight="1">
      <c r="A20" s="31"/>
      <c r="B20" s="311"/>
      <c r="C20" s="27"/>
      <c r="D20" s="27"/>
      <c r="E20" s="27"/>
      <c r="F20" s="27"/>
      <c r="G20" s="27"/>
      <c r="H20" s="27"/>
      <c r="I20" s="27"/>
      <c r="J20" s="310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</row>
    <row r="21" spans="1:81" ht="5.0999999999999996" customHeight="1">
      <c r="A21" s="31"/>
      <c r="B21" s="311"/>
      <c r="C21" s="27"/>
      <c r="G21" s="27"/>
      <c r="H21" s="27"/>
      <c r="I21" s="27"/>
      <c r="J21" s="310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40" t="s">
        <v>58</v>
      </c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</row>
    <row r="22" spans="1:81" ht="5.0999999999999996" customHeight="1">
      <c r="A22" s="31"/>
      <c r="B22" s="313"/>
      <c r="C22" s="27"/>
      <c r="G22" s="27"/>
      <c r="H22" s="27"/>
      <c r="I22" s="27"/>
      <c r="J22" s="312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</row>
    <row r="23" spans="1:81" ht="22.5" customHeight="1">
      <c r="A23" s="31"/>
      <c r="B23" s="313"/>
      <c r="C23" s="238" t="s">
        <v>140</v>
      </c>
      <c r="D23" s="239">
        <f>calc!M16</f>
        <v>17.739784207945071</v>
      </c>
      <c r="E23" s="240" t="s">
        <v>41</v>
      </c>
      <c r="G23" s="366" t="s">
        <v>131</v>
      </c>
      <c r="H23" s="789">
        <v>206087</v>
      </c>
      <c r="I23" s="789"/>
      <c r="J23" s="312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</row>
    <row r="24" spans="1:81" ht="22.5" customHeight="1">
      <c r="A24" s="31"/>
      <c r="B24" s="313"/>
      <c r="C24" s="238" t="s">
        <v>141</v>
      </c>
      <c r="D24" s="239">
        <f>calc!M17</f>
        <v>17.72290501880007</v>
      </c>
      <c r="E24" s="241" t="s">
        <v>59</v>
      </c>
      <c r="G24" s="366" t="s">
        <v>132</v>
      </c>
      <c r="H24" s="790">
        <f>I14</f>
        <v>242951</v>
      </c>
      <c r="I24" s="790"/>
      <c r="J24" s="312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</row>
    <row r="25" spans="1:81" ht="22.5" customHeight="1">
      <c r="A25" s="31"/>
      <c r="B25" s="313"/>
      <c r="C25" s="238" t="s">
        <v>83</v>
      </c>
      <c r="D25" s="239">
        <f>calc!M18</f>
        <v>17.731344613372571</v>
      </c>
      <c r="E25" s="240" t="s">
        <v>82</v>
      </c>
      <c r="G25" s="791" t="s">
        <v>133</v>
      </c>
      <c r="H25" s="792">
        <f>ABS((H24-H23)/H24)</f>
        <v>0.15173430033216576</v>
      </c>
      <c r="I25" s="791" t="str">
        <f>IF(H23&gt;H24,"Less Onboard","More Onboard")</f>
        <v>More Onboard</v>
      </c>
      <c r="J25" s="312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</row>
    <row r="26" spans="1:81" ht="22.5" customHeight="1">
      <c r="A26" s="31"/>
      <c r="B26" s="313"/>
      <c r="C26" s="238" t="s">
        <v>142</v>
      </c>
      <c r="D26" s="239">
        <f>calc!M19</f>
        <v>17.735564410658821</v>
      </c>
      <c r="E26" s="241" t="s">
        <v>77</v>
      </c>
      <c r="G26" s="791"/>
      <c r="H26" s="792"/>
      <c r="I26" s="791"/>
      <c r="J26" s="312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</row>
    <row r="27" spans="1:81" ht="22.5" customHeight="1">
      <c r="A27" s="31"/>
      <c r="B27" s="313"/>
      <c r="C27" s="238" t="s">
        <v>148</v>
      </c>
      <c r="D27" s="242">
        <f>calc!M26</f>
        <v>278486</v>
      </c>
      <c r="E27" s="241" t="s">
        <v>134</v>
      </c>
      <c r="G27" s="732" t="s">
        <v>197</v>
      </c>
      <c r="H27" s="733">
        <f>H24-H23</f>
        <v>36864</v>
      </c>
      <c r="J27" s="312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</row>
    <row r="28" spans="1:81" ht="22.5" customHeight="1" thickBot="1">
      <c r="A28" s="31"/>
      <c r="B28" s="313"/>
      <c r="J28" s="312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</row>
    <row r="29" spans="1:81" s="352" customFormat="1" ht="19.899999999999999" customHeight="1" thickTop="1">
      <c r="A29" s="348"/>
      <c r="B29" s="349"/>
      <c r="C29" s="350" t="s">
        <v>262</v>
      </c>
      <c r="D29" s="788" t="s">
        <v>410</v>
      </c>
      <c r="E29" s="788"/>
      <c r="F29" s="788"/>
      <c r="G29" s="788"/>
      <c r="H29" s="788"/>
      <c r="I29" s="788"/>
      <c r="J29" s="351"/>
      <c r="K29" s="348"/>
      <c r="L29" s="348"/>
      <c r="M29" s="348"/>
      <c r="N29" s="348"/>
      <c r="O29" s="348"/>
      <c r="P29" s="348"/>
      <c r="Q29" s="348"/>
      <c r="R29" s="348"/>
      <c r="S29" s="348"/>
      <c r="T29" s="348"/>
      <c r="U29" s="348"/>
      <c r="V29" s="348"/>
      <c r="W29" s="348"/>
      <c r="X29" s="348"/>
      <c r="Y29" s="348"/>
      <c r="Z29" s="348"/>
      <c r="AA29" s="348"/>
      <c r="AB29" s="348"/>
      <c r="AC29" s="348"/>
      <c r="AD29" s="348"/>
      <c r="AE29" s="348"/>
      <c r="AF29" s="348"/>
      <c r="AG29" s="348"/>
      <c r="AH29" s="348"/>
      <c r="AI29" s="348"/>
      <c r="AJ29" s="348"/>
      <c r="AK29" s="348"/>
      <c r="AL29" s="348"/>
      <c r="AM29" s="348"/>
      <c r="AN29" s="348"/>
      <c r="AO29" s="348"/>
      <c r="AP29" s="348"/>
      <c r="AQ29" s="348"/>
      <c r="AR29" s="348"/>
      <c r="AS29" s="348"/>
      <c r="AT29" s="348"/>
      <c r="AU29" s="348"/>
      <c r="AV29" s="348"/>
      <c r="AW29" s="348"/>
      <c r="AX29" s="348"/>
      <c r="AY29" s="348"/>
      <c r="AZ29" s="348"/>
      <c r="BA29" s="348"/>
      <c r="BB29" s="348"/>
      <c r="BC29" s="348"/>
      <c r="BD29" s="348"/>
      <c r="BE29" s="348"/>
      <c r="BF29" s="348"/>
      <c r="BG29" s="348"/>
      <c r="BH29" s="348"/>
      <c r="BI29" s="348"/>
      <c r="BJ29" s="348"/>
      <c r="BK29" s="348"/>
      <c r="BL29" s="348"/>
      <c r="BM29" s="348"/>
      <c r="BN29" s="348"/>
      <c r="BO29" s="348"/>
      <c r="BP29" s="348"/>
      <c r="BQ29" s="348"/>
      <c r="BR29" s="348"/>
      <c r="BS29" s="348"/>
      <c r="BT29" s="348"/>
      <c r="BU29" s="348"/>
      <c r="BV29" s="348"/>
      <c r="BW29" s="348"/>
      <c r="BX29" s="348"/>
      <c r="BY29" s="348"/>
      <c r="BZ29" s="348"/>
      <c r="CA29" s="348"/>
      <c r="CB29" s="348"/>
      <c r="CC29" s="348"/>
    </row>
    <row r="30" spans="1:81" s="352" customFormat="1" ht="19.899999999999999" customHeight="1">
      <c r="A30" s="348"/>
      <c r="B30" s="349"/>
      <c r="C30" s="772"/>
      <c r="D30" s="772"/>
      <c r="E30" s="772"/>
      <c r="F30" s="772"/>
      <c r="G30" s="772"/>
      <c r="H30" s="772"/>
      <c r="I30" s="772"/>
      <c r="J30" s="351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  <c r="AJ30" s="348"/>
      <c r="AK30" s="348"/>
      <c r="AL30" s="348"/>
      <c r="AM30" s="348"/>
      <c r="AN30" s="348"/>
      <c r="AO30" s="348"/>
      <c r="AP30" s="348"/>
      <c r="AQ30" s="348"/>
      <c r="AR30" s="348"/>
      <c r="AS30" s="348"/>
      <c r="AT30" s="348"/>
      <c r="AU30" s="348"/>
      <c r="AV30" s="348"/>
      <c r="AW30" s="348"/>
      <c r="AX30" s="348"/>
      <c r="AY30" s="348"/>
      <c r="AZ30" s="348"/>
      <c r="BA30" s="348"/>
      <c r="BB30" s="348"/>
      <c r="BC30" s="348"/>
      <c r="BD30" s="348"/>
      <c r="BE30" s="348"/>
      <c r="BF30" s="348"/>
      <c r="BG30" s="348"/>
      <c r="BH30" s="348"/>
      <c r="BI30" s="348"/>
      <c r="BJ30" s="348"/>
      <c r="BK30" s="348"/>
      <c r="BL30" s="348"/>
      <c r="BM30" s="348"/>
      <c r="BN30" s="348"/>
      <c r="BO30" s="348"/>
      <c r="BP30" s="348"/>
      <c r="BQ30" s="348"/>
      <c r="BR30" s="348"/>
      <c r="BS30" s="348"/>
      <c r="BT30" s="348"/>
      <c r="BU30" s="348"/>
      <c r="BV30" s="348"/>
      <c r="BW30" s="348"/>
      <c r="BX30" s="348"/>
      <c r="BY30" s="348"/>
      <c r="BZ30" s="348"/>
      <c r="CA30" s="348"/>
      <c r="CB30" s="348"/>
      <c r="CC30" s="348"/>
    </row>
    <row r="31" spans="1:81" s="352" customFormat="1" ht="19.899999999999999" customHeight="1">
      <c r="A31" s="348"/>
      <c r="B31" s="349"/>
      <c r="C31" s="353" t="s">
        <v>291</v>
      </c>
      <c r="D31" s="750" t="s">
        <v>438</v>
      </c>
      <c r="E31" s="364" t="s">
        <v>293</v>
      </c>
      <c r="F31" s="750" t="s">
        <v>437</v>
      </c>
      <c r="G31" s="353" t="s">
        <v>292</v>
      </c>
      <c r="H31" s="775"/>
      <c r="I31" s="775"/>
      <c r="J31" s="351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8"/>
      <c r="AI31" s="348"/>
      <c r="AJ31" s="348"/>
      <c r="AK31" s="348"/>
      <c r="AL31" s="348"/>
      <c r="AM31" s="348"/>
      <c r="AN31" s="348"/>
      <c r="AO31" s="348"/>
      <c r="AP31" s="348"/>
      <c r="AQ31" s="348"/>
      <c r="AR31" s="348"/>
      <c r="AS31" s="348"/>
      <c r="AT31" s="348"/>
      <c r="AU31" s="348"/>
      <c r="AV31" s="348"/>
      <c r="AW31" s="348"/>
      <c r="AX31" s="348"/>
      <c r="AY31" s="348"/>
      <c r="AZ31" s="348"/>
      <c r="BA31" s="348"/>
      <c r="BB31" s="348"/>
      <c r="BC31" s="348"/>
      <c r="BD31" s="348"/>
      <c r="BE31" s="348"/>
      <c r="BF31" s="348"/>
      <c r="BG31" s="348"/>
      <c r="BH31" s="348"/>
      <c r="BI31" s="348"/>
      <c r="BJ31" s="348"/>
      <c r="BK31" s="348"/>
      <c r="BL31" s="348"/>
      <c r="BM31" s="348"/>
      <c r="BN31" s="348"/>
      <c r="BO31" s="348"/>
      <c r="BP31" s="348"/>
      <c r="BQ31" s="348"/>
      <c r="BR31" s="348"/>
      <c r="BS31" s="348"/>
      <c r="BT31" s="348"/>
      <c r="BU31" s="348"/>
      <c r="BV31" s="348"/>
      <c r="BW31" s="348"/>
      <c r="BX31" s="348"/>
      <c r="BY31" s="348"/>
      <c r="BZ31" s="348"/>
      <c r="CA31" s="348"/>
      <c r="CB31" s="348"/>
      <c r="CC31" s="348"/>
    </row>
    <row r="32" spans="1:81" s="352" customFormat="1" ht="24" customHeight="1">
      <c r="A32" s="348"/>
      <c r="B32" s="354"/>
      <c r="C32" s="383" t="s">
        <v>402</v>
      </c>
      <c r="D32" s="776">
        <v>45182.660416666666</v>
      </c>
      <c r="E32" s="776"/>
      <c r="F32" s="355"/>
      <c r="G32" s="383" t="str">
        <f>IF(initial!C4=1, "Commenced Loading", "Commenced Discharging")</f>
        <v>Commenced Loading</v>
      </c>
      <c r="H32" s="776">
        <f>initial!H32</f>
        <v>45181.454861111109</v>
      </c>
      <c r="I32" s="776"/>
      <c r="J32" s="356"/>
      <c r="K32" s="348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/>
      <c r="Z32" s="348"/>
      <c r="AA32" s="348"/>
      <c r="AB32" s="348"/>
      <c r="AC32" s="348"/>
      <c r="AD32" s="348"/>
      <c r="AE32" s="348"/>
      <c r="AF32" s="348"/>
      <c r="AG32" s="348"/>
      <c r="AH32" s="348"/>
      <c r="AI32" s="348"/>
      <c r="AJ32" s="348"/>
      <c r="AK32" s="348"/>
      <c r="AL32" s="348"/>
      <c r="AM32" s="348"/>
      <c r="AN32" s="348"/>
      <c r="AO32" s="348"/>
      <c r="AP32" s="348"/>
      <c r="AQ32" s="348"/>
      <c r="AR32" s="348"/>
      <c r="AS32" s="348"/>
      <c r="AT32" s="348"/>
      <c r="AU32" s="348"/>
      <c r="AV32" s="348"/>
      <c r="AW32" s="348"/>
      <c r="AX32" s="348"/>
      <c r="AY32" s="348"/>
      <c r="AZ32" s="348"/>
      <c r="BA32" s="348"/>
      <c r="BB32" s="348"/>
      <c r="BC32" s="348"/>
      <c r="BD32" s="348"/>
      <c r="BE32" s="348"/>
      <c r="BF32" s="348"/>
      <c r="BG32" s="348"/>
      <c r="BH32" s="348"/>
      <c r="BI32" s="348"/>
      <c r="BJ32" s="348"/>
      <c r="BK32" s="348"/>
      <c r="BL32" s="348"/>
      <c r="BM32" s="348"/>
      <c r="BN32" s="348"/>
      <c r="BO32" s="348"/>
      <c r="BP32" s="348"/>
      <c r="BQ32" s="348"/>
      <c r="BR32" s="348"/>
      <c r="BS32" s="348"/>
      <c r="BT32" s="348"/>
      <c r="BU32" s="348"/>
      <c r="BV32" s="348"/>
      <c r="BW32" s="348"/>
      <c r="BX32" s="348"/>
      <c r="BY32" s="348"/>
      <c r="BZ32" s="348"/>
      <c r="CA32" s="348"/>
      <c r="CB32" s="348"/>
      <c r="CC32" s="348"/>
    </row>
    <row r="33" spans="1:81" s="352" customFormat="1" ht="24" customHeight="1">
      <c r="A33" s="348"/>
      <c r="B33" s="354"/>
      <c r="C33" s="383" t="s">
        <v>401</v>
      </c>
      <c r="D33" s="776">
        <v>45182.67083333333</v>
      </c>
      <c r="E33" s="776"/>
      <c r="F33" s="357"/>
      <c r="G33" s="383"/>
      <c r="H33" s="776"/>
      <c r="I33" s="776"/>
      <c r="J33" s="356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348"/>
      <c r="AB33" s="348"/>
      <c r="AC33" s="348"/>
      <c r="AD33" s="348"/>
      <c r="AE33" s="348"/>
      <c r="AF33" s="348"/>
      <c r="AG33" s="348"/>
      <c r="AH33" s="348"/>
      <c r="AI33" s="348"/>
      <c r="AJ33" s="348"/>
      <c r="AK33" s="348"/>
      <c r="AL33" s="348"/>
      <c r="AM33" s="348"/>
      <c r="AN33" s="348"/>
      <c r="AO33" s="348"/>
      <c r="AP33" s="348"/>
      <c r="AQ33" s="348"/>
      <c r="AR33" s="348"/>
      <c r="AS33" s="348"/>
      <c r="AT33" s="348"/>
      <c r="AU33" s="348"/>
      <c r="AV33" s="348"/>
      <c r="AW33" s="348"/>
      <c r="AX33" s="348"/>
      <c r="AY33" s="348"/>
      <c r="AZ33" s="348"/>
      <c r="BA33" s="348"/>
      <c r="BB33" s="348"/>
      <c r="BC33" s="348"/>
      <c r="BD33" s="348"/>
      <c r="BE33" s="348"/>
      <c r="BF33" s="348"/>
      <c r="BG33" s="348"/>
      <c r="BH33" s="348"/>
      <c r="BI33" s="348"/>
      <c r="BJ33" s="348"/>
      <c r="BK33" s="348"/>
      <c r="BL33" s="348"/>
      <c r="BM33" s="348"/>
      <c r="BN33" s="348"/>
      <c r="BO33" s="348"/>
      <c r="BP33" s="348"/>
      <c r="BQ33" s="348"/>
      <c r="BR33" s="348"/>
      <c r="BS33" s="348"/>
      <c r="BT33" s="348"/>
      <c r="BU33" s="348"/>
      <c r="BV33" s="348"/>
      <c r="BW33" s="348"/>
      <c r="BX33" s="348"/>
      <c r="BY33" s="348"/>
      <c r="BZ33" s="348"/>
      <c r="CA33" s="348"/>
      <c r="CB33" s="348"/>
      <c r="CC33" s="348"/>
    </row>
    <row r="34" spans="1:81" s="352" customFormat="1" ht="9" customHeight="1" thickBot="1">
      <c r="A34" s="348"/>
      <c r="B34" s="354"/>
      <c r="C34" s="453"/>
      <c r="D34" s="454"/>
      <c r="E34" s="454"/>
      <c r="F34" s="455"/>
      <c r="G34" s="453"/>
      <c r="H34" s="454"/>
      <c r="I34" s="454"/>
      <c r="J34" s="351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48"/>
      <c r="AB34" s="348"/>
      <c r="AC34" s="348"/>
      <c r="AD34" s="348"/>
      <c r="AE34" s="348"/>
      <c r="AF34" s="348"/>
      <c r="AG34" s="348"/>
      <c r="AH34" s="348"/>
      <c r="AI34" s="348"/>
      <c r="AJ34" s="348"/>
      <c r="AK34" s="348"/>
      <c r="AL34" s="348"/>
      <c r="AM34" s="348"/>
      <c r="AN34" s="348"/>
      <c r="AO34" s="348"/>
      <c r="AP34" s="348"/>
      <c r="AQ34" s="348"/>
      <c r="AR34" s="348"/>
      <c r="AS34" s="348"/>
      <c r="AT34" s="348"/>
      <c r="AU34" s="348"/>
      <c r="AV34" s="348"/>
      <c r="AW34" s="348"/>
      <c r="AX34" s="348"/>
      <c r="AY34" s="348"/>
      <c r="AZ34" s="348"/>
      <c r="BA34" s="348"/>
      <c r="BB34" s="348"/>
      <c r="BC34" s="348"/>
      <c r="BD34" s="348"/>
      <c r="BE34" s="348"/>
      <c r="BF34" s="348"/>
      <c r="BG34" s="348"/>
      <c r="BH34" s="348"/>
      <c r="BI34" s="348"/>
      <c r="BJ34" s="348"/>
      <c r="BK34" s="348"/>
      <c r="BL34" s="348"/>
      <c r="BM34" s="348"/>
      <c r="BN34" s="348"/>
      <c r="BO34" s="348"/>
      <c r="BP34" s="348"/>
      <c r="BQ34" s="348"/>
      <c r="BR34" s="348"/>
      <c r="BS34" s="348"/>
      <c r="BT34" s="348"/>
      <c r="BU34" s="348"/>
      <c r="BV34" s="348"/>
      <c r="BW34" s="348"/>
      <c r="BX34" s="348"/>
      <c r="BY34" s="348"/>
      <c r="BZ34" s="348"/>
      <c r="CA34" s="348"/>
      <c r="CB34" s="348"/>
      <c r="CC34" s="348"/>
    </row>
    <row r="35" spans="1:81" s="352" customFormat="1" ht="9" customHeight="1" thickTop="1" thickBot="1">
      <c r="A35" s="348"/>
      <c r="B35" s="456"/>
      <c r="C35" s="457"/>
      <c r="D35" s="458"/>
      <c r="E35" s="458"/>
      <c r="F35" s="459"/>
      <c r="G35" s="457"/>
      <c r="H35" s="458"/>
      <c r="I35" s="458"/>
      <c r="J35" s="460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8"/>
      <c r="AK35" s="348"/>
      <c r="AL35" s="348"/>
      <c r="AM35" s="348"/>
      <c r="AN35" s="348"/>
      <c r="AO35" s="348"/>
      <c r="AP35" s="348"/>
      <c r="AQ35" s="348"/>
      <c r="AR35" s="348"/>
      <c r="AS35" s="348"/>
      <c r="AT35" s="348"/>
      <c r="AU35" s="348"/>
      <c r="AV35" s="348"/>
      <c r="AW35" s="348"/>
      <c r="AX35" s="348"/>
      <c r="AY35" s="348"/>
      <c r="AZ35" s="348"/>
      <c r="BA35" s="348"/>
      <c r="BB35" s="348"/>
      <c r="BC35" s="348"/>
      <c r="BD35" s="348"/>
      <c r="BE35" s="348"/>
      <c r="BF35" s="348"/>
      <c r="BG35" s="348"/>
      <c r="BH35" s="348"/>
      <c r="BI35" s="348"/>
      <c r="BJ35" s="348"/>
      <c r="BK35" s="348"/>
      <c r="BL35" s="348"/>
      <c r="BM35" s="348"/>
      <c r="BN35" s="348"/>
      <c r="BO35" s="348"/>
      <c r="BP35" s="348"/>
      <c r="BQ35" s="348"/>
      <c r="BR35" s="348"/>
      <c r="BS35" s="348"/>
      <c r="BT35" s="348"/>
      <c r="BU35" s="348"/>
      <c r="BV35" s="348"/>
      <c r="BW35" s="348"/>
      <c r="BX35" s="348"/>
      <c r="BY35" s="348"/>
      <c r="BZ35" s="348"/>
      <c r="CA35" s="348"/>
      <c r="CB35" s="348"/>
      <c r="CC35" s="348"/>
    </row>
    <row r="36" spans="1:81" s="224" customFormat="1" ht="19.899999999999999" hidden="1" customHeight="1">
      <c r="A36" s="358"/>
      <c r="B36" s="359"/>
      <c r="C36" s="764" t="s">
        <v>294</v>
      </c>
      <c r="D36" s="764"/>
      <c r="E36" s="764"/>
      <c r="F36" s="764"/>
      <c r="G36" s="765"/>
      <c r="H36" s="765"/>
      <c r="I36" s="765"/>
      <c r="J36" s="360"/>
      <c r="K36" s="358"/>
      <c r="L36" s="358"/>
      <c r="M36" s="358"/>
      <c r="N36" s="358"/>
      <c r="O36" s="358"/>
      <c r="P36" s="358"/>
      <c r="Q36" s="358"/>
      <c r="R36" s="358"/>
      <c r="S36" s="358"/>
      <c r="T36" s="358"/>
      <c r="U36" s="358"/>
      <c r="V36" s="358"/>
      <c r="W36" s="358"/>
      <c r="X36" s="358"/>
      <c r="Y36" s="358"/>
      <c r="Z36" s="358"/>
      <c r="AA36" s="358"/>
      <c r="AB36" s="358"/>
      <c r="AC36" s="358"/>
      <c r="AD36" s="358"/>
      <c r="AE36" s="358"/>
      <c r="AF36" s="358"/>
      <c r="AG36" s="358"/>
      <c r="AH36" s="358"/>
      <c r="AI36" s="358"/>
      <c r="AJ36" s="358"/>
      <c r="AK36" s="358"/>
      <c r="AL36" s="358"/>
      <c r="AM36" s="358"/>
      <c r="AN36" s="358"/>
      <c r="AO36" s="358"/>
      <c r="AP36" s="358"/>
      <c r="AQ36" s="358"/>
      <c r="AR36" s="358"/>
      <c r="AS36" s="358"/>
      <c r="AT36" s="358"/>
      <c r="AU36" s="358"/>
      <c r="AV36" s="358"/>
      <c r="AW36" s="358"/>
      <c r="AX36" s="358"/>
      <c r="AY36" s="358"/>
      <c r="AZ36" s="358"/>
      <c r="BA36" s="358"/>
      <c r="BB36" s="358"/>
      <c r="BC36" s="358"/>
      <c r="BD36" s="358"/>
      <c r="BE36" s="358"/>
      <c r="BF36" s="358"/>
      <c r="BG36" s="358"/>
      <c r="BH36" s="358"/>
      <c r="BI36" s="358"/>
      <c r="BJ36" s="358"/>
      <c r="BK36" s="358"/>
      <c r="BL36" s="358"/>
      <c r="BM36" s="358"/>
      <c r="BN36" s="358"/>
      <c r="BO36" s="358"/>
      <c r="BP36" s="358"/>
      <c r="BQ36" s="358"/>
      <c r="BR36" s="358"/>
      <c r="BS36" s="358"/>
      <c r="BT36" s="358"/>
      <c r="BU36" s="358"/>
      <c r="BV36" s="358"/>
      <c r="BW36" s="358"/>
      <c r="BX36" s="358"/>
      <c r="BY36" s="358"/>
      <c r="BZ36" s="358"/>
      <c r="CA36" s="358"/>
      <c r="CB36" s="358"/>
      <c r="CC36" s="358"/>
    </row>
    <row r="37" spans="1:81" s="224" customFormat="1" ht="19.899999999999999" hidden="1" customHeight="1">
      <c r="A37" s="358"/>
      <c r="B37" s="359"/>
      <c r="C37" s="369" t="s">
        <v>250</v>
      </c>
      <c r="D37" s="763">
        <v>4</v>
      </c>
      <c r="E37" s="763"/>
      <c r="F37" s="381"/>
      <c r="G37" s="370" t="s">
        <v>279</v>
      </c>
      <c r="H37" s="769"/>
      <c r="I37" s="769"/>
      <c r="J37" s="360"/>
      <c r="K37" s="358"/>
      <c r="L37" s="358"/>
      <c r="M37" s="358"/>
      <c r="N37" s="358"/>
      <c r="O37" s="358"/>
      <c r="P37" s="358"/>
      <c r="Q37" s="358"/>
      <c r="R37" s="358"/>
      <c r="S37" s="358"/>
      <c r="T37" s="358"/>
      <c r="U37" s="358"/>
      <c r="V37" s="358"/>
      <c r="W37" s="358"/>
      <c r="X37" s="358"/>
      <c r="Y37" s="358"/>
      <c r="Z37" s="358"/>
      <c r="AA37" s="358"/>
      <c r="AB37" s="358"/>
      <c r="AC37" s="358"/>
      <c r="AD37" s="358"/>
      <c r="AE37" s="358"/>
      <c r="AF37" s="358"/>
      <c r="AG37" s="358"/>
      <c r="AH37" s="358"/>
      <c r="AI37" s="358"/>
      <c r="AJ37" s="358"/>
      <c r="AK37" s="358"/>
      <c r="AL37" s="358"/>
      <c r="AM37" s="358"/>
      <c r="AN37" s="358"/>
      <c r="AO37" s="358"/>
      <c r="AP37" s="358"/>
      <c r="AQ37" s="358"/>
      <c r="AR37" s="358"/>
      <c r="AS37" s="358"/>
      <c r="AT37" s="358"/>
      <c r="AU37" s="358"/>
      <c r="AV37" s="358"/>
      <c r="AW37" s="358"/>
      <c r="AX37" s="358"/>
      <c r="AY37" s="358"/>
      <c r="AZ37" s="358"/>
      <c r="BA37" s="358"/>
      <c r="BB37" s="358"/>
      <c r="BC37" s="358"/>
      <c r="BD37" s="358"/>
      <c r="BE37" s="358"/>
      <c r="BF37" s="358"/>
      <c r="BG37" s="358"/>
      <c r="BH37" s="358"/>
      <c r="BI37" s="358"/>
      <c r="BJ37" s="358"/>
      <c r="BK37" s="358"/>
      <c r="BL37" s="358"/>
      <c r="BM37" s="358"/>
      <c r="BN37" s="358"/>
      <c r="BO37" s="358"/>
      <c r="BP37" s="358"/>
      <c r="BQ37" s="358"/>
      <c r="BR37" s="358"/>
      <c r="BS37" s="358"/>
      <c r="BT37" s="358"/>
      <c r="BU37" s="358"/>
      <c r="BV37" s="358"/>
      <c r="BW37" s="358"/>
      <c r="BX37" s="358"/>
      <c r="BY37" s="358"/>
      <c r="BZ37" s="358"/>
      <c r="CA37" s="358"/>
      <c r="CB37" s="358"/>
      <c r="CC37" s="358"/>
    </row>
    <row r="38" spans="1:81" s="224" customFormat="1" ht="19.899999999999999" hidden="1" customHeight="1">
      <c r="A38" s="358"/>
      <c r="B38" s="359"/>
      <c r="C38" s="369" t="s">
        <v>268</v>
      </c>
      <c r="D38" s="763">
        <v>9</v>
      </c>
      <c r="E38" s="763"/>
      <c r="F38" s="381"/>
      <c r="G38" s="370" t="s">
        <v>280</v>
      </c>
      <c r="H38" s="769"/>
      <c r="I38" s="769"/>
      <c r="J38" s="360"/>
      <c r="K38" s="358"/>
      <c r="L38" s="358"/>
      <c r="M38" s="358"/>
      <c r="N38" s="358"/>
      <c r="O38" s="358"/>
      <c r="P38" s="358"/>
      <c r="Q38" s="358"/>
      <c r="R38" s="358"/>
      <c r="S38" s="358"/>
      <c r="T38" s="358"/>
      <c r="U38" s="358"/>
      <c r="V38" s="358"/>
      <c r="W38" s="358"/>
      <c r="X38" s="358"/>
      <c r="Y38" s="358"/>
      <c r="Z38" s="358"/>
      <c r="AA38" s="358"/>
      <c r="AB38" s="358"/>
      <c r="AC38" s="358"/>
      <c r="AD38" s="358"/>
      <c r="AE38" s="358"/>
      <c r="AF38" s="358"/>
      <c r="AG38" s="358"/>
      <c r="AH38" s="358"/>
      <c r="AI38" s="358"/>
      <c r="AJ38" s="358"/>
      <c r="AK38" s="358"/>
      <c r="AL38" s="358"/>
      <c r="AM38" s="358"/>
      <c r="AN38" s="358"/>
      <c r="AO38" s="358"/>
      <c r="AP38" s="358"/>
      <c r="AQ38" s="358"/>
      <c r="AR38" s="358"/>
      <c r="AS38" s="358"/>
      <c r="AT38" s="358"/>
      <c r="AU38" s="358"/>
      <c r="AV38" s="358"/>
      <c r="AW38" s="358"/>
      <c r="AX38" s="358"/>
      <c r="AY38" s="358"/>
      <c r="AZ38" s="358"/>
      <c r="BA38" s="358"/>
      <c r="BB38" s="358"/>
      <c r="BC38" s="358"/>
      <c r="BD38" s="358"/>
      <c r="BE38" s="358"/>
      <c r="BF38" s="358"/>
      <c r="BG38" s="358"/>
      <c r="BH38" s="358"/>
      <c r="BI38" s="358"/>
      <c r="BJ38" s="358"/>
      <c r="BK38" s="358"/>
      <c r="BL38" s="358"/>
      <c r="BM38" s="358"/>
      <c r="BN38" s="358"/>
      <c r="BO38" s="358"/>
      <c r="BP38" s="358"/>
      <c r="BQ38" s="358"/>
      <c r="BR38" s="358"/>
      <c r="BS38" s="358"/>
      <c r="BT38" s="358"/>
      <c r="BU38" s="358"/>
      <c r="BV38" s="358"/>
      <c r="BW38" s="358"/>
      <c r="BX38" s="358"/>
      <c r="BY38" s="358"/>
      <c r="BZ38" s="358"/>
      <c r="CA38" s="358"/>
      <c r="CB38" s="358"/>
      <c r="CC38" s="358"/>
    </row>
    <row r="39" spans="1:81" s="224" customFormat="1" ht="19.899999999999999" hidden="1" customHeight="1">
      <c r="A39" s="358"/>
      <c r="B39" s="359"/>
      <c r="C39" s="369" t="s">
        <v>269</v>
      </c>
      <c r="D39" s="763">
        <v>9</v>
      </c>
      <c r="E39" s="763"/>
      <c r="F39" s="381"/>
      <c r="G39" s="370" t="s">
        <v>281</v>
      </c>
      <c r="H39" s="769"/>
      <c r="I39" s="769"/>
      <c r="J39" s="360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  <c r="AA39" s="358"/>
      <c r="AB39" s="358"/>
      <c r="AC39" s="358"/>
      <c r="AD39" s="358"/>
      <c r="AE39" s="358"/>
      <c r="AF39" s="358"/>
      <c r="AG39" s="358"/>
      <c r="AH39" s="358"/>
      <c r="AI39" s="358"/>
      <c r="AJ39" s="358"/>
      <c r="AK39" s="358"/>
      <c r="AL39" s="358"/>
      <c r="AM39" s="358"/>
      <c r="AN39" s="358"/>
      <c r="AO39" s="358"/>
      <c r="AP39" s="358"/>
      <c r="AQ39" s="358"/>
      <c r="AR39" s="358"/>
      <c r="AS39" s="358"/>
      <c r="AT39" s="358"/>
      <c r="AU39" s="358"/>
      <c r="AV39" s="358"/>
      <c r="AW39" s="358"/>
      <c r="AX39" s="358"/>
      <c r="AY39" s="358"/>
      <c r="AZ39" s="358"/>
      <c r="BA39" s="358"/>
      <c r="BB39" s="358"/>
      <c r="BC39" s="358"/>
      <c r="BD39" s="358"/>
      <c r="BE39" s="358"/>
      <c r="BF39" s="358"/>
      <c r="BG39" s="358"/>
      <c r="BH39" s="358"/>
      <c r="BI39" s="358"/>
      <c r="BJ39" s="358"/>
      <c r="BK39" s="358"/>
      <c r="BL39" s="358"/>
      <c r="BM39" s="358"/>
      <c r="BN39" s="358"/>
      <c r="BO39" s="358"/>
      <c r="BP39" s="358"/>
      <c r="BQ39" s="358"/>
      <c r="BR39" s="358"/>
      <c r="BS39" s="358"/>
      <c r="BT39" s="358"/>
      <c r="BU39" s="358"/>
      <c r="BV39" s="358"/>
      <c r="BW39" s="358"/>
      <c r="BX39" s="358"/>
      <c r="BY39" s="358"/>
      <c r="BZ39" s="358"/>
      <c r="CA39" s="358"/>
      <c r="CB39" s="358"/>
      <c r="CC39" s="358"/>
    </row>
    <row r="40" spans="1:81" s="224" customFormat="1" ht="19.899999999999999" hidden="1" customHeight="1">
      <c r="A40" s="358"/>
      <c r="B40" s="359"/>
      <c r="C40" s="369" t="s">
        <v>270</v>
      </c>
      <c r="D40" s="763">
        <v>82</v>
      </c>
      <c r="E40" s="763"/>
      <c r="F40" s="381"/>
      <c r="G40" s="370" t="s">
        <v>298</v>
      </c>
      <c r="H40" s="771">
        <f>SUM(H37:I39)</f>
        <v>0</v>
      </c>
      <c r="I40" s="771"/>
      <c r="J40" s="360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  <c r="AA40" s="358"/>
      <c r="AB40" s="358"/>
      <c r="AC40" s="358"/>
      <c r="AD40" s="358"/>
      <c r="AE40" s="358"/>
      <c r="AF40" s="358"/>
      <c r="AG40" s="358"/>
      <c r="AH40" s="358"/>
      <c r="AI40" s="358"/>
      <c r="AJ40" s="358"/>
      <c r="AK40" s="358"/>
      <c r="AL40" s="358"/>
      <c r="AM40" s="358"/>
      <c r="AN40" s="358"/>
      <c r="AO40" s="358"/>
      <c r="AP40" s="358"/>
      <c r="AQ40" s="358"/>
      <c r="AR40" s="358"/>
      <c r="AS40" s="358"/>
      <c r="AT40" s="358"/>
      <c r="AU40" s="358"/>
      <c r="AV40" s="358"/>
      <c r="AW40" s="358"/>
      <c r="AX40" s="358"/>
      <c r="AY40" s="358"/>
      <c r="AZ40" s="358"/>
      <c r="BA40" s="358"/>
      <c r="BB40" s="358"/>
      <c r="BC40" s="358"/>
      <c r="BD40" s="358"/>
      <c r="BE40" s="358"/>
      <c r="BF40" s="358"/>
      <c r="BG40" s="358"/>
      <c r="BH40" s="358"/>
      <c r="BI40" s="358"/>
      <c r="BJ40" s="358"/>
      <c r="BK40" s="358"/>
      <c r="BL40" s="358"/>
      <c r="BM40" s="358"/>
      <c r="BN40" s="358"/>
      <c r="BO40" s="358"/>
      <c r="BP40" s="358"/>
      <c r="BQ40" s="358"/>
      <c r="BR40" s="358"/>
      <c r="BS40" s="358"/>
      <c r="BT40" s="358"/>
      <c r="BU40" s="358"/>
      <c r="BV40" s="358"/>
      <c r="BW40" s="358"/>
      <c r="BX40" s="358"/>
      <c r="BY40" s="358"/>
      <c r="BZ40" s="358"/>
      <c r="CA40" s="358"/>
      <c r="CB40" s="358"/>
      <c r="CC40" s="358"/>
    </row>
    <row r="41" spans="1:81" s="224" customFormat="1" ht="19.899999999999999" hidden="1" customHeight="1">
      <c r="A41" s="358"/>
      <c r="B41" s="359"/>
      <c r="C41" s="369" t="s">
        <v>271</v>
      </c>
      <c r="D41" s="763">
        <v>24</v>
      </c>
      <c r="E41" s="763"/>
      <c r="F41" s="381"/>
      <c r="G41" s="371" t="s">
        <v>282</v>
      </c>
      <c r="H41" s="768"/>
      <c r="I41" s="768"/>
      <c r="J41" s="360"/>
      <c r="K41" s="358"/>
      <c r="L41" s="358"/>
      <c r="M41" s="358"/>
      <c r="N41" s="358"/>
      <c r="O41" s="358"/>
      <c r="P41" s="358"/>
      <c r="Q41" s="358"/>
      <c r="R41" s="358"/>
      <c r="S41" s="358"/>
      <c r="T41" s="358"/>
      <c r="U41" s="358"/>
      <c r="V41" s="358"/>
      <c r="W41" s="358"/>
      <c r="X41" s="358"/>
      <c r="Y41" s="358"/>
      <c r="Z41" s="358"/>
      <c r="AA41" s="358"/>
      <c r="AB41" s="358"/>
      <c r="AC41" s="358"/>
      <c r="AD41" s="358"/>
      <c r="AE41" s="358"/>
      <c r="AF41" s="358"/>
      <c r="AG41" s="358"/>
      <c r="AH41" s="358"/>
      <c r="AI41" s="358"/>
      <c r="AJ41" s="358"/>
      <c r="AK41" s="358"/>
      <c r="AL41" s="358"/>
      <c r="AM41" s="358"/>
      <c r="AN41" s="358"/>
      <c r="AO41" s="358"/>
      <c r="AP41" s="358"/>
      <c r="AQ41" s="358"/>
      <c r="AR41" s="358"/>
      <c r="AS41" s="358"/>
      <c r="AT41" s="358"/>
      <c r="AU41" s="358"/>
      <c r="AV41" s="358"/>
      <c r="AW41" s="358"/>
      <c r="AX41" s="358"/>
      <c r="AY41" s="358"/>
      <c r="AZ41" s="358"/>
      <c r="BA41" s="358"/>
      <c r="BB41" s="358"/>
      <c r="BC41" s="358"/>
      <c r="BD41" s="358"/>
      <c r="BE41" s="358"/>
      <c r="BF41" s="358"/>
      <c r="BG41" s="358"/>
      <c r="BH41" s="358"/>
      <c r="BI41" s="358"/>
      <c r="BJ41" s="358"/>
      <c r="BK41" s="358"/>
      <c r="BL41" s="358"/>
      <c r="BM41" s="358"/>
      <c r="BN41" s="358"/>
      <c r="BO41" s="358"/>
      <c r="BP41" s="358"/>
      <c r="BQ41" s="358"/>
      <c r="BR41" s="358"/>
      <c r="BS41" s="358"/>
      <c r="BT41" s="358"/>
      <c r="BU41" s="358"/>
      <c r="BV41" s="358"/>
      <c r="BW41" s="358"/>
      <c r="BX41" s="358"/>
      <c r="BY41" s="358"/>
      <c r="BZ41" s="358"/>
      <c r="CA41" s="358"/>
      <c r="CB41" s="358"/>
      <c r="CC41" s="358"/>
    </row>
    <row r="42" spans="1:81" s="224" customFormat="1" ht="19.899999999999999" hidden="1" customHeight="1">
      <c r="A42" s="358"/>
      <c r="B42" s="359"/>
      <c r="C42" s="369" t="s">
        <v>272</v>
      </c>
      <c r="D42" s="763">
        <v>213</v>
      </c>
      <c r="E42" s="763"/>
      <c r="F42" s="381"/>
      <c r="G42" s="371" t="s">
        <v>283</v>
      </c>
      <c r="H42" s="768"/>
      <c r="I42" s="768"/>
      <c r="J42" s="360"/>
      <c r="K42" s="358"/>
      <c r="L42" s="358"/>
      <c r="M42" s="358"/>
      <c r="N42" s="358"/>
      <c r="O42" s="358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358"/>
      <c r="AA42" s="358"/>
      <c r="AB42" s="358"/>
      <c r="AC42" s="358"/>
      <c r="AD42" s="358"/>
      <c r="AE42" s="358"/>
      <c r="AF42" s="358"/>
      <c r="AG42" s="358"/>
      <c r="AH42" s="358"/>
      <c r="AI42" s="358"/>
      <c r="AJ42" s="358"/>
      <c r="AK42" s="358"/>
      <c r="AL42" s="358"/>
      <c r="AM42" s="358"/>
      <c r="AN42" s="358"/>
      <c r="AO42" s="358"/>
      <c r="AP42" s="358"/>
      <c r="AQ42" s="358"/>
      <c r="AR42" s="358"/>
      <c r="AS42" s="358"/>
      <c r="AT42" s="358"/>
      <c r="AU42" s="358"/>
      <c r="AV42" s="358"/>
      <c r="AW42" s="358"/>
      <c r="AX42" s="358"/>
      <c r="AY42" s="358"/>
      <c r="AZ42" s="358"/>
      <c r="BA42" s="358"/>
      <c r="BB42" s="358"/>
      <c r="BC42" s="358"/>
      <c r="BD42" s="358"/>
      <c r="BE42" s="358"/>
      <c r="BF42" s="358"/>
      <c r="BG42" s="358"/>
      <c r="BH42" s="358"/>
      <c r="BI42" s="358"/>
      <c r="BJ42" s="358"/>
      <c r="BK42" s="358"/>
      <c r="BL42" s="358"/>
      <c r="BM42" s="358"/>
      <c r="BN42" s="358"/>
      <c r="BO42" s="358"/>
      <c r="BP42" s="358"/>
      <c r="BQ42" s="358"/>
      <c r="BR42" s="358"/>
      <c r="BS42" s="358"/>
      <c r="BT42" s="358"/>
      <c r="BU42" s="358"/>
      <c r="BV42" s="358"/>
      <c r="BW42" s="358"/>
      <c r="BX42" s="358"/>
      <c r="BY42" s="358"/>
      <c r="BZ42" s="358"/>
      <c r="CA42" s="358"/>
      <c r="CB42" s="358"/>
      <c r="CC42" s="358"/>
    </row>
    <row r="43" spans="1:81" s="224" customFormat="1" ht="19.899999999999999" hidden="1" customHeight="1">
      <c r="A43" s="358"/>
      <c r="B43" s="359"/>
      <c r="C43" s="369" t="s">
        <v>273</v>
      </c>
      <c r="D43" s="763">
        <v>91</v>
      </c>
      <c r="E43" s="763"/>
      <c r="F43" s="381"/>
      <c r="G43" s="371" t="s">
        <v>284</v>
      </c>
      <c r="H43" s="768"/>
      <c r="I43" s="768"/>
      <c r="J43" s="360"/>
      <c r="K43" s="358"/>
      <c r="L43" s="358"/>
      <c r="M43" s="358"/>
      <c r="N43" s="358"/>
      <c r="O43" s="358"/>
      <c r="P43" s="358"/>
      <c r="Q43" s="358"/>
      <c r="R43" s="358"/>
      <c r="S43" s="358"/>
      <c r="T43" s="358"/>
      <c r="U43" s="358"/>
      <c r="V43" s="358"/>
      <c r="W43" s="358"/>
      <c r="X43" s="358"/>
      <c r="Y43" s="358"/>
      <c r="Z43" s="358"/>
      <c r="AA43" s="358"/>
      <c r="AB43" s="358"/>
      <c r="AC43" s="358"/>
      <c r="AD43" s="358"/>
      <c r="AE43" s="358"/>
      <c r="AF43" s="358"/>
      <c r="AG43" s="358"/>
      <c r="AH43" s="358"/>
      <c r="AI43" s="358"/>
      <c r="AJ43" s="358"/>
      <c r="AK43" s="358"/>
      <c r="AL43" s="358"/>
      <c r="AM43" s="358"/>
      <c r="AN43" s="358"/>
      <c r="AO43" s="358"/>
      <c r="AP43" s="358"/>
      <c r="AQ43" s="358"/>
      <c r="AR43" s="358"/>
      <c r="AS43" s="358"/>
      <c r="AT43" s="358"/>
      <c r="AU43" s="358"/>
      <c r="AV43" s="358"/>
      <c r="AW43" s="358"/>
      <c r="AX43" s="358"/>
      <c r="AY43" s="358"/>
      <c r="AZ43" s="358"/>
      <c r="BA43" s="358"/>
      <c r="BB43" s="358"/>
      <c r="BC43" s="358"/>
      <c r="BD43" s="358"/>
      <c r="BE43" s="358"/>
      <c r="BF43" s="358"/>
      <c r="BG43" s="358"/>
      <c r="BH43" s="358"/>
      <c r="BI43" s="358"/>
      <c r="BJ43" s="358"/>
      <c r="BK43" s="358"/>
      <c r="BL43" s="358"/>
      <c r="BM43" s="358"/>
      <c r="BN43" s="358"/>
      <c r="BO43" s="358"/>
      <c r="BP43" s="358"/>
      <c r="BQ43" s="358"/>
      <c r="BR43" s="358"/>
      <c r="BS43" s="358"/>
      <c r="BT43" s="358"/>
      <c r="BU43" s="358"/>
      <c r="BV43" s="358"/>
      <c r="BW43" s="358"/>
      <c r="BX43" s="358"/>
      <c r="BY43" s="358"/>
      <c r="BZ43" s="358"/>
      <c r="CA43" s="358"/>
      <c r="CB43" s="358"/>
      <c r="CC43" s="358"/>
    </row>
    <row r="44" spans="1:81" s="224" customFormat="1" ht="19.899999999999999" hidden="1" customHeight="1">
      <c r="A44" s="358"/>
      <c r="B44" s="359"/>
      <c r="C44" s="369" t="s">
        <v>274</v>
      </c>
      <c r="D44" s="763">
        <v>93</v>
      </c>
      <c r="E44" s="763"/>
      <c r="F44" s="381"/>
      <c r="G44" s="371" t="s">
        <v>285</v>
      </c>
      <c r="H44" s="768"/>
      <c r="I44" s="768"/>
      <c r="J44" s="360"/>
      <c r="K44" s="358"/>
      <c r="L44" s="358"/>
      <c r="M44" s="358"/>
      <c r="N44" s="358"/>
      <c r="O44" s="358"/>
      <c r="P44" s="358"/>
      <c r="Q44" s="358"/>
      <c r="R44" s="358"/>
      <c r="S44" s="358"/>
      <c r="T44" s="358"/>
      <c r="U44" s="358"/>
      <c r="V44" s="358"/>
      <c r="W44" s="358"/>
      <c r="X44" s="358"/>
      <c r="Y44" s="358"/>
      <c r="Z44" s="358"/>
      <c r="AA44" s="358"/>
      <c r="AB44" s="358"/>
      <c r="AC44" s="358"/>
      <c r="AD44" s="358"/>
      <c r="AE44" s="358"/>
      <c r="AF44" s="358"/>
      <c r="AG44" s="358"/>
      <c r="AH44" s="358"/>
      <c r="AI44" s="358"/>
      <c r="AJ44" s="358"/>
      <c r="AK44" s="358"/>
      <c r="AL44" s="358"/>
      <c r="AM44" s="358"/>
      <c r="AN44" s="358"/>
      <c r="AO44" s="358"/>
      <c r="AP44" s="358"/>
      <c r="AQ44" s="358"/>
      <c r="AR44" s="358"/>
      <c r="AS44" s="358"/>
      <c r="AT44" s="358"/>
      <c r="AU44" s="358"/>
      <c r="AV44" s="358"/>
      <c r="AW44" s="358"/>
      <c r="AX44" s="358"/>
      <c r="AY44" s="358"/>
      <c r="AZ44" s="358"/>
      <c r="BA44" s="358"/>
      <c r="BB44" s="358"/>
      <c r="BC44" s="358"/>
      <c r="BD44" s="358"/>
      <c r="BE44" s="358"/>
      <c r="BF44" s="358"/>
      <c r="BG44" s="358"/>
      <c r="BH44" s="358"/>
      <c r="BI44" s="358"/>
      <c r="BJ44" s="358"/>
      <c r="BK44" s="358"/>
      <c r="BL44" s="358"/>
      <c r="BM44" s="358"/>
      <c r="BN44" s="358"/>
      <c r="BO44" s="358"/>
      <c r="BP44" s="358"/>
      <c r="BQ44" s="358"/>
      <c r="BR44" s="358"/>
      <c r="BS44" s="358"/>
      <c r="BT44" s="358"/>
      <c r="BU44" s="358"/>
      <c r="BV44" s="358"/>
      <c r="BW44" s="358"/>
      <c r="BX44" s="358"/>
      <c r="BY44" s="358"/>
      <c r="BZ44" s="358"/>
      <c r="CA44" s="358"/>
      <c r="CB44" s="358"/>
      <c r="CC44" s="358"/>
    </row>
    <row r="45" spans="1:81" s="224" customFormat="1" ht="19.899999999999999" hidden="1" customHeight="1">
      <c r="A45" s="358"/>
      <c r="B45" s="359"/>
      <c r="C45" s="369" t="s">
        <v>275</v>
      </c>
      <c r="D45" s="763">
        <v>103</v>
      </c>
      <c r="E45" s="763"/>
      <c r="F45" s="381"/>
      <c r="G45" s="371" t="s">
        <v>286</v>
      </c>
      <c r="H45" s="768"/>
      <c r="I45" s="768"/>
      <c r="J45" s="360"/>
      <c r="K45" s="358"/>
      <c r="L45" s="358"/>
      <c r="M45" s="358"/>
      <c r="N45" s="358"/>
      <c r="O45" s="358"/>
      <c r="P45" s="358"/>
      <c r="Q45" s="358"/>
      <c r="R45" s="358"/>
      <c r="S45" s="361"/>
      <c r="T45" s="361"/>
      <c r="U45" s="358"/>
      <c r="V45" s="358"/>
      <c r="W45" s="358"/>
      <c r="X45" s="358"/>
      <c r="Y45" s="358"/>
      <c r="Z45" s="358"/>
      <c r="AA45" s="358"/>
      <c r="AB45" s="358"/>
      <c r="AC45" s="358"/>
      <c r="AD45" s="358"/>
      <c r="AE45" s="358"/>
      <c r="AF45" s="358"/>
      <c r="AG45" s="358"/>
      <c r="AH45" s="358"/>
      <c r="AI45" s="358"/>
      <c r="AJ45" s="358"/>
      <c r="AK45" s="358"/>
      <c r="AL45" s="358"/>
      <c r="AM45" s="358"/>
      <c r="AN45" s="358"/>
      <c r="AO45" s="358"/>
      <c r="AP45" s="358"/>
      <c r="AQ45" s="358"/>
      <c r="AR45" s="358"/>
      <c r="AS45" s="358"/>
      <c r="AT45" s="358"/>
      <c r="AU45" s="358"/>
      <c r="AV45" s="358"/>
      <c r="AW45" s="358"/>
      <c r="AX45" s="358"/>
      <c r="AY45" s="358"/>
      <c r="AZ45" s="358"/>
      <c r="BA45" s="358"/>
      <c r="BB45" s="358"/>
      <c r="BC45" s="358"/>
      <c r="BD45" s="358"/>
      <c r="BE45" s="358"/>
      <c r="BF45" s="358"/>
      <c r="BG45" s="358"/>
      <c r="BH45" s="358"/>
      <c r="BI45" s="358"/>
      <c r="BJ45" s="358"/>
      <c r="BK45" s="358"/>
      <c r="BL45" s="358"/>
      <c r="BM45" s="358"/>
      <c r="BN45" s="358"/>
      <c r="BO45" s="358"/>
      <c r="BP45" s="358"/>
      <c r="BQ45" s="358"/>
      <c r="BR45" s="358"/>
      <c r="BS45" s="358"/>
      <c r="BT45" s="358"/>
      <c r="BU45" s="358"/>
      <c r="BV45" s="358"/>
      <c r="BW45" s="358"/>
      <c r="BX45" s="358"/>
      <c r="BY45" s="358"/>
      <c r="BZ45" s="358"/>
      <c r="CA45" s="358"/>
      <c r="CB45" s="358"/>
      <c r="CC45" s="358"/>
    </row>
    <row r="46" spans="1:81" s="224" customFormat="1" ht="19.899999999999999" hidden="1" customHeight="1">
      <c r="A46" s="358"/>
      <c r="B46" s="359"/>
      <c r="C46" s="369" t="s">
        <v>276</v>
      </c>
      <c r="D46" s="763">
        <v>8</v>
      </c>
      <c r="E46" s="763"/>
      <c r="F46" s="381"/>
      <c r="G46" s="371" t="s">
        <v>297</v>
      </c>
      <c r="H46" s="770">
        <f>SUM(H41:I45)</f>
        <v>0</v>
      </c>
      <c r="I46" s="770"/>
      <c r="J46" s="360"/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  <c r="AA46" s="358"/>
      <c r="AB46" s="358"/>
      <c r="AC46" s="358"/>
      <c r="AD46" s="358"/>
      <c r="AE46" s="358"/>
      <c r="AF46" s="358"/>
      <c r="AG46" s="358"/>
      <c r="AH46" s="358"/>
      <c r="AI46" s="358"/>
      <c r="AJ46" s="358"/>
      <c r="AK46" s="358"/>
      <c r="AL46" s="358"/>
      <c r="AM46" s="358"/>
      <c r="AN46" s="358"/>
      <c r="AO46" s="358"/>
      <c r="AP46" s="358"/>
      <c r="AQ46" s="358"/>
      <c r="AR46" s="358"/>
      <c r="AS46" s="358"/>
      <c r="AT46" s="358"/>
      <c r="AU46" s="358"/>
      <c r="AV46" s="358"/>
      <c r="AW46" s="358"/>
      <c r="AX46" s="358"/>
      <c r="AY46" s="358"/>
      <c r="AZ46" s="358"/>
      <c r="BA46" s="358"/>
      <c r="BB46" s="358"/>
      <c r="BC46" s="358"/>
      <c r="BD46" s="358"/>
      <c r="BE46" s="358"/>
      <c r="BF46" s="358"/>
      <c r="BG46" s="358"/>
      <c r="BH46" s="358"/>
      <c r="BI46" s="358"/>
      <c r="BJ46" s="358"/>
      <c r="BK46" s="358"/>
      <c r="BL46" s="358"/>
      <c r="BM46" s="358"/>
      <c r="BN46" s="358"/>
      <c r="BO46" s="358"/>
      <c r="BP46" s="358"/>
      <c r="BQ46" s="358"/>
      <c r="BR46" s="358"/>
      <c r="BS46" s="358"/>
      <c r="BT46" s="358"/>
      <c r="BU46" s="358"/>
      <c r="BV46" s="358"/>
      <c r="BW46" s="358"/>
      <c r="BX46" s="358"/>
      <c r="BY46" s="358"/>
      <c r="BZ46" s="358"/>
      <c r="CA46" s="358"/>
      <c r="CB46" s="358"/>
      <c r="CC46" s="358"/>
    </row>
    <row r="47" spans="1:81" s="224" customFormat="1" ht="19.899999999999999" hidden="1" customHeight="1">
      <c r="A47" s="358"/>
      <c r="B47" s="359"/>
      <c r="C47" s="369" t="s">
        <v>277</v>
      </c>
      <c r="D47" s="763">
        <v>5</v>
      </c>
      <c r="E47" s="763"/>
      <c r="F47" s="381"/>
      <c r="G47" s="372" t="s">
        <v>287</v>
      </c>
      <c r="H47" s="768"/>
      <c r="I47" s="768"/>
      <c r="J47" s="360"/>
      <c r="K47" s="358"/>
      <c r="L47" s="358"/>
      <c r="M47" s="358"/>
      <c r="N47" s="358"/>
      <c r="O47" s="358"/>
      <c r="P47" s="358"/>
      <c r="Q47" s="358"/>
      <c r="R47" s="358"/>
      <c r="S47" s="358"/>
      <c r="T47" s="358"/>
      <c r="U47" s="358"/>
      <c r="V47" s="358"/>
      <c r="W47" s="358"/>
      <c r="X47" s="358"/>
      <c r="Y47" s="358"/>
      <c r="Z47" s="358"/>
      <c r="AA47" s="358"/>
      <c r="AB47" s="358"/>
      <c r="AC47" s="358"/>
      <c r="AD47" s="358"/>
      <c r="AE47" s="358"/>
      <c r="AF47" s="358"/>
      <c r="AG47" s="358"/>
      <c r="AH47" s="358"/>
      <c r="AI47" s="358"/>
      <c r="AJ47" s="358"/>
      <c r="AK47" s="358"/>
      <c r="AL47" s="358"/>
      <c r="AM47" s="358"/>
      <c r="AN47" s="358"/>
      <c r="AO47" s="358"/>
      <c r="AP47" s="358"/>
      <c r="AQ47" s="358"/>
      <c r="AR47" s="358"/>
      <c r="AS47" s="358"/>
      <c r="AT47" s="358"/>
      <c r="AU47" s="358"/>
      <c r="AV47" s="358"/>
      <c r="AW47" s="358"/>
      <c r="AX47" s="358"/>
      <c r="AY47" s="358"/>
      <c r="AZ47" s="358"/>
      <c r="BA47" s="358"/>
      <c r="BB47" s="358"/>
      <c r="BC47" s="358"/>
      <c r="BD47" s="358"/>
      <c r="BE47" s="358"/>
      <c r="BF47" s="358"/>
      <c r="BG47" s="358"/>
      <c r="BH47" s="358"/>
      <c r="BI47" s="358"/>
      <c r="BJ47" s="358"/>
      <c r="BK47" s="358"/>
      <c r="BL47" s="358"/>
      <c r="BM47" s="358"/>
      <c r="BN47" s="358"/>
      <c r="BO47" s="358"/>
      <c r="BP47" s="358"/>
      <c r="BQ47" s="358"/>
      <c r="BR47" s="358"/>
      <c r="BS47" s="358"/>
      <c r="BT47" s="358"/>
      <c r="BU47" s="358"/>
      <c r="BV47" s="358"/>
      <c r="BW47" s="358"/>
      <c r="BX47" s="358"/>
      <c r="BY47" s="358"/>
      <c r="BZ47" s="358"/>
      <c r="CA47" s="358"/>
      <c r="CB47" s="358"/>
      <c r="CC47" s="358"/>
    </row>
    <row r="48" spans="1:81" s="224" customFormat="1" ht="19.899999999999999" hidden="1" customHeight="1">
      <c r="A48" s="358"/>
      <c r="B48" s="359"/>
      <c r="C48" s="369" t="s">
        <v>228</v>
      </c>
      <c r="D48" s="763">
        <v>3</v>
      </c>
      <c r="E48" s="763"/>
      <c r="F48" s="381"/>
      <c r="G48" s="372" t="s">
        <v>288</v>
      </c>
      <c r="H48" s="768"/>
      <c r="I48" s="768"/>
      <c r="J48" s="360"/>
      <c r="K48" s="358"/>
      <c r="L48" s="358"/>
      <c r="M48" s="358"/>
      <c r="N48" s="358"/>
      <c r="O48" s="358"/>
      <c r="P48" s="358"/>
      <c r="Q48" s="358"/>
      <c r="R48" s="358"/>
      <c r="S48" s="358"/>
      <c r="T48" s="358"/>
      <c r="U48" s="358"/>
      <c r="V48" s="358"/>
      <c r="W48" s="358"/>
      <c r="X48" s="358"/>
      <c r="Y48" s="358"/>
      <c r="Z48" s="358"/>
      <c r="AA48" s="358"/>
      <c r="AB48" s="358"/>
      <c r="AC48" s="358"/>
      <c r="AD48" s="358"/>
      <c r="AE48" s="358"/>
      <c r="AF48" s="358"/>
      <c r="AG48" s="358"/>
      <c r="AH48" s="358"/>
      <c r="AI48" s="358"/>
      <c r="AJ48" s="358"/>
      <c r="AK48" s="358"/>
      <c r="AL48" s="358"/>
      <c r="AM48" s="358"/>
      <c r="AN48" s="358"/>
      <c r="AO48" s="358"/>
      <c r="AP48" s="358"/>
      <c r="AQ48" s="358"/>
      <c r="AR48" s="358"/>
      <c r="AS48" s="358"/>
      <c r="AT48" s="358"/>
      <c r="AU48" s="358"/>
      <c r="AV48" s="358"/>
      <c r="AW48" s="358"/>
      <c r="AX48" s="358"/>
      <c r="AY48" s="358"/>
      <c r="AZ48" s="358"/>
      <c r="BA48" s="358"/>
      <c r="BB48" s="358"/>
      <c r="BC48" s="358"/>
      <c r="BD48" s="358"/>
      <c r="BE48" s="358"/>
      <c r="BF48" s="358"/>
      <c r="BG48" s="358"/>
      <c r="BH48" s="358"/>
      <c r="BI48" s="358"/>
      <c r="BJ48" s="358"/>
      <c r="BK48" s="358"/>
      <c r="BL48" s="358"/>
      <c r="BM48" s="358"/>
      <c r="BN48" s="358"/>
      <c r="BO48" s="358"/>
      <c r="BP48" s="358"/>
      <c r="BQ48" s="358"/>
      <c r="BR48" s="358"/>
      <c r="BS48" s="358"/>
      <c r="BT48" s="358"/>
      <c r="BU48" s="358"/>
      <c r="BV48" s="358"/>
      <c r="BW48" s="358"/>
      <c r="BX48" s="358"/>
      <c r="BY48" s="358"/>
      <c r="BZ48" s="358"/>
      <c r="CA48" s="358"/>
      <c r="CB48" s="358"/>
      <c r="CC48" s="358"/>
    </row>
    <row r="49" spans="1:81" s="224" customFormat="1" ht="19.899999999999999" hidden="1" customHeight="1">
      <c r="A49" s="358"/>
      <c r="B49" s="359"/>
      <c r="C49" s="369" t="s">
        <v>278</v>
      </c>
      <c r="D49" s="763"/>
      <c r="E49" s="763"/>
      <c r="F49" s="381"/>
      <c r="G49" s="372" t="s">
        <v>289</v>
      </c>
      <c r="H49" s="768"/>
      <c r="I49" s="768"/>
      <c r="J49" s="360"/>
      <c r="K49" s="358"/>
      <c r="L49" s="358"/>
      <c r="M49" s="358"/>
      <c r="N49" s="358"/>
      <c r="O49" s="358"/>
      <c r="P49" s="358"/>
      <c r="Q49" s="358"/>
      <c r="R49" s="358"/>
      <c r="S49" s="358"/>
      <c r="T49" s="358"/>
      <c r="U49" s="358"/>
      <c r="V49" s="358"/>
      <c r="W49" s="358"/>
      <c r="X49" s="358"/>
      <c r="Y49" s="358"/>
      <c r="Z49" s="358"/>
      <c r="AA49" s="358"/>
      <c r="AB49" s="358"/>
      <c r="AC49" s="358"/>
      <c r="AD49" s="358"/>
      <c r="AE49" s="358"/>
      <c r="AF49" s="358"/>
      <c r="AG49" s="358"/>
      <c r="AH49" s="358"/>
      <c r="AI49" s="358"/>
      <c r="AJ49" s="358"/>
      <c r="AK49" s="358"/>
      <c r="AL49" s="358"/>
      <c r="AM49" s="358"/>
      <c r="AN49" s="358"/>
      <c r="AO49" s="358"/>
      <c r="AP49" s="358"/>
      <c r="AQ49" s="358"/>
      <c r="AR49" s="358"/>
      <c r="AS49" s="358"/>
      <c r="AT49" s="358"/>
      <c r="AU49" s="358"/>
      <c r="AV49" s="358"/>
      <c r="AW49" s="358"/>
      <c r="AX49" s="358"/>
      <c r="AY49" s="358"/>
      <c r="AZ49" s="358"/>
      <c r="BA49" s="358"/>
      <c r="BB49" s="358"/>
      <c r="BC49" s="358"/>
      <c r="BD49" s="358"/>
      <c r="BE49" s="358"/>
      <c r="BF49" s="358"/>
      <c r="BG49" s="358"/>
      <c r="BH49" s="358"/>
      <c r="BI49" s="358"/>
      <c r="BJ49" s="358"/>
      <c r="BK49" s="358"/>
      <c r="BL49" s="358"/>
      <c r="BM49" s="358"/>
      <c r="BN49" s="358"/>
      <c r="BO49" s="358"/>
      <c r="BP49" s="358"/>
      <c r="BQ49" s="358"/>
      <c r="BR49" s="358"/>
      <c r="BS49" s="358"/>
      <c r="BT49" s="358"/>
      <c r="BU49" s="358"/>
      <c r="BV49" s="358"/>
      <c r="BW49" s="358"/>
      <c r="BX49" s="358"/>
      <c r="BY49" s="358"/>
      <c r="BZ49" s="358"/>
      <c r="CA49" s="358"/>
      <c r="CB49" s="358"/>
      <c r="CC49" s="358"/>
    </row>
    <row r="50" spans="1:81" s="224" customFormat="1" ht="19.899999999999999" hidden="1" customHeight="1">
      <c r="A50" s="358"/>
      <c r="B50" s="359"/>
      <c r="C50" s="369" t="s">
        <v>304</v>
      </c>
      <c r="D50" s="778">
        <f>SUM(D37:E49)</f>
        <v>644</v>
      </c>
      <c r="E50" s="778"/>
      <c r="F50" s="381"/>
      <c r="G50" s="372" t="s">
        <v>296</v>
      </c>
      <c r="H50" s="770">
        <f>SUM(H47:I49)</f>
        <v>0</v>
      </c>
      <c r="I50" s="770"/>
      <c r="J50" s="360"/>
      <c r="K50" s="358"/>
      <c r="L50" s="358"/>
      <c r="M50" s="358"/>
      <c r="N50" s="358"/>
      <c r="O50" s="358"/>
      <c r="P50" s="358"/>
      <c r="Q50" s="358"/>
      <c r="R50" s="358"/>
      <c r="S50" s="358"/>
      <c r="T50" s="358"/>
      <c r="U50" s="358"/>
      <c r="V50" s="358"/>
      <c r="W50" s="358"/>
      <c r="X50" s="358"/>
      <c r="Y50" s="358"/>
      <c r="Z50" s="358"/>
      <c r="AA50" s="358"/>
      <c r="AB50" s="358"/>
      <c r="AC50" s="358"/>
      <c r="AD50" s="358"/>
      <c r="AE50" s="358"/>
      <c r="AF50" s="358"/>
      <c r="AG50" s="358"/>
      <c r="AH50" s="358"/>
      <c r="AI50" s="358"/>
      <c r="AJ50" s="358"/>
      <c r="AK50" s="358"/>
      <c r="AL50" s="358"/>
      <c r="AM50" s="358"/>
      <c r="AN50" s="358"/>
      <c r="AO50" s="358"/>
      <c r="AP50" s="358"/>
      <c r="AQ50" s="358"/>
      <c r="AR50" s="358"/>
      <c r="AS50" s="358"/>
      <c r="AT50" s="358"/>
      <c r="AU50" s="358"/>
      <c r="AV50" s="358"/>
      <c r="AW50" s="358"/>
      <c r="AX50" s="358"/>
      <c r="AY50" s="358"/>
      <c r="AZ50" s="358"/>
      <c r="BA50" s="358"/>
      <c r="BB50" s="358"/>
      <c r="BC50" s="358"/>
      <c r="BD50" s="358"/>
      <c r="BE50" s="358"/>
      <c r="BF50" s="358"/>
      <c r="BG50" s="358"/>
      <c r="BH50" s="358"/>
      <c r="BI50" s="358"/>
      <c r="BJ50" s="358"/>
      <c r="BK50" s="358"/>
      <c r="BL50" s="358"/>
      <c r="BM50" s="358"/>
      <c r="BN50" s="358"/>
      <c r="BO50" s="358"/>
      <c r="BP50" s="358"/>
      <c r="BQ50" s="358"/>
      <c r="BR50" s="358"/>
      <c r="BS50" s="358"/>
      <c r="BT50" s="358"/>
      <c r="BU50" s="358"/>
      <c r="BV50" s="358"/>
      <c r="BW50" s="358"/>
      <c r="BX50" s="358"/>
      <c r="BY50" s="358"/>
      <c r="BZ50" s="358"/>
      <c r="CA50" s="358"/>
      <c r="CB50" s="358"/>
      <c r="CC50" s="358"/>
    </row>
    <row r="51" spans="1:81" s="224" customFormat="1" ht="19.899999999999999" hidden="1" customHeight="1">
      <c r="A51" s="358"/>
      <c r="B51" s="359"/>
      <c r="C51" s="369" t="s">
        <v>295</v>
      </c>
      <c r="D51" s="771">
        <f>D50*1.025</f>
        <v>660.09999999999991</v>
      </c>
      <c r="E51" s="771"/>
      <c r="F51" s="381"/>
      <c r="G51" s="373" t="s">
        <v>290</v>
      </c>
      <c r="H51" s="768"/>
      <c r="I51" s="768"/>
      <c r="J51" s="360"/>
      <c r="K51" s="358"/>
      <c r="L51" s="358"/>
      <c r="M51" s="358"/>
      <c r="N51" s="358"/>
      <c r="O51" s="358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358"/>
      <c r="AA51" s="358"/>
      <c r="AB51" s="358"/>
      <c r="AC51" s="358"/>
      <c r="AD51" s="358"/>
      <c r="AE51" s="358"/>
      <c r="AF51" s="358"/>
      <c r="AG51" s="358"/>
      <c r="AH51" s="358"/>
      <c r="AI51" s="358"/>
      <c r="AJ51" s="358"/>
      <c r="AK51" s="358"/>
      <c r="AL51" s="358"/>
      <c r="AM51" s="358"/>
      <c r="AN51" s="358"/>
      <c r="AO51" s="358"/>
      <c r="AP51" s="358"/>
      <c r="AQ51" s="358"/>
      <c r="AR51" s="358"/>
      <c r="AS51" s="358"/>
      <c r="AT51" s="358"/>
      <c r="AU51" s="358"/>
      <c r="AV51" s="358"/>
      <c r="AW51" s="358"/>
      <c r="AX51" s="358"/>
      <c r="AY51" s="358"/>
      <c r="AZ51" s="358"/>
      <c r="BA51" s="358"/>
      <c r="BB51" s="358"/>
      <c r="BC51" s="358"/>
      <c r="BD51" s="358"/>
      <c r="BE51" s="358"/>
      <c r="BF51" s="358"/>
      <c r="BG51" s="358"/>
      <c r="BH51" s="358"/>
      <c r="BI51" s="358"/>
      <c r="BJ51" s="358"/>
      <c r="BK51" s="358"/>
      <c r="BL51" s="358"/>
      <c r="BM51" s="358"/>
      <c r="BN51" s="358"/>
      <c r="BO51" s="358"/>
      <c r="BP51" s="358"/>
      <c r="BQ51" s="358"/>
      <c r="BR51" s="358"/>
      <c r="BS51" s="358"/>
      <c r="BT51" s="358"/>
      <c r="BU51" s="358"/>
      <c r="BV51" s="358"/>
      <c r="BW51" s="358"/>
      <c r="BX51" s="358"/>
      <c r="BY51" s="358"/>
      <c r="BZ51" s="358"/>
      <c r="CA51" s="358"/>
      <c r="CB51" s="358"/>
      <c r="CC51" s="358"/>
    </row>
    <row r="52" spans="1:81" s="224" customFormat="1" ht="24" hidden="1" customHeight="1">
      <c r="A52" s="358"/>
      <c r="B52" s="359"/>
      <c r="C52" s="374"/>
      <c r="D52" s="374"/>
      <c r="E52" s="374"/>
      <c r="F52" s="374"/>
      <c r="G52" s="374"/>
      <c r="H52" s="374"/>
      <c r="I52" s="374"/>
      <c r="J52" s="360"/>
      <c r="K52" s="358"/>
      <c r="L52" s="358"/>
      <c r="M52" s="358"/>
      <c r="N52" s="358"/>
      <c r="O52" s="358"/>
      <c r="P52" s="358"/>
      <c r="Q52" s="358"/>
      <c r="R52" s="358"/>
      <c r="S52" s="361"/>
      <c r="T52" s="362"/>
      <c r="U52" s="358"/>
      <c r="V52" s="358"/>
      <c r="W52" s="358"/>
      <c r="X52" s="358"/>
      <c r="Y52" s="358"/>
      <c r="Z52" s="358"/>
      <c r="AA52" s="358"/>
      <c r="AB52" s="358"/>
      <c r="AC52" s="358"/>
      <c r="AD52" s="358"/>
      <c r="AE52" s="358"/>
      <c r="AF52" s="358"/>
      <c r="AG52" s="358"/>
      <c r="AH52" s="358"/>
      <c r="AI52" s="358"/>
      <c r="AJ52" s="358"/>
      <c r="AK52" s="358"/>
      <c r="AL52" s="358"/>
      <c r="AM52" s="358"/>
      <c r="AN52" s="358"/>
      <c r="AO52" s="358"/>
      <c r="AP52" s="358"/>
      <c r="AQ52" s="358"/>
      <c r="AR52" s="358"/>
      <c r="AS52" s="358"/>
      <c r="AT52" s="358"/>
      <c r="AU52" s="358"/>
      <c r="AV52" s="358"/>
      <c r="AW52" s="358"/>
      <c r="AX52" s="358"/>
      <c r="AY52" s="358"/>
      <c r="AZ52" s="358"/>
      <c r="BA52" s="358"/>
      <c r="BB52" s="358"/>
      <c r="BC52" s="358"/>
      <c r="BD52" s="358"/>
      <c r="BE52" s="358"/>
      <c r="BF52" s="358"/>
      <c r="BG52" s="358"/>
      <c r="BH52" s="358"/>
      <c r="BI52" s="358"/>
      <c r="BJ52" s="358"/>
      <c r="BK52" s="358"/>
      <c r="BL52" s="358"/>
      <c r="BM52" s="358"/>
      <c r="BN52" s="358"/>
      <c r="BO52" s="358"/>
      <c r="BP52" s="358"/>
      <c r="BQ52" s="358"/>
      <c r="BR52" s="358"/>
      <c r="BS52" s="358"/>
      <c r="BT52" s="358"/>
      <c r="BU52" s="358"/>
      <c r="BV52" s="358"/>
      <c r="BW52" s="358"/>
      <c r="BX52" s="358"/>
      <c r="BY52" s="358"/>
      <c r="BZ52" s="358"/>
      <c r="CA52" s="358"/>
      <c r="CB52" s="358"/>
      <c r="CC52" s="358"/>
    </row>
    <row r="53" spans="1:81" s="224" customFormat="1" ht="19.899999999999999" hidden="1" customHeight="1">
      <c r="A53" s="358"/>
      <c r="B53" s="377"/>
      <c r="C53" s="375"/>
      <c r="D53" s="375"/>
      <c r="E53" s="375"/>
      <c r="F53" s="375"/>
      <c r="G53" s="375"/>
      <c r="H53" s="773" t="s">
        <v>229</v>
      </c>
      <c r="I53" s="773"/>
      <c r="J53" s="378"/>
      <c r="K53" s="358"/>
      <c r="L53" s="358"/>
      <c r="M53" s="358"/>
      <c r="N53" s="358"/>
      <c r="O53" s="358"/>
      <c r="P53" s="358"/>
      <c r="Q53" s="358"/>
      <c r="R53" s="358"/>
      <c r="S53" s="361"/>
      <c r="T53" s="363"/>
      <c r="U53" s="358"/>
      <c r="V53" s="358"/>
      <c r="W53" s="358"/>
      <c r="X53" s="358"/>
      <c r="Y53" s="358"/>
      <c r="Z53" s="358"/>
      <c r="AA53" s="358"/>
      <c r="AB53" s="358"/>
      <c r="AC53" s="358"/>
      <c r="AD53" s="358"/>
      <c r="AE53" s="358"/>
      <c r="AF53" s="358"/>
      <c r="AG53" s="358"/>
      <c r="AH53" s="358"/>
      <c r="AI53" s="358"/>
      <c r="AJ53" s="358"/>
      <c r="AK53" s="358"/>
      <c r="AL53" s="358"/>
      <c r="AM53" s="358"/>
      <c r="AN53" s="358"/>
      <c r="AO53" s="358"/>
      <c r="AP53" s="358"/>
      <c r="AQ53" s="358"/>
      <c r="AR53" s="358"/>
      <c r="AS53" s="358"/>
      <c r="AT53" s="358"/>
      <c r="AU53" s="358"/>
      <c r="AV53" s="358"/>
      <c r="AW53" s="358"/>
      <c r="AX53" s="358"/>
      <c r="AY53" s="358"/>
      <c r="AZ53" s="358"/>
      <c r="BA53" s="358"/>
      <c r="BB53" s="358"/>
      <c r="BC53" s="358"/>
      <c r="BD53" s="358"/>
      <c r="BE53" s="358"/>
      <c r="BF53" s="358"/>
      <c r="BG53" s="358"/>
      <c r="BH53" s="358"/>
      <c r="BI53" s="358"/>
      <c r="BJ53" s="358"/>
      <c r="BK53" s="358"/>
      <c r="BL53" s="358"/>
      <c r="BM53" s="358"/>
      <c r="BN53" s="358"/>
      <c r="BO53" s="358"/>
      <c r="BP53" s="358"/>
      <c r="BQ53" s="358"/>
      <c r="BR53" s="358"/>
      <c r="BS53" s="358"/>
      <c r="BT53" s="358"/>
      <c r="BU53" s="358"/>
      <c r="BV53" s="358"/>
      <c r="BW53" s="358"/>
      <c r="BX53" s="358"/>
      <c r="BY53" s="358"/>
      <c r="BZ53" s="358"/>
      <c r="CA53" s="358"/>
      <c r="CB53" s="358"/>
      <c r="CC53" s="358"/>
    </row>
    <row r="54" spans="1:81" s="224" customFormat="1" ht="10.15" hidden="1" customHeight="1" thickBot="1">
      <c r="A54" s="358"/>
      <c r="B54" s="379"/>
      <c r="C54" s="376"/>
      <c r="D54" s="376"/>
      <c r="E54" s="376"/>
      <c r="F54" s="376"/>
      <c r="G54" s="376"/>
      <c r="H54" s="376"/>
      <c r="I54" s="376"/>
      <c r="J54" s="380"/>
      <c r="K54" s="358"/>
      <c r="L54" s="358"/>
      <c r="M54" s="358"/>
      <c r="N54" s="358"/>
      <c r="O54" s="358"/>
      <c r="P54" s="358"/>
      <c r="Q54" s="358"/>
      <c r="R54" s="358"/>
      <c r="S54" s="361"/>
      <c r="T54" s="361"/>
      <c r="U54" s="358"/>
      <c r="V54" s="358"/>
      <c r="W54" s="358"/>
      <c r="X54" s="358"/>
      <c r="Y54" s="358"/>
      <c r="Z54" s="358"/>
      <c r="AA54" s="358"/>
      <c r="AB54" s="358"/>
      <c r="AC54" s="358"/>
      <c r="AD54" s="358"/>
      <c r="AE54" s="358"/>
      <c r="AF54" s="358"/>
      <c r="AG54" s="358"/>
      <c r="AH54" s="358"/>
      <c r="AI54" s="358"/>
      <c r="AJ54" s="358"/>
      <c r="AK54" s="358"/>
      <c r="AL54" s="358"/>
      <c r="AM54" s="358"/>
      <c r="AN54" s="358"/>
      <c r="AO54" s="358"/>
      <c r="AP54" s="358"/>
      <c r="AQ54" s="358"/>
      <c r="AR54" s="358"/>
      <c r="AS54" s="358"/>
      <c r="AT54" s="358"/>
      <c r="AU54" s="358"/>
      <c r="AV54" s="358"/>
      <c r="AW54" s="358"/>
      <c r="AX54" s="358"/>
      <c r="AY54" s="358"/>
      <c r="AZ54" s="358"/>
      <c r="BA54" s="358"/>
      <c r="BB54" s="358"/>
      <c r="BC54" s="358"/>
      <c r="BD54" s="358"/>
      <c r="BE54" s="358"/>
      <c r="BF54" s="358"/>
      <c r="BG54" s="358"/>
      <c r="BH54" s="358"/>
      <c r="BI54" s="358"/>
      <c r="BJ54" s="358"/>
      <c r="BK54" s="358"/>
      <c r="BL54" s="358"/>
      <c r="BM54" s="358"/>
      <c r="BN54" s="358"/>
      <c r="BO54" s="358"/>
      <c r="BP54" s="358"/>
      <c r="BQ54" s="358"/>
      <c r="BR54" s="358"/>
      <c r="BS54" s="358"/>
      <c r="BT54" s="358"/>
      <c r="BU54" s="358"/>
      <c r="BV54" s="358"/>
      <c r="BW54" s="358"/>
      <c r="BX54" s="358"/>
      <c r="BY54" s="358"/>
      <c r="BZ54" s="358"/>
      <c r="CA54" s="358"/>
      <c r="CB54" s="358"/>
      <c r="CC54" s="358"/>
    </row>
    <row r="55" spans="1:8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</row>
    <row r="56" spans="1:8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</row>
    <row r="57" spans="1:8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</row>
    <row r="58" spans="1:8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</row>
    <row r="59" spans="1:8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</row>
    <row r="60" spans="1:8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</row>
    <row r="61" spans="1:8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</row>
    <row r="62" spans="1:8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</row>
    <row r="63" spans="1:8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</row>
    <row r="64" spans="1:8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</row>
    <row r="65" spans="1:8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</row>
    <row r="66" spans="1:8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</row>
    <row r="67" spans="1:8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</row>
    <row r="68" spans="1:8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</row>
    <row r="69" spans="1:8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</row>
    <row r="70" spans="1:8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</row>
    <row r="71" spans="1:8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</row>
    <row r="72" spans="1:8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</row>
    <row r="73" spans="1:8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</row>
    <row r="74" spans="1:8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</row>
    <row r="75" spans="1:8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</row>
    <row r="76" spans="1:8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</row>
    <row r="77" spans="1:8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</row>
    <row r="78" spans="1:8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</row>
    <row r="79" spans="1:8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</row>
    <row r="80" spans="1:8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</row>
    <row r="81" spans="1: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</row>
    <row r="82" spans="1:8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</row>
    <row r="83" spans="1:8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</row>
    <row r="84" spans="1:8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</row>
    <row r="85" spans="1:8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</row>
    <row r="86" spans="1:8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</row>
    <row r="87" spans="1:8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</row>
    <row r="88" spans="1:8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</row>
    <row r="89" spans="1:8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</row>
    <row r="90" spans="1:8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</row>
    <row r="91" spans="1:8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</row>
    <row r="92" spans="1:8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</row>
    <row r="93" spans="1:8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</row>
    <row r="94" spans="1:8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</row>
    <row r="95" spans="1:8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</row>
    <row r="96" spans="1:8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</row>
    <row r="97" spans="1:8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</row>
    <row r="98" spans="1:8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</row>
    <row r="99" spans="1:8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</row>
    <row r="100" spans="1:8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</row>
    <row r="101" spans="1:8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</row>
    <row r="102" spans="1:8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</row>
    <row r="103" spans="1:8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</row>
    <row r="104" spans="1:8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</row>
    <row r="105" spans="1:8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</row>
    <row r="106" spans="1:8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</row>
    <row r="107" spans="1:8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</row>
    <row r="108" spans="1:8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</row>
    <row r="109" spans="1:8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</row>
    <row r="110" spans="1:8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</row>
    <row r="111" spans="1:8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</row>
    <row r="112" spans="1:8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</row>
    <row r="113" spans="1:8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</row>
    <row r="114" spans="1:8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</row>
    <row r="115" spans="1:8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</row>
    <row r="116" spans="1:8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</row>
    <row r="117" spans="1:8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</row>
    <row r="118" spans="1:8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</row>
    <row r="119" spans="1:8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</row>
    <row r="120" spans="1:8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</row>
    <row r="121" spans="1:8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</row>
    <row r="122" spans="1:8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</row>
    <row r="123" spans="1:8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</row>
    <row r="124" spans="1:8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</row>
    <row r="125" spans="1:8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</row>
    <row r="126" spans="1:8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</row>
    <row r="127" spans="1:8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</row>
    <row r="128" spans="1:8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</row>
    <row r="129" spans="1:8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</row>
    <row r="130" spans="1:8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</row>
    <row r="131" spans="1:8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</row>
    <row r="132" spans="1:8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</row>
    <row r="133" spans="1:8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</row>
    <row r="134" spans="1:8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</row>
    <row r="135" spans="1:8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</row>
    <row r="136" spans="1:8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</row>
    <row r="137" spans="1:8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</row>
    <row r="138" spans="1:8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</row>
    <row r="139" spans="1:8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</row>
    <row r="140" spans="1:8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</row>
    <row r="141" spans="1:8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</row>
    <row r="142" spans="1:8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</row>
    <row r="143" spans="1:8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</row>
    <row r="144" spans="1:8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</row>
    <row r="145" spans="1:8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</row>
    <row r="146" spans="1:8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</row>
    <row r="147" spans="1:8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</row>
    <row r="148" spans="1:8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</row>
    <row r="149" spans="1:8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</row>
    <row r="150" spans="1:8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</row>
    <row r="151" spans="1:8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</row>
    <row r="152" spans="1:8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</row>
    <row r="153" spans="1:8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</row>
    <row r="154" spans="1:8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</row>
    <row r="155" spans="1:8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</row>
    <row r="156" spans="1:8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</row>
    <row r="157" spans="1:8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</row>
    <row r="158" spans="1:8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</row>
    <row r="159" spans="1:8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</row>
    <row r="160" spans="1:8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</row>
    <row r="161" spans="1:8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</row>
    <row r="162" spans="1:8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</row>
    <row r="163" spans="1:8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</row>
    <row r="164" spans="1:8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</row>
    <row r="165" spans="1:8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</row>
    <row r="166" spans="1:8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</row>
    <row r="167" spans="1:8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</row>
    <row r="168" spans="1:8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</row>
    <row r="169" spans="1:8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</row>
    <row r="170" spans="1:8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</row>
    <row r="171" spans="1:8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</row>
    <row r="172" spans="1:8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</row>
    <row r="173" spans="1:8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</row>
    <row r="174" spans="1:8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</row>
    <row r="175" spans="1:8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</row>
    <row r="176" spans="1:8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</row>
    <row r="177" spans="1:8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</row>
    <row r="178" spans="1:8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</row>
    <row r="179" spans="1:8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</row>
    <row r="180" spans="1:8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</row>
    <row r="181" spans="1: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</row>
    <row r="182" spans="1:8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</row>
    <row r="183" spans="1:8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</row>
    <row r="184" spans="1:8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</row>
    <row r="185" spans="1:8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</row>
    <row r="186" spans="1:8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</row>
    <row r="187" spans="1:8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</row>
    <row r="188" spans="1:8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</row>
    <row r="189" spans="1:8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</row>
    <row r="190" spans="1:8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</row>
    <row r="191" spans="1:8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</row>
    <row r="192" spans="1:8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</row>
    <row r="193" spans="1:8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</row>
    <row r="194" spans="1:8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</row>
    <row r="195" spans="1:8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</row>
    <row r="196" spans="1:8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</row>
    <row r="197" spans="1:8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</row>
    <row r="198" spans="1:8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</row>
    <row r="199" spans="1:8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</row>
    <row r="200" spans="1:8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</row>
    <row r="201" spans="1:8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</row>
    <row r="202" spans="1:8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</row>
    <row r="203" spans="1:8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</row>
    <row r="204" spans="1:8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</row>
    <row r="205" spans="1:8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</row>
    <row r="206" spans="1:8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</row>
    <row r="207" spans="1:8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</row>
    <row r="208" spans="1:8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</row>
    <row r="209" spans="1:8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</row>
    <row r="210" spans="1:8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</row>
    <row r="211" spans="1:8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</row>
    <row r="212" spans="1:8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</row>
    <row r="213" spans="1:8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</row>
    <row r="214" spans="1:8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</row>
    <row r="215" spans="1:8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</row>
    <row r="216" spans="1:8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</row>
    <row r="217" spans="1:8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</row>
    <row r="218" spans="1:8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</row>
    <row r="219" spans="1:8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</row>
    <row r="220" spans="1:8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</row>
    <row r="221" spans="1:8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</row>
    <row r="222" spans="1:8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</row>
    <row r="223" spans="1:8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</row>
    <row r="224" spans="1:8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</row>
    <row r="225" spans="1:8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</row>
    <row r="226" spans="1:8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</row>
    <row r="227" spans="1:8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</row>
    <row r="228" spans="1:8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</row>
    <row r="229" spans="1:8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</row>
    <row r="230" spans="1:8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</row>
    <row r="231" spans="1:8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</row>
    <row r="232" spans="1:8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</row>
    <row r="233" spans="1:8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</row>
    <row r="234" spans="1:8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</row>
    <row r="235" spans="1:8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</row>
    <row r="236" spans="1:8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</row>
    <row r="237" spans="1:8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</row>
    <row r="238" spans="1:8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</row>
    <row r="239" spans="1:8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</row>
    <row r="240" spans="1:8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</row>
    <row r="241" spans="1:8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</row>
    <row r="242" spans="1:8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</row>
    <row r="243" spans="1:8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</row>
    <row r="244" spans="1:8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</row>
    <row r="245" spans="1:8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</row>
    <row r="246" spans="1:8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</row>
    <row r="247" spans="1:8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</row>
    <row r="248" spans="1:8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</row>
    <row r="249" spans="1:8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</row>
    <row r="250" spans="1:8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</row>
    <row r="251" spans="1:8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</row>
    <row r="252" spans="1:8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</row>
    <row r="253" spans="1:8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</row>
    <row r="254" spans="1:8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</row>
    <row r="255" spans="1:8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</row>
    <row r="256" spans="1:8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</row>
    <row r="257" spans="1:8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</row>
    <row r="258" spans="1:8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</row>
    <row r="259" spans="1:8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</row>
    <row r="260" spans="1:8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</row>
    <row r="261" spans="1:8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</row>
    <row r="262" spans="1:8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</row>
    <row r="263" spans="1:8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</row>
    <row r="264" spans="1:8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</row>
    <row r="265" spans="1:8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</row>
    <row r="266" spans="1:8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</row>
    <row r="267" spans="1:8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</row>
    <row r="268" spans="1:8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</row>
    <row r="269" spans="1:8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</row>
    <row r="270" spans="1:8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</row>
    <row r="271" spans="1:8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</row>
    <row r="272" spans="1:8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</row>
    <row r="273" spans="1:8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</row>
    <row r="274" spans="1:8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</row>
    <row r="275" spans="1:8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</row>
    <row r="276" spans="1:8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</row>
    <row r="277" spans="1:8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</row>
    <row r="278" spans="1:8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</row>
    <row r="279" spans="1:8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</row>
    <row r="280" spans="1:8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</row>
    <row r="281" spans="1: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</row>
    <row r="282" spans="1:8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</row>
    <row r="283" spans="1:8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</row>
    <row r="284" spans="1:8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</row>
    <row r="285" spans="1:8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</row>
    <row r="286" spans="1:8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</row>
    <row r="287" spans="1:8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</row>
    <row r="288" spans="1:8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</row>
    <row r="289" spans="1:8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</row>
    <row r="290" spans="1:8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</row>
    <row r="291" spans="1:8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</row>
    <row r="292" spans="1:8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</row>
    <row r="293" spans="1:8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</row>
    <row r="294" spans="1:8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</row>
    <row r="295" spans="1:8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</row>
    <row r="296" spans="1:8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</row>
    <row r="297" spans="1:8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  <c r="CC297" s="31"/>
    </row>
    <row r="298" spans="1:8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</row>
    <row r="299" spans="1:8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</row>
    <row r="300" spans="1:8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</row>
    <row r="301" spans="1:8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</row>
    <row r="302" spans="1:8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</row>
    <row r="303" spans="1:8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</row>
    <row r="304" spans="1:8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</row>
    <row r="305" spans="1:8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</row>
    <row r="306" spans="1:8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</row>
    <row r="307" spans="1:8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  <c r="CC307" s="31"/>
    </row>
    <row r="308" spans="1:8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</row>
    <row r="309" spans="1:8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</row>
    <row r="310" spans="1:8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</row>
    <row r="311" spans="1:8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  <c r="CC311" s="31"/>
    </row>
    <row r="312" spans="1:8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</row>
    <row r="313" spans="1:8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</row>
    <row r="314" spans="1:8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</row>
    <row r="315" spans="1:8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  <c r="CC315" s="31"/>
    </row>
    <row r="316" spans="1:8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</row>
    <row r="317" spans="1:8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  <c r="CC317" s="31"/>
    </row>
    <row r="318" spans="1:8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</row>
    <row r="319" spans="1:8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</row>
    <row r="320" spans="1:8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</row>
    <row r="321" spans="1:8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</row>
    <row r="322" spans="1:8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</row>
    <row r="323" spans="1:8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  <c r="CC323" s="31"/>
    </row>
    <row r="324" spans="1:8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</row>
    <row r="325" spans="1:8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  <c r="CC325" s="31"/>
    </row>
    <row r="326" spans="1:8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</row>
    <row r="327" spans="1:8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</row>
    <row r="328" spans="1:8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</row>
    <row r="329" spans="1:8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  <c r="CC329" s="31"/>
    </row>
    <row r="330" spans="1:8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</row>
    <row r="331" spans="1:8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</row>
    <row r="332" spans="1:8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</row>
    <row r="333" spans="1:8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</row>
    <row r="334" spans="1:8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</row>
    <row r="335" spans="1:8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  <c r="CA335" s="31"/>
      <c r="CB335" s="31"/>
      <c r="CC335" s="31"/>
    </row>
    <row r="336" spans="1:8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</row>
    <row r="337" spans="1:8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</row>
    <row r="338" spans="1:8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</row>
    <row r="339" spans="1:8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  <c r="CA339" s="31"/>
      <c r="CB339" s="31"/>
      <c r="CC339" s="31"/>
    </row>
    <row r="340" spans="1:8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</row>
    <row r="341" spans="1:8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</row>
    <row r="342" spans="1:8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</row>
    <row r="343" spans="1:8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  <c r="CA343" s="31"/>
      <c r="CB343" s="31"/>
      <c r="CC343" s="31"/>
    </row>
    <row r="344" spans="1:8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</row>
    <row r="345" spans="1:8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</row>
    <row r="346" spans="1:8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</row>
    <row r="347" spans="1:8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</row>
    <row r="348" spans="1:8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1"/>
      <c r="CC348" s="31"/>
    </row>
    <row r="349" spans="1:8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</row>
    <row r="350" spans="1:8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</row>
    <row r="351" spans="1:8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  <c r="CA351" s="31"/>
      <c r="CB351" s="31"/>
      <c r="CC351" s="31"/>
    </row>
    <row r="352" spans="1:8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</row>
    <row r="353" spans="1:8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</row>
    <row r="354" spans="1:8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</row>
    <row r="355" spans="1:8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31"/>
    </row>
    <row r="356" spans="1:8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</row>
    <row r="357" spans="1:8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</row>
    <row r="358" spans="1:8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</row>
    <row r="359" spans="1:8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</row>
    <row r="360" spans="1:8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</row>
    <row r="361" spans="1:8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</row>
    <row r="362" spans="1:8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</row>
    <row r="363" spans="1:8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</row>
    <row r="364" spans="1:8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</row>
    <row r="365" spans="1:8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1"/>
    </row>
    <row r="366" spans="1:8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</row>
    <row r="367" spans="1:8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</row>
    <row r="368" spans="1:8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  <c r="CA368" s="31"/>
      <c r="CB368" s="31"/>
      <c r="CC368" s="31"/>
    </row>
    <row r="369" spans="1:8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</row>
    <row r="370" spans="1:8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</row>
    <row r="371" spans="1:8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</row>
    <row r="372" spans="1:8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</row>
    <row r="373" spans="1:8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</row>
    <row r="374" spans="1:8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</row>
    <row r="375" spans="1:8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</row>
    <row r="376" spans="1:8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</row>
    <row r="377" spans="1:8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</row>
    <row r="378" spans="1:8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</row>
    <row r="379" spans="1:8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</row>
    <row r="380" spans="1:8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</row>
    <row r="381" spans="1: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</row>
    <row r="382" spans="1:8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  <c r="CA382" s="31"/>
      <c r="CB382" s="31"/>
      <c r="CC382" s="31"/>
    </row>
    <row r="383" spans="1:8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</row>
    <row r="384" spans="1:8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</row>
    <row r="385" spans="1:8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</row>
    <row r="386" spans="1:8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</row>
    <row r="387" spans="1:8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</row>
    <row r="388" spans="1:8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</row>
    <row r="389" spans="1:8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</row>
    <row r="390" spans="1:8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</row>
    <row r="391" spans="1:8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</row>
    <row r="392" spans="1:8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</row>
    <row r="393" spans="1:8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</row>
    <row r="394" spans="1:8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</row>
    <row r="395" spans="1:8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</row>
    <row r="396" spans="1:8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</row>
    <row r="397" spans="1:8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</row>
    <row r="398" spans="1:8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</row>
    <row r="399" spans="1:8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</row>
    <row r="400" spans="1:8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</row>
    <row r="401" spans="1:8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</row>
    <row r="402" spans="1:8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</row>
    <row r="403" spans="1:8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</row>
    <row r="404" spans="1:8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</row>
    <row r="405" spans="1:8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</row>
    <row r="406" spans="1:8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</row>
    <row r="407" spans="1:8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</row>
    <row r="408" spans="1:8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</row>
    <row r="409" spans="1:8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</row>
    <row r="410" spans="1:8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</row>
    <row r="411" spans="1:8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</row>
    <row r="412" spans="1:8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</row>
    <row r="413" spans="1:8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</row>
    <row r="414" spans="1:8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</row>
    <row r="415" spans="1:8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</row>
    <row r="416" spans="1:8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</row>
    <row r="417" spans="1:8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</row>
    <row r="418" spans="1:8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</row>
    <row r="419" spans="1:8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</row>
    <row r="420" spans="1:8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</row>
    <row r="421" spans="1:8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</row>
    <row r="422" spans="1:8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</row>
    <row r="423" spans="1:8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</row>
    <row r="424" spans="1:8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</row>
    <row r="425" spans="1:8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</row>
    <row r="426" spans="1:8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</row>
    <row r="427" spans="1:8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</row>
    <row r="428" spans="1:8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</row>
    <row r="429" spans="1:8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</row>
    <row r="430" spans="1:8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</row>
    <row r="431" spans="1:8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</row>
    <row r="432" spans="1:8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</row>
    <row r="433" spans="1:8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</row>
    <row r="434" spans="1:8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</row>
    <row r="435" spans="1:8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</row>
    <row r="436" spans="1:8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</row>
    <row r="437" spans="1:8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</row>
    <row r="438" spans="1:8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</row>
    <row r="439" spans="1:8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</row>
    <row r="440" spans="1:8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</row>
    <row r="441" spans="1:8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</row>
    <row r="442" spans="1:8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</row>
    <row r="443" spans="1:8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</row>
    <row r="444" spans="1:8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</row>
    <row r="445" spans="1:8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</row>
    <row r="446" spans="1:8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</row>
    <row r="447" spans="1:8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</row>
    <row r="448" spans="1:8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</row>
    <row r="449" spans="1:8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</row>
    <row r="450" spans="1:8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</row>
    <row r="451" spans="1:8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</row>
    <row r="452" spans="1:8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</row>
    <row r="453" spans="1:8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</row>
    <row r="454" spans="1:8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</row>
    <row r="455" spans="1:8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</row>
    <row r="456" spans="1:8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</row>
    <row r="457" spans="1:8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</row>
    <row r="458" spans="1:8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</row>
    <row r="459" spans="1:8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</row>
    <row r="460" spans="1:8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</row>
    <row r="461" spans="1:8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</row>
    <row r="462" spans="1:8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</row>
    <row r="463" spans="1:8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</row>
    <row r="464" spans="1:8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</row>
    <row r="465" spans="1:8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</row>
    <row r="466" spans="1:8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</row>
    <row r="467" spans="1:8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</row>
    <row r="468" spans="1:8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</row>
    <row r="469" spans="1:8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</row>
    <row r="470" spans="1:8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</row>
    <row r="471" spans="1:8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</row>
    <row r="472" spans="1:8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</row>
    <row r="473" spans="1:8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</row>
    <row r="474" spans="1:8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</row>
    <row r="475" spans="1:8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</row>
    <row r="476" spans="1:8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</row>
    <row r="477" spans="1:8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</row>
    <row r="478" spans="1:8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</row>
    <row r="479" spans="1:8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</row>
    <row r="480" spans="1:8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</row>
    <row r="481" spans="1: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</row>
    <row r="482" spans="1:8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</row>
    <row r="483" spans="1:8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</row>
    <row r="484" spans="1:8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</row>
    <row r="485" spans="1:8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</row>
    <row r="486" spans="1:8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</row>
    <row r="487" spans="1:8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</row>
    <row r="488" spans="1:8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</row>
    <row r="489" spans="1:8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</row>
    <row r="490" spans="1:8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</row>
    <row r="491" spans="1:8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</row>
    <row r="492" spans="1:8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</row>
    <row r="493" spans="1:8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</row>
    <row r="494" spans="1:8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</row>
    <row r="495" spans="1:8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</row>
    <row r="496" spans="1:8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</row>
    <row r="497" spans="1:8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</row>
    <row r="498" spans="1:8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</row>
    <row r="499" spans="1:8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</row>
    <row r="500" spans="1:8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</row>
    <row r="501" spans="1:8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</row>
    <row r="502" spans="1:8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</row>
    <row r="503" spans="1:8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</row>
    <row r="504" spans="1:8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</row>
    <row r="505" spans="1:8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</row>
    <row r="506" spans="1:8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</row>
    <row r="507" spans="1:8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</row>
    <row r="508" spans="1:8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</row>
    <row r="509" spans="1:8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</row>
    <row r="510" spans="1:8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</row>
    <row r="511" spans="1:8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</row>
    <row r="512" spans="1:8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</row>
    <row r="513" spans="1:8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</row>
    <row r="514" spans="1:8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</row>
    <row r="515" spans="1:8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</row>
    <row r="516" spans="1:8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</row>
    <row r="517" spans="1:8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</row>
    <row r="518" spans="1:8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</row>
    <row r="519" spans="1:8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</row>
    <row r="520" spans="1:8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</row>
    <row r="521" spans="1:8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</row>
    <row r="522" spans="1:8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</row>
    <row r="523" spans="1:8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</row>
    <row r="524" spans="1:8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</row>
    <row r="525" spans="1:8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</row>
    <row r="526" spans="1:8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</row>
    <row r="527" spans="1:8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</row>
    <row r="528" spans="1:8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</row>
    <row r="529" spans="1:8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</row>
    <row r="530" spans="1:8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1"/>
    </row>
    <row r="531" spans="1:8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</row>
    <row r="532" spans="1:8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</row>
    <row r="533" spans="1:8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</row>
    <row r="534" spans="1:8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</row>
    <row r="535" spans="1:8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</row>
    <row r="536" spans="1:8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</row>
    <row r="537" spans="1:8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</row>
    <row r="538" spans="1:8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</row>
    <row r="539" spans="1:8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</row>
    <row r="540" spans="1:8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</row>
    <row r="541" spans="1:8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</row>
    <row r="542" spans="1:8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</row>
    <row r="543" spans="1:8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</row>
    <row r="544" spans="1:8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</row>
    <row r="545" spans="1:8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</row>
    <row r="546" spans="1:8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</row>
    <row r="547" spans="1:8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</row>
    <row r="548" spans="1:8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</row>
    <row r="549" spans="1:8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</row>
    <row r="550" spans="1:8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</row>
    <row r="551" spans="1:8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</row>
    <row r="552" spans="1:8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</row>
    <row r="553" spans="1:8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</row>
    <row r="554" spans="1:8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</row>
    <row r="555" spans="1:8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</row>
    <row r="556" spans="1:8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</row>
    <row r="557" spans="1:8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</row>
    <row r="558" spans="1:8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</row>
    <row r="559" spans="1:8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</row>
    <row r="560" spans="1:8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</row>
    <row r="561" spans="1:8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</row>
    <row r="562" spans="1:8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</row>
    <row r="563" spans="1:8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</row>
    <row r="564" spans="1:8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</row>
    <row r="565" spans="1:8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</row>
    <row r="566" spans="1:8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</row>
    <row r="567" spans="1:8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</row>
    <row r="568" spans="1:8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</row>
    <row r="569" spans="1:8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</row>
    <row r="570" spans="1:8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</row>
    <row r="571" spans="1:8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</row>
    <row r="572" spans="1:8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</row>
    <row r="573" spans="1:8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</row>
    <row r="574" spans="1:8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</row>
    <row r="575" spans="1:8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</row>
    <row r="576" spans="1:8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</row>
    <row r="577" spans="1:8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</row>
    <row r="578" spans="1:8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</row>
    <row r="579" spans="1:8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</row>
    <row r="580" spans="1:8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</row>
    <row r="581" spans="1: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</row>
    <row r="582" spans="1:8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</row>
    <row r="583" spans="1:8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</row>
    <row r="584" spans="1:8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</row>
    <row r="585" spans="1:8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</row>
    <row r="586" spans="1:8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</row>
    <row r="587" spans="1:8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</row>
    <row r="588" spans="1:8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</row>
    <row r="589" spans="1:8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</row>
    <row r="590" spans="1:8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</row>
    <row r="591" spans="1:8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</row>
    <row r="592" spans="1:8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</row>
    <row r="593" spans="1:8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</row>
    <row r="594" spans="1:8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  <c r="CA594" s="31"/>
      <c r="CB594" s="31"/>
      <c r="CC594" s="31"/>
    </row>
    <row r="595" spans="1:8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</row>
    <row r="596" spans="1:8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  <c r="CA596" s="31"/>
      <c r="CB596" s="31"/>
      <c r="CC596" s="31"/>
    </row>
    <row r="597" spans="1:8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  <c r="CA597" s="31"/>
      <c r="CB597" s="31"/>
      <c r="CC597" s="31"/>
    </row>
    <row r="598" spans="1:8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  <c r="CA598" s="31"/>
      <c r="CB598" s="31"/>
      <c r="CC598" s="31"/>
    </row>
    <row r="599" spans="1:8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31"/>
    </row>
    <row r="600" spans="1:8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</row>
    <row r="601" spans="1:8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31"/>
    </row>
  </sheetData>
  <sheetProtection sheet="1" objects="1" scenarios="1" selectLockedCells="1"/>
  <mergeCells count="62">
    <mergeCell ref="H53:I53"/>
    <mergeCell ref="D50:E50"/>
    <mergeCell ref="H50:I50"/>
    <mergeCell ref="D51:E51"/>
    <mergeCell ref="H51:I51"/>
    <mergeCell ref="H23:I23"/>
    <mergeCell ref="H24:I24"/>
    <mergeCell ref="G25:G26"/>
    <mergeCell ref="H25:H26"/>
    <mergeCell ref="I25:I26"/>
    <mergeCell ref="D47:E47"/>
    <mergeCell ref="H47:I47"/>
    <mergeCell ref="D48:E48"/>
    <mergeCell ref="H48:I48"/>
    <mergeCell ref="D49:E49"/>
    <mergeCell ref="H49:I49"/>
    <mergeCell ref="D44:E44"/>
    <mergeCell ref="H44:I44"/>
    <mergeCell ref="D45:E45"/>
    <mergeCell ref="H45:I45"/>
    <mergeCell ref="D46:E46"/>
    <mergeCell ref="H46:I46"/>
    <mergeCell ref="H41:I41"/>
    <mergeCell ref="D42:E42"/>
    <mergeCell ref="H42:I42"/>
    <mergeCell ref="D43:E43"/>
    <mergeCell ref="H43:I43"/>
    <mergeCell ref="D29:I29"/>
    <mergeCell ref="H31:I31"/>
    <mergeCell ref="D32:E32"/>
    <mergeCell ref="H32:I32"/>
    <mergeCell ref="D33:E33"/>
    <mergeCell ref="H33:I33"/>
    <mergeCell ref="D37:E37"/>
    <mergeCell ref="H37:I37"/>
    <mergeCell ref="D38:E38"/>
    <mergeCell ref="H38:I38"/>
    <mergeCell ref="D39:E39"/>
    <mergeCell ref="H39:I39"/>
    <mergeCell ref="D40:E40"/>
    <mergeCell ref="H40:I40"/>
    <mergeCell ref="D41:E41"/>
    <mergeCell ref="B2:D3"/>
    <mergeCell ref="F3:G3"/>
    <mergeCell ref="C36:I36"/>
    <mergeCell ref="C30:I30"/>
    <mergeCell ref="G10:H10"/>
    <mergeCell ref="G5:H5"/>
    <mergeCell ref="C18:E18"/>
    <mergeCell ref="C19:E19"/>
    <mergeCell ref="G11:H11"/>
    <mergeCell ref="G12:H12"/>
    <mergeCell ref="G15:H15"/>
    <mergeCell ref="G16:H16"/>
    <mergeCell ref="F2:G2"/>
    <mergeCell ref="E1:G1"/>
    <mergeCell ref="G13:H13"/>
    <mergeCell ref="G14:H14"/>
    <mergeCell ref="G7:H7"/>
    <mergeCell ref="G8:H8"/>
    <mergeCell ref="G9:H9"/>
    <mergeCell ref="F4:G4"/>
  </mergeCells>
  <phoneticPr fontId="29" type="noConversion"/>
  <conditionalFormatting sqref="G18">
    <cfRule type="expression" dxfId="23" priority="3">
      <formula>$I$3=1</formula>
    </cfRule>
  </conditionalFormatting>
  <conditionalFormatting sqref="G19">
    <cfRule type="expression" dxfId="22" priority="4">
      <formula>$I$3=2</formula>
    </cfRule>
  </conditionalFormatting>
  <printOptions horizontalCentered="1"/>
  <pageMargins left="0.5" right="0.5" top="1.5" bottom="0.25" header="0" footer="0"/>
  <pageSetup paperSize="9" scale="71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5025E6C-849B-4EF9-9E82-CAC1DC64453D}">
            <xm:f>initial!$C$4=2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vertical/>
                <horizontal/>
              </border>
            </x14:dxf>
          </x14:cfRule>
          <xm:sqref>G23:H25 I25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CD601"/>
  <sheetViews>
    <sheetView showGridLines="0" zoomScale="70" zoomScaleNormal="70" zoomScaleSheetLayoutView="70" workbookViewId="0">
      <selection activeCell="L20" sqref="L20"/>
    </sheetView>
  </sheetViews>
  <sheetFormatPr defaultColWidth="9" defaultRowHeight="14.25"/>
  <cols>
    <col min="1" max="1" width="3.5" style="30" customWidth="1"/>
    <col min="2" max="3" width="10.125" style="30" customWidth="1"/>
    <col min="4" max="4" width="13.375" style="30" customWidth="1"/>
    <col min="5" max="8" width="10.125" style="30" customWidth="1"/>
    <col min="9" max="9" width="11.875" style="30" customWidth="1"/>
    <col min="10" max="10" width="10.125" style="30" customWidth="1"/>
    <col min="11" max="11" width="11.125" style="30" customWidth="1"/>
    <col min="12" max="12" width="12.25" style="30" customWidth="1"/>
    <col min="13" max="13" width="12.5" style="30" customWidth="1"/>
    <col min="14" max="17" width="10.125" style="30" customWidth="1"/>
    <col min="18" max="20" width="2" style="210" customWidth="1"/>
    <col min="21" max="53" width="14.5" style="210" customWidth="1"/>
    <col min="54" max="16384" width="9" style="30"/>
  </cols>
  <sheetData>
    <row r="1" spans="2:82" ht="15" thickBot="1"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</row>
    <row r="2" spans="2:82" ht="20.25" customHeight="1" thickBot="1">
      <c r="B2" s="830" t="s">
        <v>220</v>
      </c>
      <c r="C2" s="831"/>
      <c r="D2" s="831"/>
      <c r="E2" s="272" t="s">
        <v>157</v>
      </c>
      <c r="F2" s="272" t="s">
        <v>161</v>
      </c>
      <c r="G2" s="273" t="s">
        <v>159</v>
      </c>
      <c r="H2" s="255"/>
      <c r="I2" s="255"/>
      <c r="J2" s="255"/>
      <c r="K2" s="255"/>
      <c r="L2" s="255"/>
      <c r="M2" s="255"/>
      <c r="N2" s="255"/>
      <c r="O2" s="255"/>
      <c r="P2" s="289" t="s">
        <v>21</v>
      </c>
      <c r="Q2" s="290" t="s">
        <v>22</v>
      </c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  <c r="AS2" s="181"/>
      <c r="AT2" s="181"/>
      <c r="AU2" s="181"/>
      <c r="AV2" s="181"/>
      <c r="AW2" s="181"/>
      <c r="AX2" s="181"/>
      <c r="AY2" s="181"/>
      <c r="AZ2" s="181"/>
      <c r="BA2" s="181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</row>
    <row r="3" spans="2:82" ht="27.6" customHeight="1" thickBot="1">
      <c r="B3" s="832"/>
      <c r="C3" s="833"/>
      <c r="D3" s="833"/>
      <c r="E3" s="274">
        <f>calc!K11</f>
        <v>17.780629393493545</v>
      </c>
      <c r="F3" s="274">
        <f>calc!M11</f>
        <v>17.739784207945071</v>
      </c>
      <c r="G3" s="275">
        <f>calc!O11</f>
        <v>17.665180644106592</v>
      </c>
      <c r="J3" s="258"/>
      <c r="K3" s="255"/>
      <c r="L3" s="316" t="s">
        <v>208</v>
      </c>
      <c r="M3" s="255"/>
      <c r="N3" s="276"/>
      <c r="P3" s="403">
        <v>1</v>
      </c>
      <c r="Q3" s="404">
        <f>data!N22</f>
        <v>-121.07</v>
      </c>
      <c r="S3" s="181"/>
      <c r="T3" s="181"/>
      <c r="U3" s="211"/>
      <c r="V3" s="199"/>
      <c r="W3" s="199"/>
      <c r="X3" s="199"/>
      <c r="Y3" s="199"/>
      <c r="Z3" s="199"/>
      <c r="AA3" s="199"/>
      <c r="AB3" s="199"/>
      <c r="AC3" s="200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</row>
    <row r="4" spans="2:82" ht="20.25" customHeight="1" thickBot="1">
      <c r="B4" s="265"/>
      <c r="J4" s="265"/>
      <c r="K4" s="277" t="s">
        <v>131</v>
      </c>
      <c r="L4" s="439">
        <f>interim!H23</f>
        <v>206087</v>
      </c>
      <c r="M4" s="278" t="s">
        <v>134</v>
      </c>
      <c r="N4" s="252"/>
      <c r="P4" s="403">
        <v>2</v>
      </c>
      <c r="Q4" s="404">
        <f>data!N23</f>
        <v>-88.9</v>
      </c>
      <c r="S4" s="181"/>
      <c r="T4" s="181"/>
      <c r="U4" s="212"/>
      <c r="V4" s="181"/>
      <c r="W4" s="181"/>
      <c r="X4" s="181">
        <f>(1+(calc!M25-1.023)/1.023)</f>
        <v>1</v>
      </c>
      <c r="Y4" s="181"/>
      <c r="Z4" s="181"/>
      <c r="AA4" s="181"/>
      <c r="AB4" s="181"/>
      <c r="AC4" s="201"/>
      <c r="AD4" s="181"/>
      <c r="AE4" s="181"/>
      <c r="AF4" s="181"/>
      <c r="AG4" s="181"/>
      <c r="AH4" s="181"/>
      <c r="AI4" s="181"/>
      <c r="AJ4" s="181"/>
      <c r="AK4" s="181"/>
      <c r="AL4" s="181"/>
      <c r="AM4" s="181"/>
      <c r="AN4" s="181"/>
      <c r="AO4" s="181"/>
      <c r="AP4" s="181"/>
      <c r="AQ4" s="181"/>
      <c r="AR4" s="181"/>
      <c r="AS4" s="181"/>
      <c r="AT4" s="181"/>
      <c r="AU4" s="181"/>
      <c r="AV4" s="181"/>
      <c r="AW4" s="181"/>
      <c r="AX4" s="181"/>
      <c r="AY4" s="181"/>
      <c r="AZ4" s="181"/>
      <c r="BA4" s="181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</row>
    <row r="5" spans="2:82" ht="20.25" customHeight="1">
      <c r="B5" s="807" t="s">
        <v>143</v>
      </c>
      <c r="C5" s="808"/>
      <c r="D5" s="808"/>
      <c r="E5" s="808"/>
      <c r="F5" s="808"/>
      <c r="G5" s="808"/>
      <c r="H5" s="809"/>
      <c r="J5" s="265"/>
      <c r="K5" s="279"/>
      <c r="L5" s="280"/>
      <c r="M5" s="278"/>
      <c r="N5" s="252"/>
      <c r="P5" s="403">
        <v>3</v>
      </c>
      <c r="Q5" s="404">
        <f>data!N24</f>
        <v>-64.150000000000006</v>
      </c>
      <c r="S5" s="181"/>
      <c r="T5" s="181"/>
      <c r="U5" s="212"/>
      <c r="V5" s="181"/>
      <c r="W5" s="181"/>
      <c r="X5" s="181"/>
      <c r="Y5" s="181"/>
      <c r="Z5" s="181"/>
      <c r="AA5" s="181"/>
      <c r="AB5" s="181"/>
      <c r="AC5" s="201"/>
      <c r="AD5" s="181"/>
      <c r="AE5" s="181"/>
      <c r="AF5" s="181"/>
      <c r="AG5" s="181"/>
      <c r="AH5" s="181"/>
      <c r="AI5" s="181"/>
      <c r="AJ5" s="181"/>
      <c r="AK5" s="181"/>
      <c r="AL5" s="181"/>
      <c r="AM5" s="181"/>
      <c r="AN5" s="181"/>
      <c r="AO5" s="181"/>
      <c r="AP5" s="181"/>
      <c r="AQ5" s="181"/>
      <c r="AR5" s="181"/>
      <c r="AS5" s="181"/>
      <c r="AT5" s="181"/>
      <c r="AU5" s="181"/>
      <c r="AV5" s="181"/>
      <c r="AW5" s="181"/>
      <c r="AX5" s="181"/>
      <c r="AY5" s="181"/>
      <c r="AZ5" s="181"/>
      <c r="BA5" s="181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</row>
    <row r="6" spans="2:82" ht="20.25" customHeight="1" thickBot="1">
      <c r="B6" s="810"/>
      <c r="C6" s="811"/>
      <c r="D6" s="811"/>
      <c r="E6" s="811"/>
      <c r="F6" s="811"/>
      <c r="G6" s="811"/>
      <c r="H6" s="812"/>
      <c r="J6" s="265"/>
      <c r="K6" s="277" t="s">
        <v>132</v>
      </c>
      <c r="L6" s="288">
        <f>calc!M36</f>
        <v>242951</v>
      </c>
      <c r="M6" s="278" t="s">
        <v>134</v>
      </c>
      <c r="N6" s="252"/>
      <c r="P6" s="403">
        <v>4</v>
      </c>
      <c r="Q6" s="404">
        <f>data!N25</f>
        <v>-34.450000000000003</v>
      </c>
      <c r="R6" s="294"/>
      <c r="S6" s="182"/>
      <c r="T6" s="181"/>
      <c r="U6" s="212"/>
      <c r="V6" s="183" t="s">
        <v>52</v>
      </c>
      <c r="W6" s="183" t="s">
        <v>53</v>
      </c>
      <c r="X6" s="183" t="s">
        <v>27</v>
      </c>
      <c r="Y6" s="183" t="s">
        <v>28</v>
      </c>
      <c r="Z6" s="183" t="s">
        <v>54</v>
      </c>
      <c r="AA6" s="181"/>
      <c r="AB6" s="181"/>
      <c r="AC6" s="201"/>
      <c r="AD6" s="181"/>
      <c r="AE6" s="181"/>
      <c r="AF6" s="181"/>
      <c r="AG6" s="181"/>
      <c r="AH6" s="181"/>
      <c r="AI6" s="181"/>
      <c r="AJ6" s="181"/>
      <c r="AK6" s="181"/>
      <c r="AL6" s="181"/>
      <c r="AM6" s="181"/>
      <c r="AN6" s="181"/>
      <c r="AO6" s="181"/>
      <c r="AP6" s="181"/>
      <c r="AQ6" s="181"/>
      <c r="AR6" s="181"/>
      <c r="AS6" s="181"/>
      <c r="AT6" s="181"/>
      <c r="AU6" s="181"/>
      <c r="AV6" s="181"/>
      <c r="AW6" s="181"/>
      <c r="AX6" s="181"/>
      <c r="AY6" s="181"/>
      <c r="AZ6" s="181"/>
      <c r="BA6" s="181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</row>
    <row r="7" spans="2:82" ht="20.25" customHeight="1">
      <c r="B7" s="797" t="s">
        <v>90</v>
      </c>
      <c r="C7" s="798"/>
      <c r="D7" s="798"/>
      <c r="E7" s="393">
        <v>5</v>
      </c>
      <c r="F7" s="30" t="s">
        <v>89</v>
      </c>
      <c r="H7" s="252"/>
      <c r="J7" s="265"/>
      <c r="L7" s="256"/>
      <c r="N7" s="252"/>
      <c r="P7" s="403">
        <v>5</v>
      </c>
      <c r="Q7" s="404">
        <f>data!N26</f>
        <v>-9.6999999999999993</v>
      </c>
      <c r="R7" s="295"/>
      <c r="S7" s="184"/>
      <c r="T7" s="181"/>
      <c r="U7" s="212"/>
      <c r="V7" s="185">
        <f>VLOOKUP(V15,hydro!$B$3:$F$78,1)</f>
        <v>17.8</v>
      </c>
      <c r="W7" s="186">
        <f>VLOOKUP(V7,hydro!$B$3:$F$78,2)</f>
        <v>280143</v>
      </c>
      <c r="X7" s="187">
        <f>VLOOKUP(V7,hydro!$B$3:$F$78,3)</f>
        <v>173.1</v>
      </c>
      <c r="Y7" s="187">
        <f>VLOOKUP(V7,hydro!$B$3:$F$78,4)</f>
        <v>-0.16</v>
      </c>
      <c r="Z7" s="188">
        <f>VLOOKUP(V7,hydro!$B$3:$F$78,5)</f>
        <v>4037.2</v>
      </c>
      <c r="AA7" s="181"/>
      <c r="AB7" s="181"/>
      <c r="AC7" s="201"/>
      <c r="AD7" s="181"/>
      <c r="AE7" s="181"/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  <c r="AR7" s="181"/>
      <c r="AS7" s="181"/>
      <c r="AT7" s="181"/>
      <c r="AU7" s="181"/>
      <c r="AV7" s="181"/>
      <c r="AW7" s="181"/>
      <c r="AX7" s="181"/>
      <c r="AY7" s="181"/>
      <c r="AZ7" s="181"/>
      <c r="BA7" s="181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</row>
    <row r="8" spans="2:82" ht="20.25" customHeight="1">
      <c r="B8" s="265"/>
      <c r="H8" s="252"/>
      <c r="J8" s="281"/>
      <c r="K8" s="282" t="s">
        <v>133</v>
      </c>
      <c r="L8" s="402">
        <f>ABS((L6-L4)/L6)</f>
        <v>0.15173430033216576</v>
      </c>
      <c r="M8" s="283" t="str">
        <f>IF(L4&gt;L6,"Less Onboard","More Onboard")</f>
        <v>More Onboard</v>
      </c>
      <c r="N8" s="284"/>
      <c r="P8" s="403">
        <v>6</v>
      </c>
      <c r="Q8" s="404">
        <f>data!N27</f>
        <v>20</v>
      </c>
      <c r="R8" s="295"/>
      <c r="S8" s="184"/>
      <c r="T8" s="181"/>
      <c r="U8" s="212"/>
      <c r="V8" s="189">
        <f>V15</f>
        <v>17.904892103972536</v>
      </c>
      <c r="W8" s="190">
        <f>(W9-W7)/($V$9-$V$7)*($V$8-$V$7)+W7</f>
        <v>281959.73124080431</v>
      </c>
      <c r="X8" s="191">
        <f>(X9-X7)/($V$9-$V$7)*($V$8-$V$7)+X7</f>
        <v>173.25733815595879</v>
      </c>
      <c r="Y8" s="191">
        <f>(Y9-Y7)/($V$9-$V$7)*($V$8-$V$7)+Y7</f>
        <v>-2.8884870034330767E-2</v>
      </c>
      <c r="Z8" s="192">
        <f>(Z9-Z7)/($V$9-$V$7)*($V$8-$V$7)+Z7</f>
        <v>4048.2136709171159</v>
      </c>
      <c r="AA8" s="204" t="s">
        <v>97</v>
      </c>
      <c r="AB8" s="181"/>
      <c r="AC8" s="201"/>
      <c r="AD8" s="181"/>
      <c r="AE8" s="181"/>
      <c r="AF8" s="181"/>
      <c r="AG8" s="181"/>
      <c r="AH8" s="181"/>
      <c r="AI8" s="181"/>
      <c r="AJ8" s="181"/>
      <c r="AK8" s="181"/>
      <c r="AL8" s="181"/>
      <c r="AM8" s="181"/>
      <c r="AN8" s="181"/>
      <c r="AO8" s="181"/>
      <c r="AP8" s="181"/>
      <c r="AQ8" s="181"/>
      <c r="AR8" s="181"/>
      <c r="AS8" s="181"/>
      <c r="AT8" s="181"/>
      <c r="AU8" s="181"/>
      <c r="AV8" s="181"/>
      <c r="AW8" s="181"/>
      <c r="AX8" s="181"/>
      <c r="AY8" s="181"/>
      <c r="AZ8" s="181"/>
      <c r="BA8" s="181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</row>
    <row r="9" spans="2:82" ht="20.25" customHeight="1" thickBot="1">
      <c r="B9" s="797" t="s">
        <v>91</v>
      </c>
      <c r="C9" s="798"/>
      <c r="D9" s="798"/>
      <c r="E9" s="729">
        <v>18.07</v>
      </c>
      <c r="F9" s="30" t="s">
        <v>92</v>
      </c>
      <c r="H9" s="252"/>
      <c r="J9" s="265" t="s">
        <v>152</v>
      </c>
      <c r="N9" s="252"/>
      <c r="P9" s="403">
        <v>7</v>
      </c>
      <c r="Q9" s="404">
        <f>data!N28</f>
        <v>44.75</v>
      </c>
      <c r="R9" s="295"/>
      <c r="S9" s="184"/>
      <c r="T9" s="181"/>
      <c r="U9" s="212"/>
      <c r="V9" s="193">
        <f>V7+0.2</f>
        <v>18</v>
      </c>
      <c r="W9" s="194">
        <f>VLOOKUP(V9,hydro!$B$3:$F$78,2)</f>
        <v>283607</v>
      </c>
      <c r="X9" s="195">
        <f>VLOOKUP(V9,hydro!$B$3:$F$78,3)</f>
        <v>173.4</v>
      </c>
      <c r="Y9" s="195">
        <f>VLOOKUP(V9,hydro!$B$3:$F$78,4)</f>
        <v>0.09</v>
      </c>
      <c r="Z9" s="196">
        <f>VLOOKUP(V9,hydro!$B$3:$F$78,5)</f>
        <v>4058.2</v>
      </c>
      <c r="AA9" s="204"/>
      <c r="AB9" s="181"/>
      <c r="AC9" s="201"/>
      <c r="AD9" s="181"/>
      <c r="AE9" s="181"/>
      <c r="AF9" s="181"/>
      <c r="AG9" s="181"/>
      <c r="AH9" s="181"/>
      <c r="AI9" s="181"/>
      <c r="AJ9" s="181"/>
      <c r="AK9" s="181"/>
      <c r="AL9" s="181"/>
      <c r="AM9" s="181"/>
      <c r="AN9" s="181"/>
      <c r="AO9" s="181"/>
      <c r="AP9" s="181"/>
      <c r="AQ9" s="181"/>
      <c r="AR9" s="181"/>
      <c r="AS9" s="181"/>
      <c r="AT9" s="181"/>
      <c r="AU9" s="181"/>
      <c r="AV9" s="181"/>
      <c r="AW9" s="181"/>
      <c r="AX9" s="181"/>
      <c r="AY9" s="181"/>
      <c r="AZ9" s="181"/>
      <c r="BA9" s="181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</row>
    <row r="10" spans="2:82" ht="20.25" customHeight="1" thickBot="1">
      <c r="B10" s="265"/>
      <c r="H10" s="252"/>
      <c r="J10" s="264"/>
      <c r="K10" s="253"/>
      <c r="L10" s="285"/>
      <c r="M10" s="253"/>
      <c r="N10" s="254"/>
      <c r="P10" s="403">
        <v>8</v>
      </c>
      <c r="Q10" s="404">
        <f>data!N29</f>
        <v>74.45</v>
      </c>
      <c r="R10" s="295"/>
      <c r="S10" s="184"/>
      <c r="T10" s="181"/>
      <c r="U10" s="212"/>
      <c r="V10" s="185">
        <f>VLOOKUP(V11,hydro!$B$3:$F$78,1)</f>
        <v>17.8</v>
      </c>
      <c r="W10" s="186">
        <f>VLOOKUP(V10,hydro!$B$3:$F$78,2)</f>
        <v>280143</v>
      </c>
      <c r="X10" s="187">
        <f>VLOOKUP(V10,hydro!$B$3:$F$78,3)</f>
        <v>173.1</v>
      </c>
      <c r="Y10" s="187">
        <f>VLOOKUP(V10,hydro!$B$3:$F$78,4)</f>
        <v>-0.16</v>
      </c>
      <c r="Z10" s="188">
        <f>VLOOKUP(V10,hydro!$B$3:$F$78,5)</f>
        <v>4037.2</v>
      </c>
      <c r="AA10" s="204"/>
      <c r="AB10" s="181"/>
      <c r="AC10" s="201"/>
      <c r="AD10" s="181"/>
      <c r="AE10" s="181"/>
      <c r="AF10" s="181"/>
      <c r="AG10" s="181"/>
      <c r="AH10" s="181"/>
      <c r="AI10" s="181"/>
      <c r="AJ10" s="181"/>
      <c r="AK10" s="181"/>
      <c r="AL10" s="181"/>
      <c r="AM10" s="181"/>
      <c r="AN10" s="181"/>
      <c r="AO10" s="181"/>
      <c r="AP10" s="181"/>
      <c r="AQ10" s="181"/>
      <c r="AR10" s="181"/>
      <c r="AS10" s="181"/>
      <c r="AT10" s="181"/>
      <c r="AU10" s="181"/>
      <c r="AV10" s="181"/>
      <c r="AW10" s="181"/>
      <c r="AX10" s="181"/>
      <c r="AY10" s="181"/>
      <c r="AZ10" s="181"/>
      <c r="BA10" s="181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</row>
    <row r="11" spans="2:82" ht="20.25" customHeight="1">
      <c r="B11" s="815" t="s">
        <v>96</v>
      </c>
      <c r="C11" s="816"/>
      <c r="E11" s="256">
        <f>(E9-F3)*100</f>
        <v>33.021579205492912</v>
      </c>
      <c r="F11" s="30" t="s">
        <v>89</v>
      </c>
      <c r="H11" s="252"/>
      <c r="K11" s="292"/>
      <c r="L11" s="292"/>
      <c r="M11" s="292"/>
      <c r="N11" s="292"/>
      <c r="P11" s="403">
        <v>9</v>
      </c>
      <c r="Q11" s="404">
        <f>data!N30</f>
        <v>99.2</v>
      </c>
      <c r="R11" s="295"/>
      <c r="S11" s="184"/>
      <c r="T11" s="181"/>
      <c r="U11" s="212"/>
      <c r="V11" s="189">
        <f>V30</f>
        <v>17.8799521085955</v>
      </c>
      <c r="W11" s="190">
        <f>(calc!D50-calc!D48)/(calc!C50-calc!C48)*(V11-calc!C48)+calc!D48</f>
        <v>281525.37195519597</v>
      </c>
      <c r="X11" s="191">
        <f>(calc!E50-calc!E48)/(calc!C50-calc!C48)*(V11-calc!C48)+calc!E48</f>
        <v>173.25990421691102</v>
      </c>
      <c r="Y11" s="191">
        <f>(calc!F50-calc!F48)/(calc!C50-calc!C48)*(V11-calc!C48)+calc!F48</f>
        <v>-5.6062259007822635E-2</v>
      </c>
      <c r="Z11" s="192">
        <f>(calc!H50-calc!H48)/(calc!C50-calc!C48)*(V11-calc!C48)+calc!H48</f>
        <v>4046.034707984335</v>
      </c>
      <c r="AA11" s="181" t="s">
        <v>108</v>
      </c>
      <c r="AB11" s="181"/>
      <c r="AC11" s="20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1"/>
      <c r="AT11" s="181"/>
      <c r="AU11" s="181"/>
      <c r="AV11" s="181"/>
      <c r="AW11" s="181"/>
      <c r="AX11" s="181"/>
      <c r="AY11" s="181"/>
      <c r="AZ11" s="181"/>
      <c r="BA11" s="181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</row>
    <row r="12" spans="2:82" ht="20.25" customHeight="1" thickBot="1">
      <c r="B12" s="815" t="s">
        <v>199</v>
      </c>
      <c r="C12" s="816"/>
      <c r="D12" s="266">
        <f>V17</f>
        <v>5721</v>
      </c>
      <c r="F12" s="799" t="s">
        <v>147</v>
      </c>
      <c r="G12" s="799"/>
      <c r="H12" s="800"/>
      <c r="K12" s="292"/>
      <c r="L12" s="292"/>
      <c r="M12" s="292"/>
      <c r="N12" s="292"/>
      <c r="O12" s="292"/>
      <c r="P12" s="291"/>
      <c r="Q12" s="293"/>
      <c r="R12" s="295"/>
      <c r="S12" s="184"/>
      <c r="T12" s="181"/>
      <c r="U12" s="212"/>
      <c r="V12" s="193">
        <f>V10+0.2</f>
        <v>18</v>
      </c>
      <c r="W12" s="194">
        <f>VLOOKUP(V12,hydro!$B$3:$F$78,2)</f>
        <v>283607</v>
      </c>
      <c r="X12" s="195">
        <f>VLOOKUP(V12,hydro!$B$3:$F$78,3)</f>
        <v>173.4</v>
      </c>
      <c r="Y12" s="195">
        <f>VLOOKUP(V12,hydro!$B$3:$F$78,4)</f>
        <v>0.09</v>
      </c>
      <c r="Z12" s="196">
        <f>VLOOKUP(V12,hydro!$B$3:$F$78,5)</f>
        <v>4058.2</v>
      </c>
      <c r="AA12" s="204"/>
      <c r="AB12" s="181"/>
      <c r="AC12" s="201"/>
      <c r="AD12" s="181"/>
      <c r="AE12" s="181"/>
      <c r="AF12" s="181"/>
      <c r="AG12" s="181"/>
      <c r="AH12" s="181"/>
      <c r="AI12" s="181"/>
      <c r="AJ12" s="181"/>
      <c r="AK12" s="181"/>
      <c r="AL12" s="181"/>
      <c r="AM12" s="181"/>
      <c r="AN12" s="181"/>
      <c r="AO12" s="181"/>
      <c r="AP12" s="181"/>
      <c r="AQ12" s="181"/>
      <c r="AR12" s="181"/>
      <c r="AS12" s="181"/>
      <c r="AT12" s="181"/>
      <c r="AU12" s="181"/>
      <c r="AV12" s="181"/>
      <c r="AW12" s="181"/>
      <c r="AX12" s="181"/>
      <c r="AY12" s="181"/>
      <c r="AZ12" s="181"/>
      <c r="BA12" s="181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</row>
    <row r="13" spans="2:82" ht="20.25" customHeight="1">
      <c r="B13" s="265"/>
      <c r="F13" s="799" t="s">
        <v>135</v>
      </c>
      <c r="G13" s="799"/>
      <c r="H13" s="800"/>
      <c r="J13" s="807" t="s">
        <v>145</v>
      </c>
      <c r="K13" s="808"/>
      <c r="L13" s="808"/>
      <c r="M13" s="808"/>
      <c r="N13" s="808"/>
      <c r="O13" s="808"/>
      <c r="P13" s="808"/>
      <c r="Q13" s="809"/>
      <c r="R13" s="296"/>
      <c r="S13" s="197"/>
      <c r="T13" s="181"/>
      <c r="U13" s="213" t="s">
        <v>97</v>
      </c>
      <c r="V13" s="181"/>
      <c r="W13" s="181"/>
      <c r="X13" s="181"/>
      <c r="Y13" s="181"/>
      <c r="Z13" s="181"/>
      <c r="AA13" s="181"/>
      <c r="AB13" s="181"/>
      <c r="AC13" s="201"/>
      <c r="AD13" s="181"/>
      <c r="AE13" s="181"/>
      <c r="AF13" s="181"/>
      <c r="AG13" s="181"/>
      <c r="AH13" s="181"/>
      <c r="AI13" s="181"/>
      <c r="AJ13" s="181"/>
      <c r="AK13" s="181"/>
      <c r="AL13" s="181"/>
      <c r="AM13" s="181"/>
      <c r="AN13" s="181"/>
      <c r="AO13" s="181"/>
      <c r="AP13" s="181"/>
      <c r="AQ13" s="181"/>
      <c r="AR13" s="181"/>
      <c r="AS13" s="181"/>
      <c r="AT13" s="181"/>
      <c r="AU13" s="181"/>
      <c r="AV13" s="181"/>
      <c r="AW13" s="181"/>
      <c r="AX13" s="181"/>
      <c r="AY13" s="181"/>
      <c r="AZ13" s="181"/>
      <c r="BA13" s="181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</row>
    <row r="14" spans="2:82" ht="20.25" customHeight="1">
      <c r="B14" s="265"/>
      <c r="E14" s="256" t="s">
        <v>22</v>
      </c>
      <c r="F14" s="256" t="s">
        <v>88</v>
      </c>
      <c r="G14" s="256" t="s">
        <v>136</v>
      </c>
      <c r="H14" s="267" t="s">
        <v>137</v>
      </c>
      <c r="J14" s="810"/>
      <c r="K14" s="811"/>
      <c r="L14" s="811"/>
      <c r="M14" s="811"/>
      <c r="N14" s="811"/>
      <c r="O14" s="811"/>
      <c r="P14" s="811"/>
      <c r="Q14" s="812"/>
      <c r="S14" s="181"/>
      <c r="T14" s="181"/>
      <c r="U14" s="213" t="s">
        <v>98</v>
      </c>
      <c r="V14" s="202">
        <f>E11</f>
        <v>33.021579205492912</v>
      </c>
      <c r="W14" s="181"/>
      <c r="X14" s="181"/>
      <c r="Y14" s="214" t="s">
        <v>100</v>
      </c>
      <c r="Z14" s="214" t="s">
        <v>101</v>
      </c>
      <c r="AA14" s="214" t="s">
        <v>94</v>
      </c>
      <c r="AB14" s="181"/>
      <c r="AC14" s="20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1"/>
      <c r="AT14" s="181"/>
      <c r="AU14" s="181"/>
      <c r="AV14" s="181"/>
      <c r="AW14" s="181"/>
      <c r="AX14" s="181"/>
      <c r="AY14" s="181"/>
      <c r="AZ14" s="181"/>
      <c r="BA14" s="181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</row>
    <row r="15" spans="2:82" ht="20.25" customHeight="1">
      <c r="B15" s="797" t="s">
        <v>198</v>
      </c>
      <c r="C15" s="798"/>
      <c r="D15" s="393">
        <v>1</v>
      </c>
      <c r="E15" s="30">
        <f>VLOOKUP(D15,P3:Q11,2)</f>
        <v>-121.07</v>
      </c>
      <c r="F15" s="268">
        <f>W23</f>
        <v>1837</v>
      </c>
      <c r="G15" s="269">
        <f>(F15*$L$8)+F15</f>
        <v>2115.7359097101885</v>
      </c>
      <c r="H15" s="270">
        <f>F15-(F15*$L$8)</f>
        <v>1558.2640902898115</v>
      </c>
      <c r="J15" s="797" t="s">
        <v>199</v>
      </c>
      <c r="K15" s="798"/>
      <c r="L15" s="286">
        <f>IF(E9=0,D26,D12)</f>
        <v>5721</v>
      </c>
      <c r="N15" s="799" t="s">
        <v>138</v>
      </c>
      <c r="O15" s="799"/>
      <c r="P15" s="799"/>
      <c r="Q15" s="252"/>
      <c r="S15" s="181"/>
      <c r="T15" s="181"/>
      <c r="U15" s="213" t="s">
        <v>99</v>
      </c>
      <c r="V15" s="181">
        <f>(F3+E9)/2</f>
        <v>17.904892103972536</v>
      </c>
      <c r="W15" s="181"/>
      <c r="X15" s="181"/>
      <c r="Y15" s="202">
        <f>(1/X8+(data!E13/2+Y8)*((Y8-E15)/(Z8*data!E13)))*100</f>
        <v>2.071901229365301</v>
      </c>
      <c r="Z15" s="202">
        <f>(1/X8-(data!E13/2-Y8)*((Y8-E15)/(Z8*data!E13)))*100</f>
        <v>-0.91808707089514485</v>
      </c>
      <c r="AA15" s="181"/>
      <c r="AB15" s="181" t="s">
        <v>112</v>
      </c>
      <c r="AC15" s="201"/>
      <c r="AD15" s="181"/>
      <c r="AE15" s="181"/>
      <c r="AF15" s="181"/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  <c r="AQ15" s="181"/>
      <c r="AR15" s="181"/>
      <c r="AS15" s="181"/>
      <c r="AT15" s="181"/>
      <c r="AU15" s="181"/>
      <c r="AV15" s="181"/>
      <c r="AW15" s="181"/>
      <c r="AX15" s="181"/>
      <c r="AY15" s="181"/>
      <c r="AZ15" s="181"/>
      <c r="BA15" s="181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</row>
    <row r="16" spans="2:82" ht="20.25" customHeight="1">
      <c r="B16" s="265"/>
      <c r="D16" s="393">
        <v>8</v>
      </c>
      <c r="E16" s="30">
        <f>VLOOKUP(D16,P3:Q11,2)</f>
        <v>74.45</v>
      </c>
      <c r="F16" s="268">
        <f>W24</f>
        <v>3884</v>
      </c>
      <c r="G16" s="269">
        <f>(F16*$L$8)+F16</f>
        <v>4473.3360224901317</v>
      </c>
      <c r="H16" s="270">
        <f>F16-(F16*$L$8)</f>
        <v>3294.6639775098683</v>
      </c>
      <c r="J16" s="265"/>
      <c r="K16" s="256" t="s">
        <v>22</v>
      </c>
      <c r="L16" s="256" t="s">
        <v>88</v>
      </c>
      <c r="N16" s="256" t="s">
        <v>136</v>
      </c>
      <c r="O16" s="256" t="s">
        <v>137</v>
      </c>
      <c r="P16" s="399" t="s">
        <v>139</v>
      </c>
      <c r="Q16" s="252"/>
      <c r="S16" s="181"/>
      <c r="T16" s="181"/>
      <c r="U16" s="213" t="s">
        <v>27</v>
      </c>
      <c r="V16" s="202">
        <f>X8</f>
        <v>173.25733815595879</v>
      </c>
      <c r="W16" s="181"/>
      <c r="X16" s="181"/>
      <c r="Y16" s="202">
        <f>(1/X8+(data!E13/2+Y8)*((Y8-E16)/(Z8*data!E13)))*100</f>
        <v>-0.34255646161179476</v>
      </c>
      <c r="Z16" s="202">
        <f>(1/X8-(data!E13/2-Y8)*((Y8-E16)/(Z8*data!E13)))*100</f>
        <v>1.4972398269364151</v>
      </c>
      <c r="AA16" s="181"/>
      <c r="AB16" s="181" t="s">
        <v>113</v>
      </c>
      <c r="AC16" s="201"/>
      <c r="AD16" s="181"/>
      <c r="AE16" s="181"/>
      <c r="AF16" s="181"/>
      <c r="AG16" s="181"/>
      <c r="AH16" s="181"/>
      <c r="AI16" s="181"/>
      <c r="AJ16" s="181"/>
      <c r="AK16" s="181"/>
      <c r="AL16" s="181"/>
      <c r="AM16" s="181"/>
      <c r="AN16" s="181"/>
      <c r="AO16" s="181"/>
      <c r="AP16" s="181"/>
      <c r="AQ16" s="181"/>
      <c r="AR16" s="181"/>
      <c r="AS16" s="181"/>
      <c r="AT16" s="181"/>
      <c r="AU16" s="181"/>
      <c r="AV16" s="181"/>
      <c r="AW16" s="181"/>
      <c r="AX16" s="181"/>
      <c r="AY16" s="181"/>
      <c r="AZ16" s="181"/>
      <c r="BA16" s="181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</row>
    <row r="17" spans="2:82" ht="20.25" customHeight="1">
      <c r="B17" s="265"/>
      <c r="H17" s="252"/>
      <c r="J17" s="731">
        <v>1</v>
      </c>
      <c r="K17" s="256">
        <f>VLOOKUP(J17,P3:Q11,2)</f>
        <v>-121.07</v>
      </c>
      <c r="L17" s="389">
        <v>1835</v>
      </c>
      <c r="N17" s="405">
        <f>P17-(P17*$L$8)</f>
        <v>0</v>
      </c>
      <c r="O17" s="406">
        <f>(P17*$L$8)+P17</f>
        <v>0</v>
      </c>
      <c r="P17" s="389"/>
      <c r="Q17" s="252"/>
      <c r="S17" s="181"/>
      <c r="T17" s="181"/>
      <c r="U17" s="213" t="s">
        <v>87</v>
      </c>
      <c r="V17" s="181">
        <f>ROUND(V16*V14,0)</f>
        <v>5721</v>
      </c>
      <c r="W17" s="181"/>
      <c r="X17" s="181"/>
      <c r="Y17" s="203">
        <f>E3</f>
        <v>17.780629393493545</v>
      </c>
      <c r="Z17" s="203">
        <f>G3</f>
        <v>17.665180644106592</v>
      </c>
      <c r="AA17" s="203">
        <f>(Y17+Z17)/2</f>
        <v>17.72290501880007</v>
      </c>
      <c r="AB17" s="181"/>
      <c r="AC17" s="20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181"/>
      <c r="AS17" s="181"/>
      <c r="AT17" s="181"/>
      <c r="AU17" s="181"/>
      <c r="AV17" s="181"/>
      <c r="AW17" s="181"/>
      <c r="AX17" s="181"/>
      <c r="AY17" s="181"/>
      <c r="AZ17" s="181"/>
      <c r="BA17" s="181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</row>
    <row r="18" spans="2:82" ht="20.25" customHeight="1">
      <c r="B18" s="265"/>
      <c r="D18" s="271" t="s">
        <v>157</v>
      </c>
      <c r="E18" s="271" t="s">
        <v>161</v>
      </c>
      <c r="F18" s="271" t="s">
        <v>159</v>
      </c>
      <c r="G18" s="271" t="s">
        <v>162</v>
      </c>
      <c r="H18" s="252"/>
      <c r="J18" s="731">
        <v>2</v>
      </c>
      <c r="K18" s="256">
        <f>VLOOKUP(J18,P3:Q11,2)</f>
        <v>-88.9</v>
      </c>
      <c r="L18" s="389"/>
      <c r="N18" s="405">
        <f>P18-(P18*$L$8)</f>
        <v>0</v>
      </c>
      <c r="O18" s="406">
        <f>(P18*$L$8)+P18</f>
        <v>0</v>
      </c>
      <c r="P18" s="389"/>
      <c r="Q18" s="252"/>
      <c r="S18" s="181"/>
      <c r="T18" s="181"/>
      <c r="U18" s="213" t="str">
        <f>IF(F3&gt;AA17,"current sag","current hog")</f>
        <v>current sag</v>
      </c>
      <c r="V18" s="202">
        <f>F3-AA17</f>
        <v>1.6879189145001305E-2</v>
      </c>
      <c r="W18" s="181"/>
      <c r="X18" s="181"/>
      <c r="Y18" s="202">
        <f>W24*Y16/10000</f>
        <v>-0.13304892969002108</v>
      </c>
      <c r="Z18" s="202">
        <f>W24*Z16/10000</f>
        <v>0.58152794878210357</v>
      </c>
      <c r="AA18" s="181"/>
      <c r="AB18" s="181" t="str">
        <f>CONCATENATE("load in hatch # ",D16)</f>
        <v>load in hatch # 8</v>
      </c>
      <c r="AC18" s="20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1"/>
      <c r="AS18" s="181"/>
      <c r="AT18" s="181"/>
      <c r="AU18" s="181"/>
      <c r="AV18" s="181"/>
      <c r="AW18" s="181"/>
      <c r="AX18" s="181"/>
      <c r="AY18" s="181"/>
      <c r="AZ18" s="181"/>
      <c r="BA18" s="181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</row>
    <row r="19" spans="2:82" ht="20.25" customHeight="1">
      <c r="B19" s="265"/>
      <c r="D19" s="409">
        <f>Y22</f>
        <v>18.028460581747193</v>
      </c>
      <c r="E19" s="409">
        <f>AA22</f>
        <v>18.070001547946596</v>
      </c>
      <c r="F19" s="409">
        <f>Z22</f>
        <v>18.07598565971815</v>
      </c>
      <c r="G19" s="409">
        <f>F19-D19</f>
        <v>4.7525077970956175E-2</v>
      </c>
      <c r="H19" s="252"/>
      <c r="J19" s="731">
        <v>5</v>
      </c>
      <c r="K19" s="256">
        <f>VLOOKUP(J19,P3:Q11,2)</f>
        <v>-9.6999999999999993</v>
      </c>
      <c r="L19" s="389"/>
      <c r="N19" s="405">
        <f>P19-(P19*$L$8)</f>
        <v>0</v>
      </c>
      <c r="O19" s="406">
        <f>(P19*$L$8)+P19</f>
        <v>0</v>
      </c>
      <c r="P19" s="389"/>
      <c r="Q19" s="252"/>
      <c r="S19" s="181"/>
      <c r="T19" s="181"/>
      <c r="U19" s="213" t="s">
        <v>104</v>
      </c>
      <c r="V19" s="202">
        <f>(G3-E3)*100</f>
        <v>-11.544874938695315</v>
      </c>
      <c r="W19" s="181"/>
      <c r="X19" s="181"/>
      <c r="Y19" s="203">
        <f>Y17+Y18</f>
        <v>17.647580463803525</v>
      </c>
      <c r="Z19" s="203">
        <f>Z17+Z18</f>
        <v>18.246708592888695</v>
      </c>
      <c r="AA19" s="203">
        <f>(Y19+Z19)/2</f>
        <v>17.947144528346108</v>
      </c>
      <c r="AB19" s="181"/>
      <c r="AC19" s="201"/>
      <c r="AD19" s="181"/>
      <c r="AE19" s="181"/>
      <c r="AF19" s="181"/>
      <c r="AG19" s="181"/>
      <c r="AH19" s="181"/>
      <c r="AI19" s="181"/>
      <c r="AJ19" s="181"/>
      <c r="AK19" s="181"/>
      <c r="AL19" s="181"/>
      <c r="AM19" s="181"/>
      <c r="AN19" s="181"/>
      <c r="AO19" s="181"/>
      <c r="AP19" s="181"/>
      <c r="AQ19" s="181"/>
      <c r="AR19" s="181"/>
      <c r="AS19" s="181"/>
      <c r="AT19" s="181"/>
      <c r="AU19" s="181"/>
      <c r="AV19" s="181"/>
      <c r="AW19" s="181"/>
      <c r="AX19" s="181"/>
      <c r="AY19" s="181"/>
      <c r="AZ19" s="181"/>
      <c r="BA19" s="181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</row>
    <row r="20" spans="2:82" ht="20.25" customHeight="1">
      <c r="B20" s="797" t="s">
        <v>202</v>
      </c>
      <c r="C20" s="798"/>
      <c r="D20" s="798"/>
      <c r="E20" s="801">
        <f>L6+D12</f>
        <v>248672</v>
      </c>
      <c r="H20" s="252"/>
      <c r="J20" s="731">
        <v>8</v>
      </c>
      <c r="K20" s="256">
        <f>VLOOKUP(J20,P3:Q11,2)</f>
        <v>74.45</v>
      </c>
      <c r="L20" s="389">
        <v>3890</v>
      </c>
      <c r="N20" s="405">
        <f>P20-(P20*$L$8)</f>
        <v>0</v>
      </c>
      <c r="O20" s="406">
        <f>(P20*$L$8)+P20</f>
        <v>0</v>
      </c>
      <c r="P20" s="389"/>
      <c r="Q20" s="252"/>
      <c r="S20" s="181"/>
      <c r="T20" s="181"/>
      <c r="U20" s="213" t="s">
        <v>105</v>
      </c>
      <c r="V20" s="202">
        <f>E7</f>
        <v>5</v>
      </c>
      <c r="W20" s="181"/>
      <c r="X20" s="181"/>
      <c r="Y20" s="202">
        <f>W23*Y15/10000</f>
        <v>0.38060825583440577</v>
      </c>
      <c r="Z20" s="202">
        <f>W23*Z15/10000</f>
        <v>-0.16865259492343812</v>
      </c>
      <c r="AA20" s="181"/>
      <c r="AB20" s="181" t="str">
        <f>CONCATENATE("load in hatch # ",D15)</f>
        <v>load in hatch # 1</v>
      </c>
      <c r="AC20" s="20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  <c r="AT20" s="181"/>
      <c r="AU20" s="181"/>
      <c r="AV20" s="181"/>
      <c r="AW20" s="181"/>
      <c r="AX20" s="181"/>
      <c r="AY20" s="181"/>
      <c r="AZ20" s="181"/>
      <c r="BA20" s="181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</row>
    <row r="21" spans="2:82" ht="20.25" customHeight="1" thickBot="1">
      <c r="B21" s="803"/>
      <c r="C21" s="804"/>
      <c r="D21" s="804"/>
      <c r="E21" s="802"/>
      <c r="F21" s="253"/>
      <c r="G21" s="253"/>
      <c r="H21" s="254"/>
      <c r="J21" s="731">
        <v>9</v>
      </c>
      <c r="K21" s="256">
        <f>VLOOKUP(J21,P3:Q11,2)</f>
        <v>99.2</v>
      </c>
      <c r="L21" s="389"/>
      <c r="N21" s="405">
        <f>P21-(P21*$L$8)</f>
        <v>0</v>
      </c>
      <c r="O21" s="406">
        <f>(P21*$L$8)+P21</f>
        <v>0</v>
      </c>
      <c r="P21" s="390"/>
      <c r="Q21" s="252"/>
      <c r="S21" s="181"/>
      <c r="T21" s="181"/>
      <c r="U21" s="213" t="s">
        <v>106</v>
      </c>
      <c r="V21" s="202">
        <f>V20-V19</f>
        <v>16.544874938695315</v>
      </c>
      <c r="W21" s="181"/>
      <c r="X21" s="181"/>
      <c r="Y21" s="203">
        <f>Y19+Y20</f>
        <v>18.028188719637932</v>
      </c>
      <c r="Z21" s="203">
        <f>Z19+Z20</f>
        <v>18.078055997965258</v>
      </c>
      <c r="AA21" s="203">
        <f>(Y21+Z21)/2</f>
        <v>18.053122358801595</v>
      </c>
      <c r="AB21" s="181"/>
      <c r="AC21" s="20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1"/>
      <c r="AR21" s="181"/>
      <c r="AS21" s="181"/>
      <c r="AT21" s="181"/>
      <c r="AU21" s="181"/>
      <c r="AV21" s="181"/>
      <c r="AW21" s="181"/>
      <c r="AX21" s="181"/>
      <c r="AY21" s="181"/>
      <c r="AZ21" s="181"/>
      <c r="BA21" s="181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</row>
    <row r="22" spans="2:82" ht="20.25" customHeight="1">
      <c r="B22" s="807" t="s">
        <v>144</v>
      </c>
      <c r="C22" s="808"/>
      <c r="D22" s="808"/>
      <c r="E22" s="808"/>
      <c r="F22" s="808"/>
      <c r="G22" s="808"/>
      <c r="H22" s="809"/>
      <c r="J22" s="805" t="s">
        <v>235</v>
      </c>
      <c r="K22" s="806"/>
      <c r="L22" s="408">
        <f>SUM(L17:L21)</f>
        <v>5725</v>
      </c>
      <c r="Q22" s="252"/>
      <c r="S22" s="181"/>
      <c r="T22" s="181"/>
      <c r="U22" s="213" t="s">
        <v>107</v>
      </c>
      <c r="V22" s="181">
        <f>V17/100</f>
        <v>57.21</v>
      </c>
      <c r="W22" s="202">
        <f>V21-V23</f>
        <v>187.60210559659544</v>
      </c>
      <c r="X22" s="181"/>
      <c r="Y22" s="203">
        <f>Y21+($Z$21-$Y$21)*data!O13/data!E13</f>
        <v>18.028460581747193</v>
      </c>
      <c r="Z22" s="203">
        <f>Z21-($Z$21-$Y$22)*data!O15/data!E13</f>
        <v>18.07598565971815</v>
      </c>
      <c r="AA22" s="203">
        <f>AA21+V18</f>
        <v>18.070001547946596</v>
      </c>
      <c r="AB22" s="181" t="s">
        <v>114</v>
      </c>
      <c r="AC22" s="201"/>
      <c r="AD22" s="181"/>
      <c r="AE22" s="181"/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1"/>
      <c r="AS22" s="181"/>
      <c r="AT22" s="181"/>
      <c r="AU22" s="181"/>
      <c r="AV22" s="181"/>
      <c r="AW22" s="181"/>
      <c r="AX22" s="181"/>
      <c r="AY22" s="181"/>
      <c r="AZ22" s="181"/>
      <c r="BA22" s="181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</row>
    <row r="23" spans="2:82" ht="20.25" customHeight="1">
      <c r="B23" s="810"/>
      <c r="C23" s="811"/>
      <c r="D23" s="811"/>
      <c r="E23" s="811"/>
      <c r="F23" s="811"/>
      <c r="G23" s="811"/>
      <c r="H23" s="812"/>
      <c r="J23" s="813" t="s">
        <v>200</v>
      </c>
      <c r="K23" s="814"/>
      <c r="L23" s="407">
        <f>calc!M25</f>
        <v>1.0229999999999999</v>
      </c>
      <c r="N23" s="271" t="s">
        <v>157</v>
      </c>
      <c r="O23" s="271" t="s">
        <v>161</v>
      </c>
      <c r="P23" s="271" t="s">
        <v>159</v>
      </c>
      <c r="Q23" s="287" t="s">
        <v>162</v>
      </c>
      <c r="S23" s="181"/>
      <c r="T23" s="181"/>
      <c r="U23" s="212"/>
      <c r="V23" s="181">
        <f>(Z15-Y15)*V22</f>
        <v>-171.05723065790011</v>
      </c>
      <c r="W23" s="215">
        <f>V17-W24</f>
        <v>1837</v>
      </c>
      <c r="X23" s="181" t="s">
        <v>102</v>
      </c>
      <c r="Y23" s="181"/>
      <c r="Z23" s="181"/>
      <c r="AA23" s="181"/>
      <c r="AB23" s="181"/>
      <c r="AC23" s="201"/>
      <c r="AD23" s="181"/>
      <c r="AE23" s="181"/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  <c r="AS23" s="181"/>
      <c r="AT23" s="181"/>
      <c r="AU23" s="181"/>
      <c r="AV23" s="181"/>
      <c r="AW23" s="181"/>
      <c r="AX23" s="181"/>
      <c r="AY23" s="181"/>
      <c r="AZ23" s="181"/>
      <c r="BA23" s="181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</row>
    <row r="24" spans="2:82" ht="20.25" customHeight="1">
      <c r="B24" s="265"/>
      <c r="H24" s="252"/>
      <c r="J24" s="795" t="s">
        <v>201</v>
      </c>
      <c r="K24" s="796"/>
      <c r="L24" s="796"/>
      <c r="M24" s="796"/>
      <c r="N24" s="409">
        <f>IF(AND(L17=0,L18=0,L19=0,L20=0,L21=0),IF(E9&gt;0,Y22,Y36),Y49)</f>
        <v>18.027797487046836</v>
      </c>
      <c r="O24" s="409">
        <f>IF(AND(L17=0,L18=0,L19=0,L20=0),IF(E9&gt;0,AA22,AA36),AA49)</f>
        <v>18.070128645005209</v>
      </c>
      <c r="P24" s="409">
        <f>IF(AND(L17=0,L18=0,L19=0,L20=0),IF(E9&gt;0,Z22,Z36),Z49)</f>
        <v>18.076845323287568</v>
      </c>
      <c r="Q24" s="410">
        <f>P24-N24</f>
        <v>4.9047836240731613E-2</v>
      </c>
      <c r="S24" s="181"/>
      <c r="T24" s="181"/>
      <c r="U24" s="212"/>
      <c r="V24" s="181">
        <f>(Z16-Y16)-(Z15-Y15)</f>
        <v>4.8297845888086552</v>
      </c>
      <c r="W24" s="215">
        <f>ROUND(W22/V24*100,0)</f>
        <v>3884</v>
      </c>
      <c r="X24" s="181" t="s">
        <v>103</v>
      </c>
      <c r="Y24" s="181"/>
      <c r="Z24" s="181"/>
      <c r="AA24" s="181"/>
      <c r="AB24" s="181"/>
      <c r="AC24" s="201"/>
      <c r="AD24" s="181"/>
      <c r="AE24" s="181"/>
      <c r="AF24" s="181"/>
      <c r="AG24" s="181"/>
      <c r="AH24" s="181"/>
      <c r="AI24" s="181"/>
      <c r="AJ24" s="181"/>
      <c r="AK24" s="181"/>
      <c r="AL24" s="181"/>
      <c r="AM24" s="181"/>
      <c r="AN24" s="181"/>
      <c r="AO24" s="181"/>
      <c r="AP24" s="181"/>
      <c r="AQ24" s="181"/>
      <c r="AR24" s="181"/>
      <c r="AS24" s="181"/>
      <c r="AT24" s="181"/>
      <c r="AU24" s="181"/>
      <c r="AV24" s="181"/>
      <c r="AW24" s="181"/>
      <c r="AX24" s="181"/>
      <c r="AY24" s="181"/>
      <c r="AZ24" s="181"/>
      <c r="BA24" s="181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</row>
    <row r="25" spans="2:82" ht="20.25" customHeight="1">
      <c r="B25" s="797" t="s">
        <v>234</v>
      </c>
      <c r="C25" s="798"/>
      <c r="D25" s="394">
        <v>247800</v>
      </c>
      <c r="F25" s="799" t="s">
        <v>147</v>
      </c>
      <c r="G25" s="799"/>
      <c r="H25" s="800"/>
      <c r="J25" s="265"/>
      <c r="Q25" s="252"/>
      <c r="S25" s="181"/>
      <c r="T25" s="181"/>
      <c r="U25" s="212"/>
      <c r="V25" s="181"/>
      <c r="W25" s="181"/>
      <c r="X25" s="181"/>
      <c r="Y25" s="181"/>
      <c r="Z25" s="181"/>
      <c r="AA25" s="181"/>
      <c r="AB25" s="181"/>
      <c r="AC25" s="201"/>
      <c r="AD25" s="181"/>
      <c r="AE25" s="181"/>
      <c r="AF25" s="181"/>
      <c r="AG25" s="181"/>
      <c r="AH25" s="181"/>
      <c r="AI25" s="181"/>
      <c r="AJ25" s="181"/>
      <c r="AK25" s="181"/>
      <c r="AL25" s="181"/>
      <c r="AM25" s="181"/>
      <c r="AN25" s="181"/>
      <c r="AO25" s="181"/>
      <c r="AP25" s="181"/>
      <c r="AQ25" s="181"/>
      <c r="AR25" s="181"/>
      <c r="AS25" s="181"/>
      <c r="AT25" s="181"/>
      <c r="AU25" s="181"/>
      <c r="AV25" s="181"/>
      <c r="AW25" s="181"/>
      <c r="AX25" s="181"/>
      <c r="AY25" s="181"/>
      <c r="AZ25" s="181"/>
      <c r="BA25" s="181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</row>
    <row r="26" spans="2:82" ht="20.25" customHeight="1">
      <c r="B26" s="797" t="s">
        <v>199</v>
      </c>
      <c r="C26" s="798"/>
      <c r="D26" s="266">
        <f>D25-calc!M36</f>
        <v>4849</v>
      </c>
      <c r="F26" s="799" t="s">
        <v>135</v>
      </c>
      <c r="G26" s="799"/>
      <c r="H26" s="800"/>
      <c r="J26" s="815" t="s">
        <v>202</v>
      </c>
      <c r="K26" s="816"/>
      <c r="L26" s="816"/>
      <c r="M26" s="400">
        <f>L6+SUM(L17:L21)</f>
        <v>248676</v>
      </c>
      <c r="Q26" s="252"/>
      <c r="S26" s="181"/>
      <c r="T26" s="181"/>
      <c r="U26" s="212"/>
      <c r="V26" s="181"/>
      <c r="W26" s="181"/>
      <c r="X26" s="181"/>
      <c r="Y26" s="181"/>
      <c r="Z26" s="181"/>
      <c r="AA26" s="181"/>
      <c r="AB26" s="181"/>
      <c r="AC26" s="201"/>
      <c r="AD26" s="181"/>
      <c r="AE26" s="181"/>
      <c r="AF26" s="181"/>
      <c r="AG26" s="181"/>
      <c r="AH26" s="181"/>
      <c r="AI26" s="181"/>
      <c r="AJ26" s="181"/>
      <c r="AK26" s="181"/>
      <c r="AL26" s="181"/>
      <c r="AM26" s="181"/>
      <c r="AN26" s="181"/>
      <c r="AO26" s="181"/>
      <c r="AP26" s="181"/>
      <c r="AQ26" s="181"/>
      <c r="AR26" s="181"/>
      <c r="AS26" s="181"/>
      <c r="AT26" s="181"/>
      <c r="AU26" s="181"/>
      <c r="AV26" s="181"/>
      <c r="AW26" s="181"/>
      <c r="AX26" s="181"/>
      <c r="AY26" s="181"/>
      <c r="AZ26" s="181"/>
      <c r="BA26" s="181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</row>
    <row r="27" spans="2:82" ht="20.25" customHeight="1">
      <c r="B27" s="265"/>
      <c r="E27" s="256" t="s">
        <v>22</v>
      </c>
      <c r="F27" s="256" t="s">
        <v>88</v>
      </c>
      <c r="G27" s="256" t="s">
        <v>136</v>
      </c>
      <c r="H27" s="267" t="s">
        <v>137</v>
      </c>
      <c r="J27" s="265"/>
      <c r="Q27" s="252"/>
      <c r="S27" s="181"/>
      <c r="T27" s="198"/>
      <c r="U27" s="212" t="s">
        <v>108</v>
      </c>
      <c r="V27" s="181"/>
      <c r="W27" s="181"/>
      <c r="X27" s="181"/>
      <c r="Y27" s="181"/>
      <c r="Z27" s="181"/>
      <c r="AA27" s="181"/>
      <c r="AB27" s="181"/>
      <c r="AC27" s="201"/>
      <c r="AD27" s="181"/>
      <c r="AE27" s="181"/>
      <c r="AF27" s="181"/>
      <c r="AG27" s="181"/>
      <c r="AH27" s="181"/>
      <c r="AI27" s="181"/>
      <c r="AJ27" s="181"/>
      <c r="AK27" s="181"/>
      <c r="AL27" s="181"/>
      <c r="AM27" s="181"/>
      <c r="AN27" s="181"/>
      <c r="AO27" s="181"/>
      <c r="AP27" s="181"/>
      <c r="AQ27" s="181"/>
      <c r="AR27" s="181"/>
      <c r="AS27" s="181"/>
      <c r="AT27" s="181"/>
      <c r="AU27" s="181"/>
      <c r="AV27" s="181"/>
      <c r="AW27" s="181"/>
      <c r="AX27" s="181"/>
      <c r="AY27" s="181"/>
      <c r="AZ27" s="181"/>
      <c r="BA27" s="181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</row>
    <row r="28" spans="2:82" ht="20.25" customHeight="1">
      <c r="B28" s="797" t="s">
        <v>198</v>
      </c>
      <c r="C28" s="798"/>
      <c r="D28" s="393">
        <v>1</v>
      </c>
      <c r="E28" s="30">
        <f>VLOOKUP(D28,P3:Q11,2)</f>
        <v>-121.07</v>
      </c>
      <c r="F28" s="268">
        <f>ROUND(W37,0)</f>
        <v>1505</v>
      </c>
      <c r="G28" s="269">
        <f>(F28*$L$8)+F28</f>
        <v>1733.3601219999096</v>
      </c>
      <c r="H28" s="270">
        <f>F28-(F28*$L$8)</f>
        <v>1276.6398780000904</v>
      </c>
      <c r="J28" s="795" t="s">
        <v>203</v>
      </c>
      <c r="K28" s="796"/>
      <c r="L28" s="401">
        <v>1.0229999999999999</v>
      </c>
      <c r="N28" s="271" t="s">
        <v>157</v>
      </c>
      <c r="O28" s="271" t="s">
        <v>161</v>
      </c>
      <c r="P28" s="271" t="s">
        <v>159</v>
      </c>
      <c r="Q28" s="287" t="s">
        <v>162</v>
      </c>
      <c r="S28" s="181"/>
      <c r="T28" s="181"/>
      <c r="U28" s="212" t="s">
        <v>109</v>
      </c>
      <c r="V28" s="202">
        <f>F3</f>
        <v>17.739784207945071</v>
      </c>
      <c r="W28" s="181"/>
      <c r="X28" s="181"/>
      <c r="Y28" s="214" t="s">
        <v>100</v>
      </c>
      <c r="Z28" s="214" t="s">
        <v>101</v>
      </c>
      <c r="AA28" s="214" t="s">
        <v>94</v>
      </c>
      <c r="AB28" s="181"/>
      <c r="AC28" s="201"/>
      <c r="AD28" s="181"/>
      <c r="AE28" s="181"/>
      <c r="AF28" s="181"/>
      <c r="AG28" s="181"/>
      <c r="AH28" s="181"/>
      <c r="AI28" s="181"/>
      <c r="AJ28" s="181"/>
      <c r="AK28" s="181"/>
      <c r="AL28" s="181"/>
      <c r="AM28" s="181"/>
      <c r="AN28" s="181"/>
      <c r="AO28" s="181"/>
      <c r="AP28" s="181"/>
      <c r="AQ28" s="181"/>
      <c r="AR28" s="181"/>
      <c r="AS28" s="181"/>
      <c r="AT28" s="181"/>
      <c r="AU28" s="181"/>
      <c r="AV28" s="181"/>
      <c r="AW28" s="181"/>
      <c r="AX28" s="181"/>
      <c r="AY28" s="181"/>
      <c r="AZ28" s="181"/>
      <c r="BA28" s="181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</row>
    <row r="29" spans="2:82" ht="20.25" customHeight="1" thickBot="1">
      <c r="B29" s="265"/>
      <c r="D29" s="393">
        <v>8</v>
      </c>
      <c r="E29" s="30">
        <f>VLOOKUP(D29,P3:Q11,2)</f>
        <v>74.45</v>
      </c>
      <c r="F29" s="268">
        <f>ROUND(W38,0)</f>
        <v>3344</v>
      </c>
      <c r="G29" s="269">
        <f>(F29*$L$8)+F29</f>
        <v>3851.3995003107621</v>
      </c>
      <c r="H29" s="270">
        <f>F29-(F29*$L$8)</f>
        <v>2836.6004996892379</v>
      </c>
      <c r="J29" s="793" t="s">
        <v>209</v>
      </c>
      <c r="K29" s="794"/>
      <c r="L29" s="794"/>
      <c r="M29" s="794"/>
      <c r="N29" s="411">
        <f>W54</f>
        <v>18.024069449458029</v>
      </c>
      <c r="O29" s="411">
        <f>X54</f>
        <v>18.060608150056382</v>
      </c>
      <c r="P29" s="411">
        <f>Y54</f>
        <v>18.061532370978721</v>
      </c>
      <c r="Q29" s="412">
        <f>Z54</f>
        <v>3.7462921520692305E-2</v>
      </c>
      <c r="S29" s="181"/>
      <c r="T29" s="181"/>
      <c r="U29" s="212" t="s">
        <v>110</v>
      </c>
      <c r="V29" s="202">
        <f>V28+D26/V31/100</f>
        <v>18.020120009245929</v>
      </c>
      <c r="W29" s="181"/>
      <c r="X29" s="181"/>
      <c r="Y29" s="202">
        <f>(1/X11+(data!E13/2+Y11)*((Y11-E28)/(Z11*data!E13)))*100</f>
        <v>2.0721086367635921</v>
      </c>
      <c r="Z29" s="202">
        <f>(1/X11-(data!E13/2-Y11)*((Y11-E28)/(Z11*data!E13)))*100</f>
        <v>-0.91881819592488057</v>
      </c>
      <c r="AA29" s="181"/>
      <c r="AB29" s="181" t="s">
        <v>112</v>
      </c>
      <c r="AC29" s="201"/>
      <c r="AD29" s="181"/>
      <c r="AE29" s="181"/>
      <c r="AF29" s="181"/>
      <c r="AG29" s="181"/>
      <c r="AH29" s="181"/>
      <c r="AI29" s="181"/>
      <c r="AJ29" s="181"/>
      <c r="AK29" s="181"/>
      <c r="AL29" s="181"/>
      <c r="AM29" s="181"/>
      <c r="AN29" s="181"/>
      <c r="AO29" s="181"/>
      <c r="AP29" s="181"/>
      <c r="AQ29" s="181"/>
      <c r="AR29" s="181"/>
      <c r="AS29" s="181"/>
      <c r="AT29" s="181"/>
      <c r="AU29" s="181"/>
      <c r="AV29" s="181"/>
      <c r="AW29" s="181"/>
      <c r="AX29" s="181"/>
      <c r="AY29" s="181"/>
      <c r="AZ29" s="181"/>
      <c r="BA29" s="181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</row>
    <row r="30" spans="2:82" ht="20.25" customHeight="1">
      <c r="B30" s="265"/>
      <c r="H30" s="252"/>
      <c r="Q30" s="252"/>
      <c r="S30" s="181"/>
      <c r="T30" s="181"/>
      <c r="U30" s="212" t="s">
        <v>111</v>
      </c>
      <c r="V30" s="202">
        <f>(V28+V29)/2</f>
        <v>17.8799521085955</v>
      </c>
      <c r="W30" s="181"/>
      <c r="X30" s="181"/>
      <c r="Y30" s="202">
        <f>(1/X11+(data!E13/2+Y11)*((Y11-E29)/(Z11*data!E13)))*100</f>
        <v>-0.34324021027675666</v>
      </c>
      <c r="Z30" s="202">
        <f>(1/X11-(data!E13/2-Y11)*((Y11-E29)/(Z11*data!E13)))*100</f>
        <v>1.49821859164552</v>
      </c>
      <c r="AA30" s="181"/>
      <c r="AB30" s="181" t="s">
        <v>113</v>
      </c>
      <c r="AC30" s="201"/>
      <c r="AD30" s="181"/>
      <c r="AE30" s="181"/>
      <c r="AF30" s="181"/>
      <c r="AG30" s="181"/>
      <c r="AH30" s="181"/>
      <c r="AI30" s="181"/>
      <c r="AJ30" s="181"/>
      <c r="AK30" s="181"/>
      <c r="AL30" s="181"/>
      <c r="AM30" s="181"/>
      <c r="AN30" s="181"/>
      <c r="AO30" s="181"/>
      <c r="AP30" s="181"/>
      <c r="AQ30" s="181"/>
      <c r="AR30" s="181"/>
      <c r="AS30" s="181"/>
      <c r="AT30" s="181"/>
      <c r="AU30" s="181"/>
      <c r="AV30" s="181"/>
      <c r="AW30" s="181"/>
      <c r="AX30" s="181"/>
      <c r="AY30" s="181"/>
      <c r="AZ30" s="181"/>
      <c r="BA30" s="181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</row>
    <row r="31" spans="2:82" ht="20.25" customHeight="1">
      <c r="B31" s="265"/>
      <c r="D31" s="271" t="s">
        <v>157</v>
      </c>
      <c r="E31" s="271" t="s">
        <v>161</v>
      </c>
      <c r="F31" s="271" t="s">
        <v>159</v>
      </c>
      <c r="G31" s="271" t="s">
        <v>162</v>
      </c>
      <c r="H31" s="252"/>
      <c r="Q31" s="252"/>
      <c r="S31" s="181"/>
      <c r="T31" s="181"/>
      <c r="U31" s="212" t="s">
        <v>27</v>
      </c>
      <c r="V31" s="202">
        <f>calc!E49</f>
        <v>172.97112882118208</v>
      </c>
      <c r="W31" s="181"/>
      <c r="X31" s="181"/>
      <c r="Y31" s="203">
        <f>E3</f>
        <v>17.780629393493545</v>
      </c>
      <c r="Z31" s="203">
        <f>G3</f>
        <v>17.665180644106592</v>
      </c>
      <c r="AA31" s="203">
        <f>(Y31+Z31)/2</f>
        <v>17.72290501880007</v>
      </c>
      <c r="AB31" s="181"/>
      <c r="AC31" s="201"/>
      <c r="AD31" s="181"/>
      <c r="AE31" s="181"/>
      <c r="AF31" s="181"/>
      <c r="AG31" s="181"/>
      <c r="AH31" s="181"/>
      <c r="AI31" s="181"/>
      <c r="AJ31" s="181"/>
      <c r="AK31" s="181"/>
      <c r="AL31" s="181"/>
      <c r="AM31" s="181"/>
      <c r="AN31" s="181"/>
      <c r="AO31" s="181"/>
      <c r="AP31" s="181"/>
      <c r="AQ31" s="181"/>
      <c r="AR31" s="181"/>
      <c r="AS31" s="181"/>
      <c r="AT31" s="181"/>
      <c r="AU31" s="181"/>
      <c r="AV31" s="181"/>
      <c r="AW31" s="181"/>
      <c r="AX31" s="181"/>
      <c r="AY31" s="181"/>
      <c r="AZ31" s="181"/>
      <c r="BA31" s="181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</row>
    <row r="32" spans="2:82" ht="20.25" customHeight="1">
      <c r="B32" s="265"/>
      <c r="D32" s="409">
        <f>Y36</f>
        <v>17.978075060475781</v>
      </c>
      <c r="E32" s="409">
        <f>AA36</f>
        <v>18.019681663950998</v>
      </c>
      <c r="F32" s="409">
        <f>Z36</f>
        <v>18.025726626357322</v>
      </c>
      <c r="G32" s="409">
        <f>F32-D32</f>
        <v>4.7651565881540847E-2</v>
      </c>
      <c r="H32" s="252"/>
      <c r="Q32" s="252"/>
      <c r="S32" s="181"/>
      <c r="T32" s="181"/>
      <c r="U32" s="212" t="s">
        <v>87</v>
      </c>
      <c r="V32" s="216">
        <f>D26</f>
        <v>4849</v>
      </c>
      <c r="W32" s="181"/>
      <c r="X32" s="181"/>
      <c r="Y32" s="202">
        <f>W38*Y30/10000</f>
        <v>-0.11476527888928635</v>
      </c>
      <c r="Z32" s="202">
        <f>W38*Z30/10000</f>
        <v>0.50094210806091999</v>
      </c>
      <c r="AA32" s="181"/>
      <c r="AB32" s="181" t="str">
        <f>CONCATENATE("load in hatch # ",D29)</f>
        <v>load in hatch # 8</v>
      </c>
      <c r="AC32" s="201"/>
      <c r="AD32" s="181"/>
      <c r="AE32" s="181"/>
      <c r="AF32" s="181"/>
      <c r="AG32" s="181"/>
      <c r="AH32" s="181"/>
      <c r="AI32" s="181"/>
      <c r="AJ32" s="181"/>
      <c r="AK32" s="181"/>
      <c r="AL32" s="181"/>
      <c r="AM32" s="181"/>
      <c r="AN32" s="181"/>
      <c r="AO32" s="181"/>
      <c r="AP32" s="181"/>
      <c r="AQ32" s="181"/>
      <c r="AR32" s="181"/>
      <c r="AS32" s="181"/>
      <c r="AT32" s="181"/>
      <c r="AU32" s="181"/>
      <c r="AV32" s="181"/>
      <c r="AW32" s="181"/>
      <c r="AX32" s="181"/>
      <c r="AY32" s="181"/>
      <c r="AZ32" s="181"/>
      <c r="BA32" s="181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</row>
    <row r="33" spans="2:82" ht="20.25" customHeight="1">
      <c r="B33" s="265"/>
      <c r="H33" s="252"/>
      <c r="Q33" s="252"/>
      <c r="S33" s="181"/>
      <c r="T33" s="181"/>
      <c r="U33" s="213" t="s">
        <v>104</v>
      </c>
      <c r="V33" s="202">
        <f>(G3-E3)*100</f>
        <v>-11.544874938695315</v>
      </c>
      <c r="W33" s="181"/>
      <c r="X33" s="181"/>
      <c r="Y33" s="203">
        <f>Y31+Y32</f>
        <v>17.665864114604258</v>
      </c>
      <c r="Z33" s="203">
        <f>Z31+Z32</f>
        <v>18.16612275216751</v>
      </c>
      <c r="AA33" s="203">
        <f>(Y33+Z33)/2</f>
        <v>17.915993433385886</v>
      </c>
      <c r="AB33" s="181"/>
      <c r="AC33" s="201"/>
      <c r="AD33" s="181"/>
      <c r="AE33" s="181"/>
      <c r="AF33" s="181"/>
      <c r="AG33" s="181"/>
      <c r="AH33" s="181"/>
      <c r="AI33" s="181"/>
      <c r="AJ33" s="181"/>
      <c r="AK33" s="181"/>
      <c r="AL33" s="181"/>
      <c r="AM33" s="181"/>
      <c r="AN33" s="181"/>
      <c r="AO33" s="181"/>
      <c r="AP33" s="181"/>
      <c r="AQ33" s="181"/>
      <c r="AR33" s="181"/>
      <c r="AS33" s="181"/>
      <c r="AT33" s="181"/>
      <c r="AU33" s="181"/>
      <c r="AV33" s="181"/>
      <c r="AW33" s="181"/>
      <c r="AX33" s="181"/>
      <c r="AY33" s="181"/>
      <c r="AZ33" s="181"/>
      <c r="BA33" s="181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</row>
    <row r="34" spans="2:82" ht="20.25" customHeight="1" thickBot="1">
      <c r="B34" s="264"/>
      <c r="C34" s="253"/>
      <c r="D34" s="253"/>
      <c r="E34" s="253"/>
      <c r="F34" s="253"/>
      <c r="G34" s="253"/>
      <c r="H34" s="254"/>
      <c r="Q34" s="252"/>
      <c r="S34" s="181"/>
      <c r="T34" s="181"/>
      <c r="U34" s="213" t="s">
        <v>105</v>
      </c>
      <c r="V34" s="202">
        <f>E7</f>
        <v>5</v>
      </c>
      <c r="W34" s="181"/>
      <c r="X34" s="181"/>
      <c r="Y34" s="202">
        <f>W37*Y29/10000</f>
        <v>0.31193836020173937</v>
      </c>
      <c r="Z34" s="202">
        <f>W37*Z29/10000</f>
        <v>-0.13832027736151351</v>
      </c>
      <c r="AA34" s="181"/>
      <c r="AB34" s="181" t="str">
        <f>CONCATENATE("load in hatch # ",D28)</f>
        <v>load in hatch # 1</v>
      </c>
      <c r="AC34" s="201"/>
      <c r="AD34" s="181"/>
      <c r="AE34" s="181"/>
      <c r="AF34" s="181"/>
      <c r="AG34" s="181"/>
      <c r="AH34" s="181"/>
      <c r="AI34" s="181"/>
      <c r="AJ34" s="181"/>
      <c r="AK34" s="181"/>
      <c r="AL34" s="181"/>
      <c r="AM34" s="181"/>
      <c r="AN34" s="181"/>
      <c r="AO34" s="181"/>
      <c r="AP34" s="181"/>
      <c r="AQ34" s="181"/>
      <c r="AR34" s="181"/>
      <c r="AS34" s="181"/>
      <c r="AT34" s="181"/>
      <c r="AU34" s="181"/>
      <c r="AV34" s="181"/>
      <c r="AW34" s="181"/>
      <c r="AX34" s="181"/>
      <c r="AY34" s="181"/>
      <c r="AZ34" s="181"/>
      <c r="BA34" s="181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</row>
    <row r="35" spans="2:82" ht="20.25" customHeight="1">
      <c r="B35" s="807" t="s">
        <v>146</v>
      </c>
      <c r="C35" s="808"/>
      <c r="D35" s="808"/>
      <c r="E35" s="808"/>
      <c r="F35" s="808"/>
      <c r="G35" s="808"/>
      <c r="H35" s="808"/>
      <c r="I35" s="808"/>
      <c r="J35" s="808"/>
      <c r="K35" s="808"/>
      <c r="L35" s="808"/>
      <c r="M35" s="808"/>
      <c r="N35" s="808"/>
      <c r="O35" s="808"/>
      <c r="P35" s="809"/>
      <c r="Q35" s="252"/>
      <c r="S35" s="181"/>
      <c r="T35" s="181"/>
      <c r="U35" s="213" t="s">
        <v>106</v>
      </c>
      <c r="V35" s="202">
        <f>V34-V33</f>
        <v>16.544874938695315</v>
      </c>
      <c r="W35" s="181"/>
      <c r="X35" s="181"/>
      <c r="Y35" s="203">
        <f>Y33+Y34</f>
        <v>17.977802474805998</v>
      </c>
      <c r="Z35" s="203">
        <f>Z33+Z34</f>
        <v>18.027802474805998</v>
      </c>
      <c r="AA35" s="203">
        <f>(Y35+Z35)/2</f>
        <v>18.002802474805996</v>
      </c>
      <c r="AB35" s="181"/>
      <c r="AC35" s="201"/>
      <c r="AD35" s="181"/>
      <c r="AE35" s="181"/>
      <c r="AF35" s="181"/>
      <c r="AG35" s="181"/>
      <c r="AH35" s="181"/>
      <c r="AI35" s="181"/>
      <c r="AJ35" s="181"/>
      <c r="AK35" s="181"/>
      <c r="AL35" s="181"/>
      <c r="AM35" s="181"/>
      <c r="AN35" s="181"/>
      <c r="AO35" s="181"/>
      <c r="AP35" s="181"/>
      <c r="AQ35" s="181"/>
      <c r="AR35" s="181"/>
      <c r="AS35" s="181"/>
      <c r="AT35" s="181"/>
      <c r="AU35" s="181"/>
      <c r="AV35" s="181"/>
      <c r="AW35" s="181"/>
      <c r="AX35" s="181"/>
      <c r="AY35" s="181"/>
      <c r="AZ35" s="181"/>
      <c r="BA35" s="181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</row>
    <row r="36" spans="2:82" ht="20.25" customHeight="1">
      <c r="B36" s="810"/>
      <c r="C36" s="811"/>
      <c r="D36" s="811"/>
      <c r="E36" s="811"/>
      <c r="F36" s="811"/>
      <c r="G36" s="811"/>
      <c r="H36" s="811"/>
      <c r="I36" s="811"/>
      <c r="J36" s="811"/>
      <c r="K36" s="811"/>
      <c r="L36" s="811"/>
      <c r="M36" s="811"/>
      <c r="N36" s="811"/>
      <c r="O36" s="811"/>
      <c r="P36" s="812"/>
      <c r="Q36" s="252"/>
      <c r="S36" s="181"/>
      <c r="T36" s="181"/>
      <c r="U36" s="213" t="s">
        <v>107</v>
      </c>
      <c r="V36" s="181">
        <f>V32/100</f>
        <v>48.49</v>
      </c>
      <c r="W36" s="202">
        <f>V35-V37</f>
        <v>161.57491705575939</v>
      </c>
      <c r="X36" s="181"/>
      <c r="Y36" s="203">
        <f>Y35+($Z$35-$Y$35)*data!$O$13/data!$E$13</f>
        <v>17.978075060475781</v>
      </c>
      <c r="Z36" s="203">
        <f>Z35-(Z35-Y36)*data!$O$15/data!$E$13</f>
        <v>18.025726626357322</v>
      </c>
      <c r="AA36" s="203">
        <f>AA35+V18</f>
        <v>18.019681663950998</v>
      </c>
      <c r="AB36" s="181" t="s">
        <v>114</v>
      </c>
      <c r="AC36" s="201"/>
      <c r="AD36" s="181"/>
      <c r="AE36" s="181"/>
      <c r="AF36" s="181"/>
      <c r="AG36" s="181"/>
      <c r="AH36" s="181"/>
      <c r="AI36" s="181"/>
      <c r="AJ36" s="181"/>
      <c r="AK36" s="181"/>
      <c r="AL36" s="181"/>
      <c r="AM36" s="181"/>
      <c r="AN36" s="181"/>
      <c r="AO36" s="181"/>
      <c r="AP36" s="181"/>
      <c r="AQ36" s="181"/>
      <c r="AR36" s="181"/>
      <c r="AS36" s="181"/>
      <c r="AT36" s="181"/>
      <c r="AU36" s="181"/>
      <c r="AV36" s="181"/>
      <c r="AW36" s="181"/>
      <c r="AX36" s="181"/>
      <c r="AY36" s="181"/>
      <c r="AZ36" s="181"/>
      <c r="BA36" s="181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</row>
    <row r="37" spans="2:82" ht="20.25" customHeight="1" thickBot="1">
      <c r="B37" s="810"/>
      <c r="C37" s="811"/>
      <c r="D37" s="811"/>
      <c r="E37" s="811"/>
      <c r="F37" s="811"/>
      <c r="G37" s="811"/>
      <c r="H37" s="811"/>
      <c r="I37" s="811"/>
      <c r="J37" s="811"/>
      <c r="K37" s="811"/>
      <c r="L37" s="811"/>
      <c r="M37" s="811"/>
      <c r="N37" s="811"/>
      <c r="O37" s="811"/>
      <c r="P37" s="812"/>
      <c r="Q37" s="252"/>
      <c r="S37" s="181"/>
      <c r="T37" s="181"/>
      <c r="U37" s="212"/>
      <c r="V37" s="181">
        <f>(Z29-Y29)*V36</f>
        <v>-145.03004211706406</v>
      </c>
      <c r="W37" s="215">
        <f>V32-W38</f>
        <v>1505.415086194289</v>
      </c>
      <c r="X37" s="181" t="s">
        <v>102</v>
      </c>
      <c r="Y37" s="181"/>
      <c r="Z37" s="181"/>
      <c r="AA37" s="181"/>
      <c r="AB37" s="181"/>
      <c r="AC37" s="201"/>
      <c r="AD37" s="181"/>
      <c r="AE37" s="181"/>
      <c r="AF37" s="181"/>
      <c r="AG37" s="181"/>
      <c r="AH37" s="181"/>
      <c r="AI37" s="181"/>
      <c r="AJ37" s="181"/>
      <c r="AK37" s="181"/>
      <c r="AL37" s="181"/>
      <c r="AM37" s="181"/>
      <c r="AN37" s="181"/>
      <c r="AO37" s="181"/>
      <c r="AP37" s="181"/>
      <c r="AQ37" s="181"/>
      <c r="AR37" s="181"/>
      <c r="AS37" s="181"/>
      <c r="AT37" s="181"/>
      <c r="AU37" s="181"/>
      <c r="AV37" s="181"/>
      <c r="AW37" s="181"/>
      <c r="AX37" s="181"/>
      <c r="AY37" s="181"/>
      <c r="AZ37" s="181"/>
      <c r="BA37" s="181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</row>
    <row r="38" spans="2:82" ht="20.25" customHeight="1">
      <c r="B38" s="834" t="s">
        <v>23</v>
      </c>
      <c r="C38" s="835"/>
      <c r="D38" s="835" t="s">
        <v>22</v>
      </c>
      <c r="E38" s="835"/>
      <c r="F38" s="821" t="s">
        <v>204</v>
      </c>
      <c r="G38" s="821"/>
      <c r="H38" s="821" t="s">
        <v>205</v>
      </c>
      <c r="I38" s="853"/>
      <c r="J38" s="258"/>
      <c r="K38" s="257" t="s">
        <v>206</v>
      </c>
      <c r="L38" s="259" t="s">
        <v>207</v>
      </c>
      <c r="M38" s="843" t="s">
        <v>252</v>
      </c>
      <c r="N38" s="844"/>
      <c r="O38" s="844" t="s">
        <v>253</v>
      </c>
      <c r="P38" s="845"/>
      <c r="Q38" s="252"/>
      <c r="S38" s="181"/>
      <c r="T38" s="181"/>
      <c r="U38" s="212"/>
      <c r="V38" s="181">
        <f>(Z30-Y30)-(Z29-Y29)</f>
        <v>4.8323856346107492</v>
      </c>
      <c r="W38" s="215">
        <f>W36/V38*100</f>
        <v>3343.584913805711</v>
      </c>
      <c r="X38" s="181" t="s">
        <v>103</v>
      </c>
      <c r="Y38" s="181"/>
      <c r="Z38" s="181"/>
      <c r="AA38" s="181"/>
      <c r="AB38" s="181"/>
      <c r="AC38" s="201"/>
      <c r="AD38" s="181"/>
      <c r="AE38" s="181"/>
      <c r="AF38" s="181"/>
      <c r="AG38" s="181"/>
      <c r="AH38" s="181"/>
      <c r="AI38" s="181"/>
      <c r="AJ38" s="181"/>
      <c r="AK38" s="181"/>
      <c r="AL38" s="181"/>
      <c r="AM38" s="181"/>
      <c r="AN38" s="181"/>
      <c r="AO38" s="181"/>
      <c r="AP38" s="181"/>
      <c r="AQ38" s="181"/>
      <c r="AR38" s="181"/>
      <c r="AS38" s="181"/>
      <c r="AT38" s="181"/>
      <c r="AU38" s="181"/>
      <c r="AV38" s="181"/>
      <c r="AW38" s="181"/>
      <c r="AX38" s="181"/>
      <c r="AY38" s="181"/>
      <c r="AZ38" s="181"/>
      <c r="BA38" s="181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</row>
    <row r="39" spans="2:82" ht="20.25" customHeight="1">
      <c r="B39" s="825" t="str">
        <f>data!H7</f>
        <v>1 FOT PORT</v>
      </c>
      <c r="C39" s="826"/>
      <c r="D39" s="822">
        <f>data!J7</f>
        <v>106.32</v>
      </c>
      <c r="E39" s="822"/>
      <c r="F39" s="819">
        <v>321</v>
      </c>
      <c r="G39" s="819"/>
      <c r="H39" s="819">
        <v>1</v>
      </c>
      <c r="I39" s="820"/>
      <c r="J39" s="260" t="s">
        <v>233</v>
      </c>
      <c r="K39" s="395">
        <f>SUM(F39:G46)-F41</f>
        <v>1028</v>
      </c>
      <c r="L39" s="397">
        <f>SUM(H39:I46)-H41</f>
        <v>598</v>
      </c>
      <c r="M39" s="841">
        <f>L39-K39</f>
        <v>-430</v>
      </c>
      <c r="N39" s="842"/>
      <c r="O39" s="798" t="s">
        <v>254</v>
      </c>
      <c r="P39" s="846"/>
      <c r="Q39" s="252"/>
      <c r="S39" s="181"/>
      <c r="T39" s="181"/>
      <c r="U39" s="212"/>
      <c r="V39" s="181"/>
      <c r="W39" s="181"/>
      <c r="X39" s="181"/>
      <c r="Y39" s="181"/>
      <c r="Z39" s="181"/>
      <c r="AA39" s="181"/>
      <c r="AB39" s="181"/>
      <c r="AC39" s="201"/>
      <c r="AD39" s="181"/>
      <c r="AE39" s="181"/>
      <c r="AF39" s="181"/>
      <c r="AG39" s="181"/>
      <c r="AH39" s="181"/>
      <c r="AI39" s="181"/>
      <c r="AJ39" s="181"/>
      <c r="AK39" s="181"/>
      <c r="AL39" s="181"/>
      <c r="AM39" s="181"/>
      <c r="AN39" s="181"/>
      <c r="AO39" s="181"/>
      <c r="AP39" s="181"/>
      <c r="AQ39" s="181"/>
      <c r="AR39" s="181"/>
      <c r="AS39" s="181"/>
      <c r="AT39" s="181"/>
      <c r="AU39" s="181"/>
      <c r="AV39" s="181"/>
      <c r="AW39" s="181"/>
      <c r="AX39" s="181"/>
      <c r="AY39" s="181"/>
      <c r="AZ39" s="181"/>
      <c r="BA39" s="181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</row>
    <row r="40" spans="2:82" ht="20.25" customHeight="1">
      <c r="B40" s="825" t="str">
        <f>data!H8</f>
        <v>1 FOT STBD</v>
      </c>
      <c r="C40" s="826"/>
      <c r="D40" s="822">
        <f>data!J8</f>
        <v>106.32</v>
      </c>
      <c r="E40" s="822"/>
      <c r="F40" s="819">
        <v>626</v>
      </c>
      <c r="G40" s="819"/>
      <c r="H40" s="819">
        <v>516</v>
      </c>
      <c r="I40" s="820"/>
      <c r="J40" s="260"/>
      <c r="K40" s="396"/>
      <c r="L40" s="398"/>
      <c r="M40" s="841"/>
      <c r="N40" s="842"/>
      <c r="O40" s="798"/>
      <c r="P40" s="846"/>
      <c r="Q40" s="252"/>
      <c r="S40" s="181"/>
      <c r="T40" s="198"/>
      <c r="U40" s="228" t="s">
        <v>115</v>
      </c>
      <c r="V40" s="181"/>
      <c r="W40" s="181"/>
      <c r="X40" s="181"/>
      <c r="Y40" s="181"/>
      <c r="Z40" s="181"/>
      <c r="AA40" s="181"/>
      <c r="AB40" s="181"/>
      <c r="AC40" s="201"/>
      <c r="AD40" s="181"/>
      <c r="AE40" s="181"/>
      <c r="AF40" s="181"/>
      <c r="AG40" s="181"/>
      <c r="AH40" s="181"/>
      <c r="AI40" s="181"/>
      <c r="AJ40" s="181"/>
      <c r="AK40" s="181"/>
      <c r="AL40" s="181"/>
      <c r="AM40" s="181"/>
      <c r="AN40" s="181"/>
      <c r="AO40" s="181"/>
      <c r="AP40" s="181"/>
      <c r="AQ40" s="181"/>
      <c r="AR40" s="181"/>
      <c r="AS40" s="181"/>
      <c r="AT40" s="181"/>
      <c r="AU40" s="181"/>
      <c r="AV40" s="181"/>
      <c r="AW40" s="181"/>
      <c r="AX40" s="181"/>
      <c r="AY40" s="181"/>
      <c r="AZ40" s="181"/>
      <c r="BA40" s="181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</row>
    <row r="41" spans="2:82" ht="20.25" customHeight="1">
      <c r="B41" s="825" t="str">
        <f>data!H9</f>
        <v xml:space="preserve">2 FOT PORT </v>
      </c>
      <c r="C41" s="826"/>
      <c r="D41" s="822">
        <f>data!J9</f>
        <v>128.36000000000001</v>
      </c>
      <c r="E41" s="822"/>
      <c r="F41" s="819">
        <v>143</v>
      </c>
      <c r="G41" s="819"/>
      <c r="H41" s="819">
        <v>143</v>
      </c>
      <c r="I41" s="820"/>
      <c r="J41" s="260" t="s">
        <v>232</v>
      </c>
      <c r="K41" s="395">
        <f>SUM(F49:G50)</f>
        <v>190</v>
      </c>
      <c r="L41" s="397">
        <f>SUM(H49:I50)</f>
        <v>280</v>
      </c>
      <c r="M41" s="841">
        <f>L41-K41</f>
        <v>90</v>
      </c>
      <c r="N41" s="842"/>
      <c r="O41" s="847" t="s">
        <v>303</v>
      </c>
      <c r="P41" s="848"/>
      <c r="Q41" s="252"/>
      <c r="S41" s="181"/>
      <c r="T41" s="181"/>
      <c r="U41" s="212" t="s">
        <v>109</v>
      </c>
      <c r="V41" s="202">
        <f>F3</f>
        <v>17.739784207945071</v>
      </c>
      <c r="W41" s="181"/>
      <c r="X41" s="181"/>
      <c r="Y41" s="214" t="s">
        <v>100</v>
      </c>
      <c r="Z41" s="214" t="s">
        <v>101</v>
      </c>
      <c r="AA41" s="214" t="s">
        <v>94</v>
      </c>
      <c r="AB41" s="181"/>
      <c r="AC41" s="201"/>
      <c r="AD41" s="181"/>
      <c r="AE41" s="181"/>
      <c r="AF41" s="181"/>
      <c r="AG41" s="181"/>
      <c r="AH41" s="181"/>
      <c r="AI41" s="181"/>
      <c r="AJ41" s="181"/>
      <c r="AK41" s="181"/>
      <c r="AL41" s="181"/>
      <c r="AM41" s="181"/>
      <c r="AN41" s="181"/>
      <c r="AO41" s="181"/>
      <c r="AP41" s="181"/>
      <c r="AQ41" s="181"/>
      <c r="AR41" s="181"/>
      <c r="AS41" s="181"/>
      <c r="AT41" s="181"/>
      <c r="AU41" s="181"/>
      <c r="AV41" s="181"/>
      <c r="AW41" s="181"/>
      <c r="AX41" s="181"/>
      <c r="AY41" s="181"/>
      <c r="AZ41" s="181"/>
      <c r="BA41" s="181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</row>
    <row r="42" spans="2:82" ht="20.25" customHeight="1">
      <c r="B42" s="825" t="str">
        <f>data!H10</f>
        <v>2 FOT STBD</v>
      </c>
      <c r="C42" s="826"/>
      <c r="D42" s="822">
        <f>data!J10</f>
        <v>126.76</v>
      </c>
      <c r="E42" s="822"/>
      <c r="F42" s="819">
        <v>1</v>
      </c>
      <c r="G42" s="819"/>
      <c r="H42" s="819">
        <v>1</v>
      </c>
      <c r="I42" s="820"/>
      <c r="J42" s="260"/>
      <c r="K42" s="395"/>
      <c r="L42" s="397"/>
      <c r="M42" s="841"/>
      <c r="N42" s="842"/>
      <c r="O42" s="847"/>
      <c r="P42" s="848"/>
      <c r="Q42" s="252"/>
      <c r="S42" s="181"/>
      <c r="T42" s="181"/>
      <c r="U42" s="212" t="s">
        <v>110</v>
      </c>
      <c r="V42" s="202">
        <f>V41+L15/V44/100</f>
        <v>18.070533046724655</v>
      </c>
      <c r="W42" s="181"/>
      <c r="X42" s="181"/>
      <c r="Y42" s="203">
        <f>E3</f>
        <v>17.780629393493545</v>
      </c>
      <c r="Z42" s="203">
        <f>G3</f>
        <v>17.665180644106592</v>
      </c>
      <c r="AA42" s="203">
        <f>(Y42+Z42)/2</f>
        <v>17.72290501880007</v>
      </c>
      <c r="AB42" s="181"/>
      <c r="AC42" s="201"/>
      <c r="AD42" s="181"/>
      <c r="AE42" s="181"/>
      <c r="AF42" s="181"/>
      <c r="AG42" s="181"/>
      <c r="AH42" s="181"/>
      <c r="AI42" s="181"/>
      <c r="AJ42" s="181"/>
      <c r="AK42" s="181"/>
      <c r="AL42" s="181"/>
      <c r="AM42" s="181"/>
      <c r="AN42" s="181"/>
      <c r="AO42" s="181"/>
      <c r="AP42" s="181"/>
      <c r="AQ42" s="181"/>
      <c r="AR42" s="181"/>
      <c r="AS42" s="181"/>
      <c r="AT42" s="181"/>
      <c r="AU42" s="181"/>
      <c r="AV42" s="181"/>
      <c r="AW42" s="181"/>
      <c r="AX42" s="181"/>
      <c r="AY42" s="181"/>
      <c r="AZ42" s="181"/>
      <c r="BA42" s="181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</row>
    <row r="43" spans="2:82" ht="20.25" customHeight="1">
      <c r="B43" s="825" t="str">
        <f>data!H11</f>
        <v>1 FO SETT (S)</v>
      </c>
      <c r="C43" s="826"/>
      <c r="D43" s="822">
        <f>data!J11</f>
        <v>119.1</v>
      </c>
      <c r="E43" s="822"/>
      <c r="F43" s="819">
        <v>35</v>
      </c>
      <c r="G43" s="819"/>
      <c r="H43" s="823">
        <v>35</v>
      </c>
      <c r="I43" s="824"/>
      <c r="J43" s="260" t="s">
        <v>231</v>
      </c>
      <c r="K43" s="395">
        <f>SUM(F47:G48)+F41</f>
        <v>145</v>
      </c>
      <c r="L43" s="397">
        <f>SUM(H47:I48)+H41</f>
        <v>145</v>
      </c>
      <c r="M43" s="841">
        <f>L43-K43</f>
        <v>0</v>
      </c>
      <c r="N43" s="842"/>
      <c r="O43" s="798" t="s">
        <v>254</v>
      </c>
      <c r="P43" s="846"/>
      <c r="Q43" s="252"/>
      <c r="S43" s="181"/>
      <c r="T43" s="181"/>
      <c r="U43" s="212" t="s">
        <v>111</v>
      </c>
      <c r="V43" s="202">
        <f>(V41+V42)/2</f>
        <v>17.905158627334863</v>
      </c>
      <c r="W43" s="181"/>
      <c r="X43" s="181"/>
      <c r="Y43" s="202">
        <f>(1/$V$48+(data!$E$13/2+$V$46)*(($V$46-K17)/($V$47*data!$E$13)))*L17/100</f>
        <v>0.38014264568833089</v>
      </c>
      <c r="Z43" s="202">
        <f>(1/$V$48-(data!$E$13/2-$V$46)*(($V$46-K17)/($V$47*data!$E$13)))*L17/100</f>
        <v>-0.16846337866540295</v>
      </c>
      <c r="AA43" s="181"/>
      <c r="AB43" s="728" t="str">
        <f>CONCATENATE("load in hatch # ",J17)</f>
        <v>load in hatch # 1</v>
      </c>
      <c r="AC43" s="201"/>
      <c r="AD43" s="181"/>
      <c r="AE43" s="181"/>
      <c r="AF43" s="181"/>
      <c r="AG43" s="181"/>
      <c r="AH43" s="181"/>
      <c r="AI43" s="181"/>
      <c r="AJ43" s="181"/>
      <c r="AK43" s="181"/>
      <c r="AL43" s="181"/>
      <c r="AM43" s="181"/>
      <c r="AN43" s="181"/>
      <c r="AO43" s="181"/>
      <c r="AP43" s="181"/>
      <c r="AQ43" s="181"/>
      <c r="AR43" s="181"/>
      <c r="AS43" s="181"/>
      <c r="AT43" s="181"/>
      <c r="AU43" s="181"/>
      <c r="AV43" s="181"/>
      <c r="AW43" s="181"/>
      <c r="AX43" s="181"/>
      <c r="AY43" s="181"/>
      <c r="AZ43" s="181"/>
      <c r="BA43" s="181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</row>
    <row r="44" spans="2:82" ht="20.25" customHeight="1">
      <c r="B44" s="825" t="str">
        <f>data!H12</f>
        <v>2 FO SETT (S)</v>
      </c>
      <c r="C44" s="826"/>
      <c r="D44" s="822">
        <f>data!J12</f>
        <v>122.3</v>
      </c>
      <c r="E44" s="822"/>
      <c r="F44" s="819">
        <v>0</v>
      </c>
      <c r="G44" s="819"/>
      <c r="H44" s="823">
        <v>0</v>
      </c>
      <c r="I44" s="824"/>
      <c r="J44" s="260" t="s">
        <v>261</v>
      </c>
      <c r="K44" s="395">
        <f>F52</f>
        <v>66</v>
      </c>
      <c r="L44" s="397">
        <f>H52</f>
        <v>62</v>
      </c>
      <c r="M44" s="841">
        <f>L44-K44</f>
        <v>-4</v>
      </c>
      <c r="N44" s="842"/>
      <c r="O44" s="798"/>
      <c r="P44" s="846"/>
      <c r="Q44" s="252"/>
      <c r="S44" s="181"/>
      <c r="T44" s="181"/>
      <c r="U44" s="212" t="s">
        <v>27</v>
      </c>
      <c r="V44" s="202">
        <f>calc!E49</f>
        <v>172.97112882118208</v>
      </c>
      <c r="W44" s="181"/>
      <c r="X44" s="181"/>
      <c r="Y44" s="225">
        <f>(1/$V$48+(data!$E$13/2+$V$46)*(($V$46-K18)/($V$47*data!$E$13)))*L18/100</f>
        <v>0</v>
      </c>
      <c r="Z44" s="225">
        <f>(1/$V$48-(data!$E$13/2-$V$46)*(($V$46-K18)/($V$47*data!$E$13)))*L18/100</f>
        <v>0</v>
      </c>
      <c r="AA44" s="226"/>
      <c r="AB44" s="728" t="str">
        <f>CONCATENATE("load in hatch # ",J18)</f>
        <v>load in hatch # 2</v>
      </c>
      <c r="AC44" s="201"/>
      <c r="AD44" s="181"/>
      <c r="AE44" s="181"/>
      <c r="AF44" s="181"/>
      <c r="AG44" s="181"/>
      <c r="AH44" s="181"/>
      <c r="AI44" s="181"/>
      <c r="AJ44" s="181"/>
      <c r="AK44" s="181"/>
      <c r="AL44" s="181"/>
      <c r="AM44" s="181"/>
      <c r="AN44" s="181"/>
      <c r="AO44" s="181"/>
      <c r="AP44" s="181"/>
      <c r="AQ44" s="181"/>
      <c r="AR44" s="181"/>
      <c r="AS44" s="181"/>
      <c r="AT44" s="181"/>
      <c r="AU44" s="181"/>
      <c r="AV44" s="181"/>
      <c r="AW44" s="181"/>
      <c r="AX44" s="181"/>
      <c r="AY44" s="181"/>
      <c r="AZ44" s="181"/>
      <c r="BA44" s="181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</row>
    <row r="45" spans="2:82" ht="20.25" customHeight="1">
      <c r="B45" s="825" t="str">
        <f>data!H13</f>
        <v>1 FO SERV (S)</v>
      </c>
      <c r="C45" s="826"/>
      <c r="D45" s="822">
        <f>data!J13</f>
        <v>125.5</v>
      </c>
      <c r="E45" s="822"/>
      <c r="F45" s="819">
        <v>45</v>
      </c>
      <c r="G45" s="819"/>
      <c r="H45" s="819">
        <v>45</v>
      </c>
      <c r="I45" s="820"/>
      <c r="J45" s="260" t="s">
        <v>230</v>
      </c>
      <c r="K45" s="395">
        <f>SUM(F53:G62)+F51</f>
        <v>49</v>
      </c>
      <c r="L45" s="397">
        <f>SUM(H53:I62)+H51</f>
        <v>228</v>
      </c>
      <c r="M45" s="841">
        <f>L45-K45</f>
        <v>179</v>
      </c>
      <c r="N45" s="842"/>
      <c r="O45" s="849" t="s">
        <v>255</v>
      </c>
      <c r="P45" s="850"/>
      <c r="Q45" s="252"/>
      <c r="S45" s="181"/>
      <c r="T45" s="181"/>
      <c r="U45" s="212"/>
      <c r="V45" s="181"/>
      <c r="W45" s="181"/>
      <c r="X45" s="181"/>
      <c r="Y45" s="202">
        <f>(1/$V$48+(data!$E$13/2+$V$46)*(($V$46-K19)/($V$47*data!$E$13)))*L19/100</f>
        <v>0</v>
      </c>
      <c r="Z45" s="202">
        <f>(1/$V$48-(data!$E$13/2-$V$46)*(($V$46-K19)/($V$47*data!$E$13)))*L19/100</f>
        <v>0</v>
      </c>
      <c r="AA45" s="181"/>
      <c r="AB45" s="728" t="str">
        <f>CONCATENATE("load in hatch # ",J19)</f>
        <v>load in hatch # 5</v>
      </c>
      <c r="AC45" s="201"/>
      <c r="AD45" s="181"/>
      <c r="AE45" s="181"/>
      <c r="AF45" s="181"/>
      <c r="AG45" s="181"/>
      <c r="AH45" s="181"/>
      <c r="AI45" s="181"/>
      <c r="AJ45" s="181"/>
      <c r="AK45" s="181"/>
      <c r="AL45" s="181"/>
      <c r="AM45" s="181"/>
      <c r="AN45" s="181"/>
      <c r="AO45" s="181"/>
      <c r="AP45" s="181"/>
      <c r="AQ45" s="181"/>
      <c r="AR45" s="181"/>
      <c r="AS45" s="181"/>
      <c r="AT45" s="181"/>
      <c r="AU45" s="181"/>
      <c r="AV45" s="181"/>
      <c r="AW45" s="181"/>
      <c r="AX45" s="181"/>
      <c r="AY45" s="181"/>
      <c r="AZ45" s="181"/>
      <c r="BA45" s="181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</row>
    <row r="46" spans="2:82" ht="20.25" customHeight="1" thickBot="1">
      <c r="B46" s="825" t="str">
        <f>data!H14</f>
        <v>2 FO SERV (S)</v>
      </c>
      <c r="C46" s="826"/>
      <c r="D46" s="822">
        <f>data!J14</f>
        <v>128.69999999999999</v>
      </c>
      <c r="E46" s="822"/>
      <c r="F46" s="819">
        <v>0</v>
      </c>
      <c r="G46" s="819"/>
      <c r="H46" s="819">
        <v>0</v>
      </c>
      <c r="I46" s="820"/>
      <c r="J46" s="261"/>
      <c r="K46" s="262"/>
      <c r="L46" s="263"/>
      <c r="M46" s="264"/>
      <c r="N46" s="253"/>
      <c r="O46" s="851"/>
      <c r="P46" s="852"/>
      <c r="Q46" s="252"/>
      <c r="S46" s="181"/>
      <c r="T46" s="181"/>
      <c r="U46" s="212" t="s">
        <v>28</v>
      </c>
      <c r="V46" s="202">
        <f>(calc!F50-calc!F48)/(calc!C50-calc!C48)*(V43-calc!C48)+calc!F48</f>
        <v>-2.3293784663034778E-2</v>
      </c>
      <c r="W46" s="181"/>
      <c r="X46" s="181"/>
      <c r="Y46" s="225">
        <f>(1/$V$48+(data!$E$13/2+$V$46)*(($V$46-K20)/($V$47*data!$E$13)))*L20/100</f>
        <v>-0.13325512501959547</v>
      </c>
      <c r="Z46" s="225">
        <f>(1/$V$48-(data!$E$13/2-$V$46)*(($V$46-K20)/($V$47*data!$E$13)))*L20/100</f>
        <v>0.58226473211694674</v>
      </c>
      <c r="AA46" s="227"/>
      <c r="AB46" s="728" t="str">
        <f>CONCATENATE("load in hatch # ",J20)</f>
        <v>load in hatch # 8</v>
      </c>
      <c r="AC46" s="201"/>
      <c r="AD46" s="181"/>
      <c r="AE46" s="181"/>
      <c r="AF46" s="181"/>
      <c r="AG46" s="181"/>
      <c r="AH46" s="181"/>
      <c r="AI46" s="181"/>
      <c r="AJ46" s="181"/>
      <c r="AK46" s="181"/>
      <c r="AL46" s="181"/>
      <c r="AM46" s="181"/>
      <c r="AN46" s="181"/>
      <c r="AO46" s="181"/>
      <c r="AP46" s="181"/>
      <c r="AQ46" s="181"/>
      <c r="AR46" s="181"/>
      <c r="AS46" s="181"/>
      <c r="AT46" s="181"/>
      <c r="AU46" s="181"/>
      <c r="AV46" s="181"/>
      <c r="AW46" s="181"/>
      <c r="AX46" s="181"/>
      <c r="AY46" s="181"/>
      <c r="AZ46" s="181"/>
      <c r="BA46" s="181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</row>
    <row r="47" spans="2:82" ht="20.25" customHeight="1">
      <c r="B47" s="825" t="str">
        <f>data!H15</f>
        <v>1 DOT STBD</v>
      </c>
      <c r="C47" s="826"/>
      <c r="D47" s="822">
        <f>data!J15</f>
        <v>140.62</v>
      </c>
      <c r="E47" s="822"/>
      <c r="F47" s="819">
        <v>1</v>
      </c>
      <c r="G47" s="819"/>
      <c r="H47" s="819">
        <v>1</v>
      </c>
      <c r="I47" s="820"/>
      <c r="J47" s="260"/>
      <c r="K47" s="251"/>
      <c r="L47" s="251"/>
      <c r="Q47" s="252"/>
      <c r="S47" s="181"/>
      <c r="T47" s="181"/>
      <c r="U47" s="212" t="s">
        <v>54</v>
      </c>
      <c r="V47" s="202">
        <f>(calc!H50-calc!H48)/(calc!C50-calc!C48)*(V43-calc!C48)+calc!H48</f>
        <v>4048.8200283036417</v>
      </c>
      <c r="W47" s="181"/>
      <c r="X47" s="181"/>
      <c r="Y47" s="202">
        <f>(1/$V$48+(data!$E$13/2+$V$46)*(($V$46-K21)/($V$47*data!$E$13)))*L21/100</f>
        <v>0</v>
      </c>
      <c r="Z47" s="202">
        <f>(1/$V$48-(data!$E$13/2-$V$46)*(($V$46-K21)/($V$47*data!$E$13)))*L21/100</f>
        <v>0</v>
      </c>
      <c r="AA47" s="181"/>
      <c r="AB47" s="728" t="str">
        <f>CONCATENATE("load in hatch # ",J21)</f>
        <v>load in hatch # 9</v>
      </c>
      <c r="AC47" s="201"/>
      <c r="AD47" s="181"/>
      <c r="AE47" s="181"/>
      <c r="AF47" s="181"/>
      <c r="AG47" s="181"/>
      <c r="AH47" s="181"/>
      <c r="AI47" s="181"/>
      <c r="AJ47" s="181"/>
      <c r="AK47" s="181"/>
      <c r="AL47" s="181"/>
      <c r="AM47" s="181"/>
      <c r="AN47" s="181"/>
      <c r="AO47" s="181"/>
      <c r="AP47" s="181"/>
      <c r="AQ47" s="181"/>
      <c r="AR47" s="181"/>
      <c r="AS47" s="181"/>
      <c r="AT47" s="181"/>
      <c r="AU47" s="181"/>
      <c r="AV47" s="181"/>
      <c r="AW47" s="181"/>
      <c r="AX47" s="181"/>
      <c r="AY47" s="181"/>
      <c r="AZ47" s="181"/>
      <c r="BA47" s="181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</row>
    <row r="48" spans="2:82" ht="20.25" customHeight="1">
      <c r="B48" s="825" t="str">
        <f>data!H16</f>
        <v>2 DOT STBD</v>
      </c>
      <c r="C48" s="826"/>
      <c r="D48" s="822">
        <f>data!J16</f>
        <v>144.78</v>
      </c>
      <c r="E48" s="822"/>
      <c r="F48" s="819">
        <v>1</v>
      </c>
      <c r="G48" s="819"/>
      <c r="H48" s="819">
        <v>1</v>
      </c>
      <c r="I48" s="820"/>
      <c r="J48" s="260"/>
      <c r="K48" s="251"/>
      <c r="L48" s="251"/>
      <c r="Q48" s="252"/>
      <c r="S48" s="181"/>
      <c r="T48" s="181"/>
      <c r="U48" s="212" t="s">
        <v>27</v>
      </c>
      <c r="V48" s="202">
        <f>(calc!E50-calc!E48)/(calc!C50-calc!C48)*(V43-calc!C48)+calc!E48</f>
        <v>173.31031725436455</v>
      </c>
      <c r="W48" s="181"/>
      <c r="X48" s="181"/>
      <c r="Y48" s="203">
        <f>SUM(Y42:Y47)</f>
        <v>18.02751691416228</v>
      </c>
      <c r="Z48" s="203">
        <f>SUM(Z42:Z47)</f>
        <v>18.078981997558135</v>
      </c>
      <c r="AA48" s="203">
        <f>(Y48+Z48)/2</f>
        <v>18.053249455860207</v>
      </c>
      <c r="AB48" s="181"/>
      <c r="AC48" s="201"/>
      <c r="AD48" s="181"/>
      <c r="AE48" s="181"/>
      <c r="AF48" s="181"/>
      <c r="AG48" s="181"/>
      <c r="AH48" s="181"/>
      <c r="AI48" s="181"/>
      <c r="AJ48" s="181"/>
      <c r="AK48" s="181"/>
      <c r="AL48" s="181"/>
      <c r="AM48" s="181"/>
      <c r="AN48" s="181"/>
      <c r="AO48" s="181"/>
      <c r="AP48" s="181"/>
      <c r="AQ48" s="181"/>
      <c r="AR48" s="181"/>
      <c r="AS48" s="181"/>
      <c r="AT48" s="181"/>
      <c r="AU48" s="181"/>
      <c r="AV48" s="181"/>
      <c r="AW48" s="181"/>
      <c r="AX48" s="181"/>
      <c r="AY48" s="181"/>
      <c r="AZ48" s="181"/>
      <c r="BA48" s="181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</row>
    <row r="49" spans="2:82" ht="20.25" customHeight="1">
      <c r="B49" s="825" t="str">
        <f>data!H17</f>
        <v>FWT PORT</v>
      </c>
      <c r="C49" s="826"/>
      <c r="D49" s="822">
        <f>data!J17</f>
        <v>153.27000000000001</v>
      </c>
      <c r="E49" s="822"/>
      <c r="F49" s="819">
        <v>157</v>
      </c>
      <c r="G49" s="819"/>
      <c r="H49" s="819">
        <v>150</v>
      </c>
      <c r="I49" s="820"/>
      <c r="J49" s="260"/>
      <c r="K49" s="251"/>
      <c r="L49" s="251"/>
      <c r="Q49" s="252"/>
      <c r="S49" s="181"/>
      <c r="T49" s="181"/>
      <c r="U49" s="212"/>
      <c r="V49" s="181"/>
      <c r="W49" s="181"/>
      <c r="X49" s="181"/>
      <c r="Y49" s="203">
        <f>Y48+($Z$48-$Y$48)*data!$O$13/data!$E$13</f>
        <v>18.027797487046836</v>
      </c>
      <c r="Z49" s="203">
        <f>Z48-(Z48-Y49)*data!$O$15/data!$E$13</f>
        <v>18.076845323287568</v>
      </c>
      <c r="AA49" s="203">
        <f>AA48+V18</f>
        <v>18.070128645005209</v>
      </c>
      <c r="AB49" s="181" t="s">
        <v>114</v>
      </c>
      <c r="AC49" s="201"/>
      <c r="AD49" s="181"/>
      <c r="AE49" s="181"/>
      <c r="AF49" s="181"/>
      <c r="AG49" s="181"/>
      <c r="AH49" s="181"/>
      <c r="AI49" s="181"/>
      <c r="AJ49" s="181"/>
      <c r="AK49" s="181"/>
      <c r="AL49" s="181"/>
      <c r="AM49" s="181"/>
      <c r="AN49" s="181"/>
      <c r="AO49" s="181"/>
      <c r="AP49" s="181"/>
      <c r="AQ49" s="181"/>
      <c r="AR49" s="181"/>
      <c r="AS49" s="181"/>
      <c r="AT49" s="181"/>
      <c r="AU49" s="181"/>
      <c r="AV49" s="181"/>
      <c r="AW49" s="181"/>
      <c r="AX49" s="181"/>
      <c r="AY49" s="181"/>
      <c r="AZ49" s="181"/>
      <c r="BA49" s="181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</row>
    <row r="50" spans="2:82" ht="20.25" customHeight="1">
      <c r="B50" s="825" t="str">
        <f>data!H18</f>
        <v>DWT STBD</v>
      </c>
      <c r="C50" s="826"/>
      <c r="D50" s="822">
        <f>data!J18</f>
        <v>153.27000000000001</v>
      </c>
      <c r="E50" s="822"/>
      <c r="F50" s="819">
        <v>33</v>
      </c>
      <c r="G50" s="819"/>
      <c r="H50" s="819">
        <v>130</v>
      </c>
      <c r="I50" s="820"/>
      <c r="J50" s="260"/>
      <c r="K50" s="251"/>
      <c r="L50" s="251"/>
      <c r="Q50" s="252"/>
      <c r="S50" s="181"/>
      <c r="T50" s="181"/>
      <c r="U50" s="211" t="s">
        <v>116</v>
      </c>
      <c r="V50" s="199"/>
      <c r="W50" s="199"/>
      <c r="X50" s="199"/>
      <c r="Y50" s="199"/>
      <c r="Z50" s="199"/>
      <c r="AA50" s="199"/>
      <c r="AB50" s="199"/>
      <c r="AC50" s="200"/>
      <c r="AD50" s="181"/>
      <c r="AE50" s="181"/>
      <c r="AF50" s="181"/>
      <c r="AG50" s="181"/>
      <c r="AH50" s="181"/>
      <c r="AI50" s="181"/>
      <c r="AJ50" s="181"/>
      <c r="AK50" s="181"/>
      <c r="AL50" s="181"/>
      <c r="AM50" s="181"/>
      <c r="AN50" s="181"/>
      <c r="AO50" s="181"/>
      <c r="AP50" s="181"/>
      <c r="AQ50" s="181"/>
      <c r="AR50" s="181"/>
      <c r="AS50" s="181"/>
      <c r="AT50" s="181"/>
      <c r="AU50" s="181"/>
      <c r="AV50" s="181"/>
      <c r="AW50" s="181"/>
      <c r="AX50" s="181"/>
      <c r="AY50" s="181"/>
      <c r="AZ50" s="181"/>
      <c r="BA50" s="181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</row>
    <row r="51" spans="2:82" ht="20.25" customHeight="1">
      <c r="B51" s="825" t="str">
        <f>data!H19</f>
        <v>APT '(C)</v>
      </c>
      <c r="C51" s="826"/>
      <c r="D51" s="822">
        <f>data!J19</f>
        <v>155.1</v>
      </c>
      <c r="E51" s="822"/>
      <c r="F51" s="819">
        <v>1</v>
      </c>
      <c r="G51" s="819"/>
      <c r="H51" s="819">
        <v>180</v>
      </c>
      <c r="I51" s="820"/>
      <c r="J51" s="260"/>
      <c r="K51" s="251"/>
      <c r="L51" s="251"/>
      <c r="Q51" s="252"/>
      <c r="S51" s="181"/>
      <c r="T51" s="181"/>
      <c r="U51" s="212"/>
      <c r="V51" s="181"/>
      <c r="W51" s="182" t="s">
        <v>95</v>
      </c>
      <c r="X51" s="182" t="s">
        <v>94</v>
      </c>
      <c r="Y51" s="182" t="s">
        <v>93</v>
      </c>
      <c r="Z51" s="182" t="s">
        <v>121</v>
      </c>
      <c r="AA51" s="181"/>
      <c r="AB51" s="181"/>
      <c r="AC51" s="201"/>
      <c r="AD51" s="181"/>
      <c r="AE51" s="181"/>
      <c r="AF51" s="181"/>
      <c r="AG51" s="181"/>
      <c r="AH51" s="181"/>
      <c r="AI51" s="181"/>
      <c r="AJ51" s="181"/>
      <c r="AK51" s="181"/>
      <c r="AL51" s="181"/>
      <c r="AM51" s="181"/>
      <c r="AN51" s="181"/>
      <c r="AO51" s="181"/>
      <c r="AP51" s="181"/>
      <c r="AQ51" s="181"/>
      <c r="AR51" s="181"/>
      <c r="AS51" s="181"/>
      <c r="AT51" s="181"/>
      <c r="AU51" s="181"/>
      <c r="AV51" s="181"/>
      <c r="AW51" s="181"/>
      <c r="AX51" s="181"/>
      <c r="AY51" s="181"/>
      <c r="AZ51" s="181"/>
      <c r="BA51" s="181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</row>
    <row r="52" spans="2:82" ht="20.25" customHeight="1">
      <c r="B52" s="825" t="str">
        <f>data!H20</f>
        <v>LO SUMP '(C)</v>
      </c>
      <c r="C52" s="826"/>
      <c r="D52" s="822">
        <f>data!J20</f>
        <v>131.57</v>
      </c>
      <c r="E52" s="822"/>
      <c r="F52" s="819">
        <v>66</v>
      </c>
      <c r="G52" s="819"/>
      <c r="H52" s="819">
        <v>62</v>
      </c>
      <c r="I52" s="820"/>
      <c r="J52" s="260"/>
      <c r="K52" s="251"/>
      <c r="L52" s="251"/>
      <c r="Q52" s="252"/>
      <c r="S52" s="181"/>
      <c r="T52" s="181"/>
      <c r="U52" s="817" t="s">
        <v>130</v>
      </c>
      <c r="V52" s="818"/>
      <c r="W52" s="202">
        <f>N24</f>
        <v>18.027797487046836</v>
      </c>
      <c r="X52" s="202">
        <f>O24</f>
        <v>18.070128645005209</v>
      </c>
      <c r="Y52" s="202">
        <f>P24</f>
        <v>18.076845323287568</v>
      </c>
      <c r="Z52" s="202">
        <f>Q24</f>
        <v>4.9047836240731613E-2</v>
      </c>
      <c r="AA52" s="182" t="s">
        <v>98</v>
      </c>
      <c r="AB52" s="181" t="s">
        <v>122</v>
      </c>
      <c r="AC52" s="201"/>
      <c r="AD52" s="181"/>
      <c r="AE52" s="181"/>
      <c r="AF52" s="181"/>
      <c r="AG52" s="181"/>
      <c r="AH52" s="181"/>
      <c r="AI52" s="181"/>
      <c r="AJ52" s="181"/>
      <c r="AK52" s="181"/>
      <c r="AL52" s="181"/>
      <c r="AM52" s="181"/>
      <c r="AN52" s="181"/>
      <c r="AO52" s="181"/>
      <c r="AP52" s="181"/>
      <c r="AQ52" s="181"/>
      <c r="AR52" s="181"/>
      <c r="AS52" s="181"/>
      <c r="AT52" s="181"/>
      <c r="AU52" s="181"/>
      <c r="AV52" s="181"/>
      <c r="AW52" s="181"/>
      <c r="AX52" s="181"/>
      <c r="AY52" s="181"/>
      <c r="AZ52" s="181"/>
      <c r="BA52" s="181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</row>
    <row r="53" spans="2:82" ht="20.25" customHeight="1">
      <c r="B53" s="825" t="str">
        <f>data!H21</f>
        <v>1 WBT P</v>
      </c>
      <c r="C53" s="826"/>
      <c r="D53" s="822">
        <f>data!J21</f>
        <v>-123.28</v>
      </c>
      <c r="E53" s="822"/>
      <c r="F53" s="819">
        <v>7</v>
      </c>
      <c r="G53" s="819"/>
      <c r="H53" s="819">
        <v>7</v>
      </c>
      <c r="I53" s="819"/>
      <c r="J53" s="265"/>
      <c r="Q53" s="252"/>
      <c r="S53" s="181"/>
      <c r="T53" s="181"/>
      <c r="U53" s="817" t="s">
        <v>123</v>
      </c>
      <c r="V53" s="818"/>
      <c r="W53" s="203">
        <f>(W52+AA53)-AB53</f>
        <v>18.024069449458029</v>
      </c>
      <c r="X53" s="203">
        <f>X52+AA53</f>
        <v>18.060608150056382</v>
      </c>
      <c r="Y53" s="203">
        <f>(Y52+AA53)+AB53</f>
        <v>18.061532370978721</v>
      </c>
      <c r="Z53" s="203">
        <f>Y53-W53</f>
        <v>3.7462921520692305E-2</v>
      </c>
      <c r="AA53" s="181">
        <f>($Y$87/$V$48)/100</f>
        <v>-9.5204949488282547E-3</v>
      </c>
      <c r="AB53" s="181">
        <f>(($Y$87*(($AA$87/$Y$87)-$V$46))/$V$47)/200</f>
        <v>-5.7924573600207762E-3</v>
      </c>
      <c r="AC53" s="201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181"/>
      <c r="AS53" s="181"/>
      <c r="AT53" s="181"/>
      <c r="AU53" s="181"/>
      <c r="AV53" s="181"/>
      <c r="AW53" s="181"/>
      <c r="AX53" s="181"/>
      <c r="AY53" s="181"/>
      <c r="AZ53" s="181"/>
      <c r="BA53" s="181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</row>
    <row r="54" spans="2:82" ht="20.25" customHeight="1">
      <c r="B54" s="825" t="str">
        <f>data!H22</f>
        <v>1 WBT S</v>
      </c>
      <c r="C54" s="826"/>
      <c r="D54" s="822">
        <f>data!J22</f>
        <v>-123.28</v>
      </c>
      <c r="E54" s="822"/>
      <c r="F54" s="819">
        <v>6</v>
      </c>
      <c r="G54" s="819"/>
      <c r="H54" s="819">
        <v>6</v>
      </c>
      <c r="I54" s="819"/>
      <c r="J54" s="265"/>
      <c r="Q54" s="252"/>
      <c r="S54" s="181"/>
      <c r="T54" s="181"/>
      <c r="U54" s="817" t="s">
        <v>129</v>
      </c>
      <c r="V54" s="818"/>
      <c r="W54" s="203">
        <f>IF(L23&gt;V56,W53+AA54+AB54,W53-AA54-AB54)</f>
        <v>18.024069449458029</v>
      </c>
      <c r="X54" s="203">
        <f>IF(L23&gt;V56,X53+AA54,X53-AA54)</f>
        <v>18.060608150056382</v>
      </c>
      <c r="Y54" s="203">
        <f>IF(L23&gt;V56,Y53+AA54-AB54,Y53-AA54+AB54)</f>
        <v>18.061532370978721</v>
      </c>
      <c r="Z54" s="203">
        <f>Y54-W54</f>
        <v>3.7462921520692305E-2</v>
      </c>
      <c r="AA54" s="181">
        <f>((ABS(L23-V56)*V57)/V58)/100</f>
        <v>0</v>
      </c>
      <c r="AB54" s="181">
        <f>(((V57*ABS(L23-V56)*ABS(V60-V59))/V61)/100)/2</f>
        <v>0</v>
      </c>
      <c r="AC54" s="201"/>
      <c r="AD54" s="181"/>
      <c r="AE54" s="181"/>
      <c r="AF54" s="181"/>
      <c r="AG54" s="181"/>
      <c r="AH54" s="181"/>
      <c r="AI54" s="181"/>
      <c r="AJ54" s="181"/>
      <c r="AK54" s="181"/>
      <c r="AL54" s="181"/>
      <c r="AM54" s="181"/>
      <c r="AN54" s="181"/>
      <c r="AO54" s="181"/>
      <c r="AP54" s="181"/>
      <c r="AQ54" s="181"/>
      <c r="AR54" s="181"/>
      <c r="AS54" s="181"/>
      <c r="AT54" s="181"/>
      <c r="AU54" s="181"/>
      <c r="AV54" s="181"/>
      <c r="AW54" s="181"/>
      <c r="AX54" s="181"/>
      <c r="AY54" s="181"/>
      <c r="AZ54" s="181"/>
      <c r="BA54" s="181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</row>
    <row r="55" spans="2:82" ht="20.25" customHeight="1">
      <c r="B55" s="825" t="str">
        <f>data!H23</f>
        <v>2 WBT P</v>
      </c>
      <c r="C55" s="826"/>
      <c r="D55" s="822">
        <f>data!J23</f>
        <v>-76.489999999999995</v>
      </c>
      <c r="E55" s="822"/>
      <c r="F55" s="819">
        <v>0</v>
      </c>
      <c r="G55" s="819"/>
      <c r="H55" s="819">
        <v>0</v>
      </c>
      <c r="I55" s="819"/>
      <c r="J55" s="265"/>
      <c r="Q55" s="252"/>
      <c r="S55" s="181"/>
      <c r="T55" s="181"/>
      <c r="U55" s="212"/>
      <c r="V55" s="181"/>
      <c r="W55" s="181"/>
      <c r="X55" s="181"/>
      <c r="Y55" s="181"/>
      <c r="Z55" s="181"/>
      <c r="AA55" s="181"/>
      <c r="AB55" s="181"/>
      <c r="AC55" s="201"/>
      <c r="AD55" s="181"/>
      <c r="AE55" s="181"/>
      <c r="AF55" s="181"/>
      <c r="AG55" s="181"/>
      <c r="AH55" s="181"/>
      <c r="AI55" s="181"/>
      <c r="AJ55" s="181"/>
      <c r="AK55" s="181"/>
      <c r="AL55" s="181"/>
      <c r="AM55" s="181"/>
      <c r="AN55" s="181"/>
      <c r="AO55" s="181"/>
      <c r="AP55" s="181"/>
      <c r="AQ55" s="181"/>
      <c r="AR55" s="181"/>
      <c r="AS55" s="181"/>
      <c r="AT55" s="181"/>
      <c r="AU55" s="181"/>
      <c r="AV55" s="181"/>
      <c r="AW55" s="181"/>
      <c r="AX55" s="181"/>
      <c r="AY55" s="181"/>
      <c r="AZ55" s="181"/>
      <c r="BA55" s="181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</row>
    <row r="56" spans="2:82" ht="20.25" customHeight="1">
      <c r="B56" s="825" t="str">
        <f>data!H24</f>
        <v>2 WBT S</v>
      </c>
      <c r="C56" s="826"/>
      <c r="D56" s="822">
        <f>data!J24</f>
        <v>-76.489999999999995</v>
      </c>
      <c r="E56" s="822"/>
      <c r="F56" s="819">
        <v>0</v>
      </c>
      <c r="G56" s="819"/>
      <c r="H56" s="819">
        <v>0</v>
      </c>
      <c r="I56" s="819"/>
      <c r="J56" s="265"/>
      <c r="Q56" s="252"/>
      <c r="S56" s="181"/>
      <c r="T56" s="181"/>
      <c r="U56" s="217" t="s">
        <v>124</v>
      </c>
      <c r="V56" s="182">
        <f>L28</f>
        <v>1.0229999999999999</v>
      </c>
      <c r="W56" s="204" t="s">
        <v>117</v>
      </c>
      <c r="X56" s="204"/>
      <c r="Y56" s="181" t="s">
        <v>118</v>
      </c>
      <c r="Z56" s="181" t="s">
        <v>22</v>
      </c>
      <c r="AA56" s="181" t="s">
        <v>119</v>
      </c>
      <c r="AB56" s="181"/>
      <c r="AC56" s="201"/>
      <c r="AD56" s="181"/>
      <c r="AE56" s="181"/>
      <c r="AF56" s="181"/>
      <c r="AG56" s="181"/>
      <c r="AH56" s="181"/>
      <c r="AI56" s="181"/>
      <c r="AJ56" s="181"/>
      <c r="AK56" s="181"/>
      <c r="AL56" s="181"/>
      <c r="AM56" s="181"/>
      <c r="AN56" s="181"/>
      <c r="AO56" s="181"/>
      <c r="AP56" s="181"/>
      <c r="AQ56" s="181"/>
      <c r="AR56" s="181"/>
      <c r="AS56" s="181"/>
      <c r="AT56" s="181"/>
      <c r="AU56" s="181"/>
      <c r="AV56" s="181"/>
      <c r="AW56" s="181"/>
      <c r="AX56" s="181"/>
      <c r="AY56" s="181"/>
      <c r="AZ56" s="181"/>
      <c r="BA56" s="181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</row>
    <row r="57" spans="2:82" ht="20.25" customHeight="1">
      <c r="B57" s="825" t="str">
        <f>data!H25</f>
        <v>3 WBT P</v>
      </c>
      <c r="C57" s="826"/>
      <c r="D57" s="822">
        <f>data!J25</f>
        <v>-22.08</v>
      </c>
      <c r="E57" s="822"/>
      <c r="F57" s="819">
        <v>9</v>
      </c>
      <c r="G57" s="819"/>
      <c r="H57" s="819">
        <v>9</v>
      </c>
      <c r="I57" s="819"/>
      <c r="J57" s="265"/>
      <c r="Q57" s="252"/>
      <c r="S57" s="181"/>
      <c r="T57" s="181"/>
      <c r="U57" s="217" t="s">
        <v>53</v>
      </c>
      <c r="V57" s="182">
        <f>(calc!D50-calc!D48)/(calc!C50-calc!C48)*(X53-calc!C48)+calc!D48</f>
        <v>284648.91491049284</v>
      </c>
      <c r="W57" s="205" t="str">
        <f t="shared" ref="W57:W85" si="0">B39</f>
        <v>1 FOT PORT</v>
      </c>
      <c r="X57" s="204"/>
      <c r="Y57" s="181">
        <f t="shared" ref="Y57:Y85" si="1">H39-F39</f>
        <v>-320</v>
      </c>
      <c r="Z57" s="184">
        <f t="shared" ref="Z57:Z85" si="2">D39</f>
        <v>106.32</v>
      </c>
      <c r="AA57" s="181">
        <f>Y57*Z57</f>
        <v>-34022.399999999994</v>
      </c>
      <c r="AB57" s="181"/>
      <c r="AC57" s="201"/>
      <c r="AD57" s="181"/>
      <c r="AE57" s="181"/>
      <c r="AF57" s="181"/>
      <c r="AG57" s="181"/>
      <c r="AH57" s="181"/>
      <c r="AI57" s="181"/>
      <c r="AJ57" s="181"/>
      <c r="AK57" s="181"/>
      <c r="AL57" s="181"/>
      <c r="AM57" s="181"/>
      <c r="AN57" s="181"/>
      <c r="AO57" s="181"/>
      <c r="AP57" s="181"/>
      <c r="AQ57" s="181"/>
      <c r="AR57" s="181"/>
      <c r="AS57" s="181"/>
      <c r="AT57" s="181"/>
      <c r="AU57" s="181"/>
      <c r="AV57" s="181"/>
      <c r="AW57" s="181"/>
      <c r="AX57" s="181"/>
      <c r="AY57" s="181"/>
      <c r="AZ57" s="181"/>
      <c r="BA57" s="181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</row>
    <row r="58" spans="2:82" ht="20.25" customHeight="1">
      <c r="B58" s="825" t="str">
        <f>data!H26</f>
        <v>3 WBT S</v>
      </c>
      <c r="C58" s="826"/>
      <c r="D58" s="822">
        <f>data!J26</f>
        <v>-22.08</v>
      </c>
      <c r="E58" s="822"/>
      <c r="F58" s="819">
        <v>8</v>
      </c>
      <c r="G58" s="819"/>
      <c r="H58" s="819">
        <v>8</v>
      </c>
      <c r="I58" s="819"/>
      <c r="J58" s="265"/>
      <c r="Q58" s="252"/>
      <c r="S58" s="181"/>
      <c r="T58" s="181"/>
      <c r="U58" s="217" t="s">
        <v>27</v>
      </c>
      <c r="V58" s="198">
        <f>(calc!E50-calc!E48)/(calc!C50-calc!C48)*(X53-calc!C48)+calc!E48</f>
        <v>173.62121629965216</v>
      </c>
      <c r="W58" s="205" t="str">
        <f t="shared" si="0"/>
        <v>1 FOT STBD</v>
      </c>
      <c r="X58" s="204"/>
      <c r="Y58" s="181">
        <f t="shared" si="1"/>
        <v>-110</v>
      </c>
      <c r="Z58" s="184">
        <f t="shared" si="2"/>
        <v>106.32</v>
      </c>
      <c r="AA58" s="181">
        <f t="shared" ref="AA58:AA85" si="3">Y58*Z58</f>
        <v>-11695.199999999999</v>
      </c>
      <c r="AB58" s="181"/>
      <c r="AC58" s="201"/>
      <c r="AD58" s="181"/>
      <c r="AE58" s="181"/>
      <c r="AF58" s="181"/>
      <c r="AG58" s="181"/>
      <c r="AH58" s="181"/>
      <c r="AI58" s="181"/>
      <c r="AJ58" s="181"/>
      <c r="AK58" s="181"/>
      <c r="AL58" s="181"/>
      <c r="AM58" s="181"/>
      <c r="AN58" s="181"/>
      <c r="AO58" s="181"/>
      <c r="AP58" s="181"/>
      <c r="AQ58" s="181"/>
      <c r="AR58" s="181"/>
      <c r="AS58" s="181"/>
      <c r="AT58" s="181"/>
      <c r="AU58" s="181"/>
      <c r="AV58" s="181"/>
      <c r="AW58" s="181"/>
      <c r="AX58" s="181"/>
      <c r="AY58" s="181"/>
      <c r="AZ58" s="181"/>
      <c r="BA58" s="181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</row>
    <row r="59" spans="2:82" ht="20.25" customHeight="1">
      <c r="B59" s="825" t="str">
        <f>data!H27</f>
        <v>4 WBT P</v>
      </c>
      <c r="C59" s="826"/>
      <c r="D59" s="822">
        <f>data!J27</f>
        <v>32.35</v>
      </c>
      <c r="E59" s="822"/>
      <c r="F59" s="819">
        <v>9</v>
      </c>
      <c r="G59" s="819"/>
      <c r="H59" s="819">
        <v>9</v>
      </c>
      <c r="I59" s="819"/>
      <c r="J59" s="265"/>
      <c r="Q59" s="252"/>
      <c r="S59" s="181"/>
      <c r="T59" s="181"/>
      <c r="U59" s="217" t="s">
        <v>28</v>
      </c>
      <c r="V59" s="198">
        <f>(calc!F50-calc!F48)/(calc!C50-calc!C48)*(X53-calc!C48)+calc!F48</f>
        <v>0.17879059477389597</v>
      </c>
      <c r="W59" s="205" t="str">
        <f t="shared" si="0"/>
        <v xml:space="preserve">2 FOT PORT </v>
      </c>
      <c r="X59" s="204"/>
      <c r="Y59" s="181">
        <f t="shared" si="1"/>
        <v>0</v>
      </c>
      <c r="Z59" s="184">
        <f t="shared" si="2"/>
        <v>128.36000000000001</v>
      </c>
      <c r="AA59" s="181">
        <f t="shared" si="3"/>
        <v>0</v>
      </c>
      <c r="AB59" s="181"/>
      <c r="AC59" s="201"/>
      <c r="AD59" s="181"/>
      <c r="AE59" s="181"/>
      <c r="AF59" s="181"/>
      <c r="AG59" s="181"/>
      <c r="AH59" s="181"/>
      <c r="AI59" s="181"/>
      <c r="AJ59" s="181"/>
      <c r="AK59" s="181"/>
      <c r="AL59" s="181"/>
      <c r="AM59" s="181"/>
      <c r="AN59" s="181"/>
      <c r="AO59" s="181"/>
      <c r="AP59" s="181"/>
      <c r="AQ59" s="181"/>
      <c r="AR59" s="181"/>
      <c r="AS59" s="181"/>
      <c r="AT59" s="181"/>
      <c r="AU59" s="181"/>
      <c r="AV59" s="181"/>
      <c r="AW59" s="181"/>
      <c r="AX59" s="181"/>
      <c r="AY59" s="181"/>
      <c r="AZ59" s="181"/>
      <c r="BA59" s="181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</row>
    <row r="60" spans="2:82" ht="20.25" customHeight="1">
      <c r="B60" s="825" t="str">
        <f>data!H28</f>
        <v>4 WBT S</v>
      </c>
      <c r="C60" s="826"/>
      <c r="D60" s="822">
        <f>data!J28</f>
        <v>32.35</v>
      </c>
      <c r="E60" s="822"/>
      <c r="F60" s="819">
        <v>9</v>
      </c>
      <c r="G60" s="819"/>
      <c r="H60" s="819">
        <v>9</v>
      </c>
      <c r="I60" s="819"/>
      <c r="J60" s="265"/>
      <c r="Q60" s="252"/>
      <c r="S60" s="181"/>
      <c r="T60" s="181"/>
      <c r="U60" s="217" t="s">
        <v>125</v>
      </c>
      <c r="V60" s="198">
        <f>(calc!G50-calc!G48)/(calc!C50-calc!C48)*(X53-calc!C48)+calc!G48</f>
        <v>-10.090604702613051</v>
      </c>
      <c r="W60" s="205" t="str">
        <f t="shared" si="0"/>
        <v>2 FOT STBD</v>
      </c>
      <c r="X60" s="204"/>
      <c r="Y60" s="181">
        <f t="shared" si="1"/>
        <v>0</v>
      </c>
      <c r="Z60" s="184">
        <f t="shared" si="2"/>
        <v>126.76</v>
      </c>
      <c r="AA60" s="181">
        <f t="shared" si="3"/>
        <v>0</v>
      </c>
      <c r="AB60" s="181"/>
      <c r="AC60" s="201"/>
      <c r="AD60" s="181"/>
      <c r="AE60" s="181"/>
      <c r="AF60" s="181"/>
      <c r="AG60" s="181"/>
      <c r="AH60" s="181"/>
      <c r="AI60" s="181"/>
      <c r="AJ60" s="181"/>
      <c r="AK60" s="181"/>
      <c r="AL60" s="181"/>
      <c r="AM60" s="181"/>
      <c r="AN60" s="181"/>
      <c r="AO60" s="181"/>
      <c r="AP60" s="181"/>
      <c r="AQ60" s="181"/>
      <c r="AR60" s="181"/>
      <c r="AS60" s="181"/>
      <c r="AT60" s="181"/>
      <c r="AU60" s="181"/>
      <c r="AV60" s="181"/>
      <c r="AW60" s="181"/>
      <c r="AX60" s="181"/>
      <c r="AY60" s="181"/>
      <c r="AZ60" s="181"/>
      <c r="BA60" s="181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</row>
    <row r="61" spans="2:82" ht="20.25" customHeight="1">
      <c r="B61" s="825" t="str">
        <f>data!H29</f>
        <v>5 WBT P</v>
      </c>
      <c r="C61" s="826"/>
      <c r="D61" s="822">
        <f>data!J29</f>
        <v>84.21</v>
      </c>
      <c r="E61" s="822"/>
      <c r="F61" s="819">
        <v>0</v>
      </c>
      <c r="G61" s="819"/>
      <c r="H61" s="819">
        <v>0</v>
      </c>
      <c r="I61" s="819"/>
      <c r="J61" s="265"/>
      <c r="Q61" s="252"/>
      <c r="S61" s="181"/>
      <c r="T61" s="181"/>
      <c r="U61" s="217" t="s">
        <v>54</v>
      </c>
      <c r="V61" s="181">
        <f>(calc!H50-calc!H48)/(calc!C50-calc!C48)*(X53-calc!C48)+calc!H48</f>
        <v>4065.9972005557806</v>
      </c>
      <c r="W61" s="205" t="str">
        <f t="shared" si="0"/>
        <v>1 FO SETT (S)</v>
      </c>
      <c r="X61" s="204"/>
      <c r="Y61" s="181">
        <f t="shared" si="1"/>
        <v>0</v>
      </c>
      <c r="Z61" s="184">
        <f t="shared" si="2"/>
        <v>119.1</v>
      </c>
      <c r="AA61" s="181">
        <f t="shared" si="3"/>
        <v>0</v>
      </c>
      <c r="AB61" s="181"/>
      <c r="AC61" s="201"/>
      <c r="AD61" s="181"/>
      <c r="AE61" s="181"/>
      <c r="AF61" s="181"/>
      <c r="AG61" s="181"/>
      <c r="AH61" s="181"/>
      <c r="AI61" s="181"/>
      <c r="AJ61" s="181"/>
      <c r="AK61" s="181"/>
      <c r="AL61" s="181"/>
      <c r="AM61" s="181"/>
      <c r="AN61" s="181"/>
      <c r="AO61" s="181"/>
      <c r="AP61" s="181"/>
      <c r="AQ61" s="181"/>
      <c r="AR61" s="181"/>
      <c r="AS61" s="181"/>
      <c r="AT61" s="181"/>
      <c r="AU61" s="181"/>
      <c r="AV61" s="181"/>
      <c r="AW61" s="181"/>
      <c r="AX61" s="181"/>
      <c r="AY61" s="181"/>
      <c r="AZ61" s="181"/>
      <c r="BA61" s="181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</row>
    <row r="62" spans="2:82" ht="20.25" customHeight="1">
      <c r="B62" s="825" t="str">
        <f>data!H30</f>
        <v>5 WBT S</v>
      </c>
      <c r="C62" s="826"/>
      <c r="D62" s="822">
        <f>data!J30</f>
        <v>84.21</v>
      </c>
      <c r="E62" s="822"/>
      <c r="F62" s="819">
        <v>0</v>
      </c>
      <c r="G62" s="819"/>
      <c r="H62" s="819">
        <v>0</v>
      </c>
      <c r="I62" s="819"/>
      <c r="J62" s="265"/>
      <c r="Q62" s="252"/>
      <c r="S62" s="181"/>
      <c r="T62" s="181"/>
      <c r="U62" s="212"/>
      <c r="V62" s="181"/>
      <c r="W62" s="205" t="str">
        <f t="shared" si="0"/>
        <v>2 FO SETT (S)</v>
      </c>
      <c r="X62" s="204"/>
      <c r="Y62" s="181">
        <f t="shared" si="1"/>
        <v>0</v>
      </c>
      <c r="Z62" s="184">
        <f t="shared" si="2"/>
        <v>122.3</v>
      </c>
      <c r="AA62" s="181">
        <f t="shared" si="3"/>
        <v>0</v>
      </c>
      <c r="AB62" s="181"/>
      <c r="AC62" s="201"/>
      <c r="AD62" s="181"/>
      <c r="AE62" s="181"/>
      <c r="AF62" s="181"/>
      <c r="AG62" s="181"/>
      <c r="AH62" s="181"/>
      <c r="AI62" s="181"/>
      <c r="AJ62" s="181"/>
      <c r="AK62" s="181"/>
      <c r="AL62" s="181"/>
      <c r="AM62" s="181"/>
      <c r="AN62" s="181"/>
      <c r="AO62" s="181"/>
      <c r="AP62" s="181"/>
      <c r="AQ62" s="181"/>
      <c r="AR62" s="181"/>
      <c r="AS62" s="181"/>
      <c r="AT62" s="181"/>
      <c r="AU62" s="181"/>
      <c r="AV62" s="181"/>
      <c r="AW62" s="181"/>
      <c r="AX62" s="181"/>
      <c r="AY62" s="181"/>
      <c r="AZ62" s="181"/>
      <c r="BA62" s="181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</row>
    <row r="63" spans="2:82" ht="20.25" customHeight="1">
      <c r="B63" s="825" t="str">
        <f>data!H31</f>
        <v>DWST (P)</v>
      </c>
      <c r="C63" s="826"/>
      <c r="D63" s="822">
        <f>data!J31</f>
        <v>105.55</v>
      </c>
      <c r="E63" s="822"/>
      <c r="F63" s="819"/>
      <c r="G63" s="819"/>
      <c r="H63" s="819"/>
      <c r="I63" s="820"/>
      <c r="J63" s="265"/>
      <c r="Q63" s="252"/>
      <c r="S63" s="181"/>
      <c r="T63" s="181"/>
      <c r="U63" s="212"/>
      <c r="V63" s="181"/>
      <c r="W63" s="205" t="str">
        <f t="shared" si="0"/>
        <v>1 FO SERV (S)</v>
      </c>
      <c r="X63" s="204"/>
      <c r="Y63" s="181">
        <f t="shared" si="1"/>
        <v>0</v>
      </c>
      <c r="Z63" s="184">
        <f t="shared" si="2"/>
        <v>125.5</v>
      </c>
      <c r="AA63" s="181">
        <f t="shared" si="3"/>
        <v>0</v>
      </c>
      <c r="AB63" s="181"/>
      <c r="AC63" s="201"/>
      <c r="AD63" s="181"/>
      <c r="AE63" s="181"/>
      <c r="AF63" s="181"/>
      <c r="AG63" s="181"/>
      <c r="AH63" s="181"/>
      <c r="AI63" s="181"/>
      <c r="AJ63" s="181"/>
      <c r="AK63" s="181"/>
      <c r="AL63" s="181"/>
      <c r="AM63" s="181"/>
      <c r="AN63" s="181"/>
      <c r="AO63" s="181"/>
      <c r="AP63" s="181"/>
      <c r="AQ63" s="181"/>
      <c r="AR63" s="181"/>
      <c r="AS63" s="181"/>
      <c r="AT63" s="181"/>
      <c r="AU63" s="181"/>
      <c r="AV63" s="181"/>
      <c r="AW63" s="181"/>
      <c r="AX63" s="181"/>
      <c r="AY63" s="181"/>
      <c r="AZ63" s="181"/>
      <c r="BA63" s="181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</row>
    <row r="64" spans="2:82" ht="20.25" customHeight="1">
      <c r="B64" s="825" t="str">
        <f>data!H32</f>
        <v>DWST (S)</v>
      </c>
      <c r="C64" s="826"/>
      <c r="D64" s="822">
        <f>data!J32</f>
        <v>105.55</v>
      </c>
      <c r="E64" s="822"/>
      <c r="F64" s="819"/>
      <c r="G64" s="819"/>
      <c r="H64" s="819"/>
      <c r="I64" s="820"/>
      <c r="J64" s="265"/>
      <c r="Q64" s="252"/>
      <c r="R64" s="297"/>
      <c r="S64" s="206"/>
      <c r="T64" s="181"/>
      <c r="U64" s="212"/>
      <c r="V64" s="181"/>
      <c r="W64" s="205" t="str">
        <f t="shared" si="0"/>
        <v>2 FO SERV (S)</v>
      </c>
      <c r="X64" s="204"/>
      <c r="Y64" s="181">
        <f t="shared" si="1"/>
        <v>0</v>
      </c>
      <c r="Z64" s="184">
        <f t="shared" si="2"/>
        <v>128.69999999999999</v>
      </c>
      <c r="AA64" s="181">
        <f t="shared" si="3"/>
        <v>0</v>
      </c>
      <c r="AB64" s="181"/>
      <c r="AC64" s="201"/>
      <c r="AD64" s="181"/>
      <c r="AE64" s="181"/>
      <c r="AF64" s="181"/>
      <c r="AG64" s="181"/>
      <c r="AH64" s="181"/>
      <c r="AI64" s="181"/>
      <c r="AJ64" s="181"/>
      <c r="AK64" s="181"/>
      <c r="AL64" s="181"/>
      <c r="AM64" s="181"/>
      <c r="AN64" s="181"/>
      <c r="AO64" s="181"/>
      <c r="AP64" s="181"/>
      <c r="AQ64" s="181"/>
      <c r="AR64" s="181"/>
      <c r="AS64" s="181"/>
      <c r="AT64" s="181"/>
      <c r="AU64" s="181"/>
      <c r="AV64" s="181"/>
      <c r="AW64" s="181"/>
      <c r="AX64" s="181"/>
      <c r="AY64" s="181"/>
      <c r="AZ64" s="181"/>
      <c r="BA64" s="181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</row>
    <row r="65" spans="1:82" ht="20.25" customHeight="1">
      <c r="B65" s="825">
        <f>data!H33</f>
        <v>0</v>
      </c>
      <c r="C65" s="826"/>
      <c r="D65" s="822">
        <f>data!J33</f>
        <v>0</v>
      </c>
      <c r="E65" s="822"/>
      <c r="F65" s="819"/>
      <c r="G65" s="819"/>
      <c r="H65" s="819"/>
      <c r="I65" s="820"/>
      <c r="J65" s="265"/>
      <c r="Q65" s="252"/>
      <c r="R65" s="297"/>
      <c r="S65" s="206"/>
      <c r="T65" s="181"/>
      <c r="U65" s="212"/>
      <c r="V65" s="181"/>
      <c r="W65" s="205" t="str">
        <f t="shared" si="0"/>
        <v>1 DOT STBD</v>
      </c>
      <c r="X65" s="204"/>
      <c r="Y65" s="181">
        <f t="shared" si="1"/>
        <v>0</v>
      </c>
      <c r="Z65" s="184">
        <f t="shared" si="2"/>
        <v>140.62</v>
      </c>
      <c r="AA65" s="181">
        <f t="shared" si="3"/>
        <v>0</v>
      </c>
      <c r="AB65" s="181"/>
      <c r="AC65" s="201"/>
      <c r="AD65" s="181"/>
      <c r="AE65" s="181"/>
      <c r="AF65" s="181"/>
      <c r="AG65" s="181"/>
      <c r="AH65" s="181"/>
      <c r="AI65" s="181"/>
      <c r="AJ65" s="181"/>
      <c r="AK65" s="181"/>
      <c r="AL65" s="181"/>
      <c r="AM65" s="181"/>
      <c r="AN65" s="181"/>
      <c r="AO65" s="181"/>
      <c r="AP65" s="181"/>
      <c r="AQ65" s="181"/>
      <c r="AR65" s="181"/>
      <c r="AS65" s="181"/>
      <c r="AT65" s="181"/>
      <c r="AU65" s="181"/>
      <c r="AV65" s="181"/>
      <c r="AW65" s="181"/>
      <c r="AX65" s="181"/>
      <c r="AY65" s="181"/>
      <c r="AZ65" s="181"/>
      <c r="BA65" s="181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</row>
    <row r="66" spans="1:82" ht="20.25" customHeight="1">
      <c r="B66" s="825">
        <f>data!H34</f>
        <v>0</v>
      </c>
      <c r="C66" s="826"/>
      <c r="D66" s="822">
        <f>data!J34</f>
        <v>0</v>
      </c>
      <c r="E66" s="822"/>
      <c r="F66" s="819"/>
      <c r="G66" s="819"/>
      <c r="H66" s="819"/>
      <c r="I66" s="820"/>
      <c r="J66" s="265"/>
      <c r="Q66" s="252"/>
      <c r="R66" s="295"/>
      <c r="S66" s="184"/>
      <c r="T66" s="181"/>
      <c r="U66" s="212"/>
      <c r="V66" s="181"/>
      <c r="W66" s="205" t="str">
        <f t="shared" si="0"/>
        <v>2 DOT STBD</v>
      </c>
      <c r="X66" s="204"/>
      <c r="Y66" s="181">
        <f t="shared" si="1"/>
        <v>0</v>
      </c>
      <c r="Z66" s="184">
        <f t="shared" si="2"/>
        <v>144.78</v>
      </c>
      <c r="AA66" s="181">
        <f t="shared" si="3"/>
        <v>0</v>
      </c>
      <c r="AB66" s="181"/>
      <c r="AC66" s="201"/>
      <c r="AD66" s="181"/>
      <c r="AE66" s="181"/>
      <c r="AF66" s="181"/>
      <c r="AG66" s="181"/>
      <c r="AH66" s="181"/>
      <c r="AI66" s="181"/>
      <c r="AJ66" s="181"/>
      <c r="AK66" s="181"/>
      <c r="AL66" s="181"/>
      <c r="AM66" s="181"/>
      <c r="AN66" s="181"/>
      <c r="AO66" s="181"/>
      <c r="AP66" s="181"/>
      <c r="AQ66" s="181"/>
      <c r="AR66" s="181"/>
      <c r="AS66" s="181"/>
      <c r="AT66" s="181"/>
      <c r="AU66" s="181"/>
      <c r="AV66" s="181"/>
      <c r="AW66" s="181"/>
      <c r="AX66" s="181"/>
      <c r="AY66" s="181"/>
      <c r="AZ66" s="181"/>
      <c r="BA66" s="181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</row>
    <row r="67" spans="1:82" ht="20.25" customHeight="1" thickBot="1">
      <c r="B67" s="836">
        <f>data!H35</f>
        <v>0</v>
      </c>
      <c r="C67" s="837"/>
      <c r="D67" s="838">
        <f>data!J35</f>
        <v>0</v>
      </c>
      <c r="E67" s="838"/>
      <c r="F67" s="839"/>
      <c r="G67" s="839"/>
      <c r="H67" s="839"/>
      <c r="I67" s="840"/>
      <c r="J67" s="264"/>
      <c r="K67" s="253"/>
      <c r="L67" s="253"/>
      <c r="M67" s="253"/>
      <c r="N67" s="253"/>
      <c r="O67" s="253"/>
      <c r="P67" s="253"/>
      <c r="Q67" s="254"/>
      <c r="R67" s="295"/>
      <c r="S67" s="184"/>
      <c r="T67" s="181"/>
      <c r="U67" s="212"/>
      <c r="V67" s="181"/>
      <c r="W67" s="205" t="str">
        <f t="shared" si="0"/>
        <v>FWT PORT</v>
      </c>
      <c r="X67" s="204"/>
      <c r="Y67" s="181">
        <f t="shared" si="1"/>
        <v>-7</v>
      </c>
      <c r="Z67" s="184">
        <f t="shared" si="2"/>
        <v>153.27000000000001</v>
      </c>
      <c r="AA67" s="181">
        <f t="shared" si="3"/>
        <v>-1072.8900000000001</v>
      </c>
      <c r="AB67" s="181"/>
      <c r="AC67" s="201"/>
      <c r="AD67" s="181"/>
      <c r="AE67" s="181"/>
      <c r="AF67" s="181"/>
      <c r="AG67" s="181"/>
      <c r="AH67" s="181"/>
      <c r="AI67" s="181"/>
      <c r="AJ67" s="181"/>
      <c r="AK67" s="181"/>
      <c r="AL67" s="181"/>
      <c r="AM67" s="181"/>
      <c r="AN67" s="181"/>
      <c r="AO67" s="181"/>
      <c r="AP67" s="181"/>
      <c r="AQ67" s="181"/>
      <c r="AR67" s="181"/>
      <c r="AS67" s="181"/>
      <c r="AT67" s="181"/>
      <c r="AU67" s="181"/>
      <c r="AV67" s="181"/>
      <c r="AW67" s="181"/>
      <c r="AX67" s="181"/>
      <c r="AY67" s="181"/>
      <c r="AZ67" s="181"/>
      <c r="BA67" s="181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</row>
    <row r="68" spans="1:82" ht="20.25" customHeight="1">
      <c r="S68" s="181"/>
      <c r="T68" s="181"/>
      <c r="U68" s="212"/>
      <c r="V68" s="181"/>
      <c r="W68" s="205" t="str">
        <f t="shared" si="0"/>
        <v>DWT STBD</v>
      </c>
      <c r="X68" s="204"/>
      <c r="Y68" s="181">
        <f t="shared" si="1"/>
        <v>97</v>
      </c>
      <c r="Z68" s="184">
        <f t="shared" si="2"/>
        <v>153.27000000000001</v>
      </c>
      <c r="AA68" s="181">
        <f t="shared" si="3"/>
        <v>14867.19</v>
      </c>
      <c r="AB68" s="181"/>
      <c r="AC68" s="201"/>
      <c r="AD68" s="181"/>
      <c r="AE68" s="181"/>
      <c r="AF68" s="181"/>
      <c r="AG68" s="181"/>
      <c r="AH68" s="181"/>
      <c r="AI68" s="181"/>
      <c r="AJ68" s="181"/>
      <c r="AK68" s="181"/>
      <c r="AL68" s="181"/>
      <c r="AM68" s="181"/>
      <c r="AN68" s="181"/>
      <c r="AO68" s="181"/>
      <c r="AP68" s="181"/>
      <c r="AQ68" s="181"/>
      <c r="AR68" s="181"/>
      <c r="AS68" s="181"/>
      <c r="AT68" s="181"/>
      <c r="AU68" s="181"/>
      <c r="AV68" s="181"/>
      <c r="AW68" s="181"/>
      <c r="AX68" s="181"/>
      <c r="AY68" s="181"/>
      <c r="AZ68" s="181"/>
      <c r="BA68" s="181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</row>
    <row r="69" spans="1:82" ht="20.2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181"/>
      <c r="S69" s="181"/>
      <c r="T69" s="181"/>
      <c r="U69" s="212"/>
      <c r="V69" s="181"/>
      <c r="W69" s="205" t="str">
        <f t="shared" si="0"/>
        <v>APT '(C)</v>
      </c>
      <c r="X69" s="204"/>
      <c r="Y69" s="181">
        <f t="shared" si="1"/>
        <v>179</v>
      </c>
      <c r="Z69" s="184">
        <f t="shared" si="2"/>
        <v>155.1</v>
      </c>
      <c r="AA69" s="181">
        <f t="shared" si="3"/>
        <v>27762.899999999998</v>
      </c>
      <c r="AB69" s="181"/>
      <c r="AC69" s="201"/>
      <c r="AD69" s="181"/>
      <c r="AE69" s="181"/>
      <c r="AF69" s="181"/>
      <c r="AG69" s="181"/>
      <c r="AH69" s="181"/>
      <c r="AI69" s="181"/>
      <c r="AJ69" s="181"/>
      <c r="AK69" s="181"/>
      <c r="AL69" s="181"/>
      <c r="AM69" s="181"/>
      <c r="AN69" s="181"/>
      <c r="AO69" s="181"/>
      <c r="AP69" s="181"/>
      <c r="AQ69" s="181"/>
      <c r="AR69" s="181"/>
      <c r="AS69" s="181"/>
      <c r="AT69" s="181"/>
      <c r="AU69" s="181"/>
      <c r="AV69" s="181"/>
      <c r="AW69" s="181"/>
      <c r="AX69" s="181"/>
      <c r="AY69" s="181"/>
      <c r="AZ69" s="181"/>
      <c r="BA69" s="181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</row>
    <row r="70" spans="1:82" ht="20.25" customHeight="1">
      <c r="A70" s="32"/>
      <c r="B70" s="829"/>
      <c r="C70" s="828"/>
      <c r="D70" s="828"/>
      <c r="E70" s="828"/>
      <c r="F70" s="828"/>
      <c r="G70" s="828"/>
      <c r="H70" s="828"/>
      <c r="I70" s="828"/>
      <c r="J70" s="828"/>
      <c r="K70" s="32"/>
      <c r="L70" s="32"/>
      <c r="M70" s="32"/>
      <c r="N70" s="32"/>
      <c r="O70" s="32"/>
      <c r="P70" s="32"/>
      <c r="Q70" s="32"/>
      <c r="R70" s="181"/>
      <c r="S70" s="181"/>
      <c r="T70" s="181"/>
      <c r="U70" s="212"/>
      <c r="V70" s="181"/>
      <c r="W70" s="205" t="str">
        <f t="shared" si="0"/>
        <v>LO SUMP '(C)</v>
      </c>
      <c r="X70" s="204"/>
      <c r="Y70" s="181">
        <f t="shared" si="1"/>
        <v>-4</v>
      </c>
      <c r="Z70" s="184">
        <f t="shared" si="2"/>
        <v>131.57</v>
      </c>
      <c r="AA70" s="181">
        <f t="shared" si="3"/>
        <v>-526.28</v>
      </c>
      <c r="AB70" s="181"/>
      <c r="AC70" s="201"/>
      <c r="AD70" s="181"/>
      <c r="AE70" s="181"/>
      <c r="AF70" s="181"/>
      <c r="AG70" s="181"/>
      <c r="AH70" s="181"/>
      <c r="AI70" s="181"/>
      <c r="AJ70" s="181"/>
      <c r="AK70" s="181"/>
      <c r="AL70" s="181"/>
      <c r="AM70" s="181"/>
      <c r="AN70" s="181"/>
      <c r="AO70" s="181"/>
      <c r="AP70" s="181"/>
      <c r="AQ70" s="181"/>
      <c r="AR70" s="181"/>
      <c r="AS70" s="181"/>
      <c r="AT70" s="181"/>
      <c r="AU70" s="181"/>
      <c r="AV70" s="181"/>
      <c r="AW70" s="181"/>
      <c r="AX70" s="181"/>
      <c r="AY70" s="181"/>
      <c r="AZ70" s="181"/>
      <c r="BA70" s="181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</row>
    <row r="71" spans="1:82" ht="20.25" customHeight="1">
      <c r="A71" s="32"/>
      <c r="B71" s="829"/>
      <c r="C71" s="828"/>
      <c r="D71" s="828"/>
      <c r="E71" s="828"/>
      <c r="F71" s="828"/>
      <c r="G71" s="828"/>
      <c r="H71" s="828"/>
      <c r="I71" s="828"/>
      <c r="J71" s="828"/>
      <c r="K71" s="32"/>
      <c r="L71" s="32"/>
      <c r="M71" s="32"/>
      <c r="N71" s="32"/>
      <c r="O71" s="32"/>
      <c r="P71" s="32"/>
      <c r="Q71" s="32"/>
      <c r="R71" s="181"/>
      <c r="S71" s="181"/>
      <c r="T71" s="181"/>
      <c r="U71" s="212"/>
      <c r="V71" s="181"/>
      <c r="W71" s="205" t="str">
        <f t="shared" si="0"/>
        <v>1 WBT P</v>
      </c>
      <c r="X71" s="204"/>
      <c r="Y71" s="181">
        <f t="shared" si="1"/>
        <v>0</v>
      </c>
      <c r="Z71" s="184">
        <f t="shared" si="2"/>
        <v>-123.28</v>
      </c>
      <c r="AA71" s="181">
        <f t="shared" si="3"/>
        <v>0</v>
      </c>
      <c r="AB71" s="181"/>
      <c r="AC71" s="201"/>
      <c r="AD71" s="181"/>
      <c r="AE71" s="181"/>
      <c r="AF71" s="181"/>
      <c r="AG71" s="181"/>
      <c r="AH71" s="181"/>
      <c r="AI71" s="181"/>
      <c r="AJ71" s="181"/>
      <c r="AK71" s="181"/>
      <c r="AL71" s="181"/>
      <c r="AM71" s="181"/>
      <c r="AN71" s="181"/>
      <c r="AO71" s="181"/>
      <c r="AP71" s="181"/>
      <c r="AQ71" s="181"/>
      <c r="AR71" s="181"/>
      <c r="AS71" s="181"/>
      <c r="AT71" s="181"/>
      <c r="AU71" s="181"/>
      <c r="AV71" s="181"/>
      <c r="AW71" s="181"/>
      <c r="AX71" s="181"/>
      <c r="AY71" s="181"/>
      <c r="AZ71" s="181"/>
      <c r="BA71" s="181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</row>
    <row r="72" spans="1:82" ht="20.25" customHeight="1">
      <c r="A72" s="32"/>
      <c r="B72" s="35"/>
      <c r="C72" s="167"/>
      <c r="D72" s="827"/>
      <c r="E72" s="827"/>
      <c r="F72" s="829"/>
      <c r="G72" s="829"/>
      <c r="H72" s="827"/>
      <c r="I72" s="827"/>
      <c r="J72" s="167"/>
      <c r="K72" s="32"/>
      <c r="L72" s="32"/>
      <c r="M72" s="32"/>
      <c r="N72" s="32"/>
      <c r="O72" s="32"/>
      <c r="P72" s="32"/>
      <c r="Q72" s="32"/>
      <c r="R72" s="181"/>
      <c r="S72" s="181"/>
      <c r="T72" s="181"/>
      <c r="U72" s="212"/>
      <c r="V72" s="181"/>
      <c r="W72" s="205" t="str">
        <f t="shared" si="0"/>
        <v>1 WBT S</v>
      </c>
      <c r="X72" s="204"/>
      <c r="Y72" s="181">
        <f t="shared" si="1"/>
        <v>0</v>
      </c>
      <c r="Z72" s="184">
        <f t="shared" si="2"/>
        <v>-123.28</v>
      </c>
      <c r="AA72" s="181">
        <f t="shared" si="3"/>
        <v>0</v>
      </c>
      <c r="AB72" s="181"/>
      <c r="AC72" s="201"/>
      <c r="AD72" s="181"/>
      <c r="AE72" s="181"/>
      <c r="AF72" s="181"/>
      <c r="AG72" s="181"/>
      <c r="AH72" s="181"/>
      <c r="AI72" s="181"/>
      <c r="AJ72" s="181"/>
      <c r="AK72" s="181"/>
      <c r="AL72" s="181"/>
      <c r="AM72" s="181"/>
      <c r="AN72" s="181"/>
      <c r="AO72" s="181"/>
      <c r="AP72" s="181"/>
      <c r="AQ72" s="181"/>
      <c r="AR72" s="181"/>
      <c r="AS72" s="181"/>
      <c r="AT72" s="181"/>
      <c r="AU72" s="181"/>
      <c r="AV72" s="181"/>
      <c r="AW72" s="181"/>
      <c r="AX72" s="181"/>
      <c r="AY72" s="181"/>
      <c r="AZ72" s="181"/>
      <c r="BA72" s="181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</row>
    <row r="73" spans="1:82" ht="20.25" customHeight="1">
      <c r="A73" s="32"/>
      <c r="B73" s="35"/>
      <c r="C73" s="167"/>
      <c r="D73" s="827"/>
      <c r="E73" s="827"/>
      <c r="F73" s="829"/>
      <c r="G73" s="829"/>
      <c r="H73" s="827"/>
      <c r="I73" s="827"/>
      <c r="J73" s="167"/>
      <c r="K73" s="32"/>
      <c r="L73" s="32"/>
      <c r="M73" s="32"/>
      <c r="N73" s="32"/>
      <c r="O73" s="32"/>
      <c r="P73" s="32"/>
      <c r="Q73" s="32"/>
      <c r="R73" s="181"/>
      <c r="S73" s="181"/>
      <c r="T73" s="181"/>
      <c r="U73" s="212"/>
      <c r="V73" s="181"/>
      <c r="W73" s="205" t="str">
        <f t="shared" si="0"/>
        <v>2 WBT P</v>
      </c>
      <c r="X73" s="204"/>
      <c r="Y73" s="181">
        <f t="shared" si="1"/>
        <v>0</v>
      </c>
      <c r="Z73" s="184">
        <f t="shared" si="2"/>
        <v>-76.489999999999995</v>
      </c>
      <c r="AA73" s="181">
        <f t="shared" si="3"/>
        <v>0</v>
      </c>
      <c r="AB73" s="181"/>
      <c r="AC73" s="201"/>
      <c r="AD73" s="181"/>
      <c r="AE73" s="181"/>
      <c r="AF73" s="181"/>
      <c r="AG73" s="181"/>
      <c r="AH73" s="181"/>
      <c r="AI73" s="181"/>
      <c r="AJ73" s="181"/>
      <c r="AK73" s="181"/>
      <c r="AL73" s="181"/>
      <c r="AM73" s="181"/>
      <c r="AN73" s="181"/>
      <c r="AO73" s="181"/>
      <c r="AP73" s="181"/>
      <c r="AQ73" s="181"/>
      <c r="AR73" s="181"/>
      <c r="AS73" s="181"/>
      <c r="AT73" s="181"/>
      <c r="AU73" s="181"/>
      <c r="AV73" s="181"/>
      <c r="AW73" s="181"/>
      <c r="AX73" s="181"/>
      <c r="AY73" s="181"/>
      <c r="AZ73" s="181"/>
      <c r="BA73" s="181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</row>
    <row r="74" spans="1:82" ht="20.2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181"/>
      <c r="S74" s="181"/>
      <c r="T74" s="181"/>
      <c r="U74" s="212"/>
      <c r="V74" s="181"/>
      <c r="W74" s="205" t="str">
        <f t="shared" si="0"/>
        <v>2 WBT S</v>
      </c>
      <c r="X74" s="204"/>
      <c r="Y74" s="181">
        <f t="shared" si="1"/>
        <v>0</v>
      </c>
      <c r="Z74" s="184">
        <f t="shared" si="2"/>
        <v>-76.489999999999995</v>
      </c>
      <c r="AA74" s="181">
        <f t="shared" si="3"/>
        <v>0</v>
      </c>
      <c r="AB74" s="181"/>
      <c r="AC74" s="201"/>
      <c r="AD74" s="181"/>
      <c r="AE74" s="181"/>
      <c r="AF74" s="181"/>
      <c r="AG74" s="181"/>
      <c r="AH74" s="181"/>
      <c r="AI74" s="181"/>
      <c r="AJ74" s="181"/>
      <c r="AK74" s="181"/>
      <c r="AL74" s="181"/>
      <c r="AM74" s="181"/>
      <c r="AN74" s="181"/>
      <c r="AO74" s="181"/>
      <c r="AP74" s="181"/>
      <c r="AQ74" s="181"/>
      <c r="AR74" s="181"/>
      <c r="AS74" s="181"/>
      <c r="AT74" s="181"/>
      <c r="AU74" s="181"/>
      <c r="AV74" s="181"/>
      <c r="AW74" s="181"/>
      <c r="AX74" s="181"/>
      <c r="AY74" s="181"/>
      <c r="AZ74" s="181"/>
      <c r="BA74" s="181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</row>
    <row r="75" spans="1:82" ht="20.2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181"/>
      <c r="S75" s="181"/>
      <c r="T75" s="181"/>
      <c r="U75" s="212"/>
      <c r="V75" s="181"/>
      <c r="W75" s="205" t="str">
        <f t="shared" si="0"/>
        <v>3 WBT P</v>
      </c>
      <c r="X75" s="204"/>
      <c r="Y75" s="181">
        <f t="shared" si="1"/>
        <v>0</v>
      </c>
      <c r="Z75" s="184">
        <f t="shared" si="2"/>
        <v>-22.08</v>
      </c>
      <c r="AA75" s="181">
        <f t="shared" si="3"/>
        <v>0</v>
      </c>
      <c r="AB75" s="181"/>
      <c r="AC75" s="201"/>
      <c r="AD75" s="181"/>
      <c r="AE75" s="181"/>
      <c r="AF75" s="181"/>
      <c r="AG75" s="181"/>
      <c r="AH75" s="181"/>
      <c r="AI75" s="181"/>
      <c r="AJ75" s="181"/>
      <c r="AK75" s="181"/>
      <c r="AL75" s="181"/>
      <c r="AM75" s="181"/>
      <c r="AN75" s="181"/>
      <c r="AO75" s="181"/>
      <c r="AP75" s="181"/>
      <c r="AQ75" s="181"/>
      <c r="AR75" s="181"/>
      <c r="AS75" s="181"/>
      <c r="AT75" s="181"/>
      <c r="AU75" s="181"/>
      <c r="AV75" s="181"/>
      <c r="AW75" s="181"/>
      <c r="AX75" s="181"/>
      <c r="AY75" s="181"/>
      <c r="AZ75" s="181"/>
      <c r="BA75" s="181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</row>
    <row r="76" spans="1:82" ht="20.2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181"/>
      <c r="S76" s="181"/>
      <c r="T76" s="181"/>
      <c r="U76" s="212"/>
      <c r="V76" s="181"/>
      <c r="W76" s="205" t="str">
        <f t="shared" si="0"/>
        <v>3 WBT S</v>
      </c>
      <c r="X76" s="204"/>
      <c r="Y76" s="181">
        <f t="shared" si="1"/>
        <v>0</v>
      </c>
      <c r="Z76" s="184">
        <f t="shared" si="2"/>
        <v>-22.08</v>
      </c>
      <c r="AA76" s="181">
        <f t="shared" si="3"/>
        <v>0</v>
      </c>
      <c r="AB76" s="181"/>
      <c r="AC76" s="201"/>
      <c r="AD76" s="181"/>
      <c r="AE76" s="181"/>
      <c r="AF76" s="181"/>
      <c r="AG76" s="181"/>
      <c r="AH76" s="181"/>
      <c r="AI76" s="181"/>
      <c r="AJ76" s="181"/>
      <c r="AK76" s="181"/>
      <c r="AL76" s="181"/>
      <c r="AM76" s="181"/>
      <c r="AN76" s="181"/>
      <c r="AO76" s="181"/>
      <c r="AP76" s="181"/>
      <c r="AQ76" s="181"/>
      <c r="AR76" s="181"/>
      <c r="AS76" s="181"/>
      <c r="AT76" s="181"/>
      <c r="AU76" s="181"/>
      <c r="AV76" s="181"/>
      <c r="AW76" s="181"/>
      <c r="AX76" s="181"/>
      <c r="AY76" s="181"/>
      <c r="AZ76" s="181"/>
      <c r="BA76" s="181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</row>
    <row r="77" spans="1:82" ht="20.2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181"/>
      <c r="S77" s="181"/>
      <c r="T77" s="181"/>
      <c r="U77" s="212"/>
      <c r="V77" s="181"/>
      <c r="W77" s="205" t="str">
        <f t="shared" si="0"/>
        <v>4 WBT P</v>
      </c>
      <c r="X77" s="204"/>
      <c r="Y77" s="181">
        <f t="shared" si="1"/>
        <v>0</v>
      </c>
      <c r="Z77" s="184">
        <f t="shared" si="2"/>
        <v>32.35</v>
      </c>
      <c r="AA77" s="181">
        <f t="shared" si="3"/>
        <v>0</v>
      </c>
      <c r="AB77" s="181"/>
      <c r="AC77" s="201"/>
      <c r="AD77" s="181"/>
      <c r="AE77" s="181"/>
      <c r="AF77" s="181"/>
      <c r="AG77" s="181"/>
      <c r="AH77" s="181"/>
      <c r="AI77" s="181"/>
      <c r="AJ77" s="181"/>
      <c r="AK77" s="181"/>
      <c r="AL77" s="181"/>
      <c r="AM77" s="181"/>
      <c r="AN77" s="181"/>
      <c r="AO77" s="181"/>
      <c r="AP77" s="181"/>
      <c r="AQ77" s="181"/>
      <c r="AR77" s="181"/>
      <c r="AS77" s="181"/>
      <c r="AT77" s="181"/>
      <c r="AU77" s="181"/>
      <c r="AV77" s="181"/>
      <c r="AW77" s="181"/>
      <c r="AX77" s="181"/>
      <c r="AY77" s="181"/>
      <c r="AZ77" s="181"/>
      <c r="BA77" s="181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</row>
    <row r="78" spans="1:82" ht="20.2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181"/>
      <c r="S78" s="181"/>
      <c r="T78" s="181"/>
      <c r="U78" s="212"/>
      <c r="V78" s="181"/>
      <c r="W78" s="205" t="str">
        <f t="shared" si="0"/>
        <v>4 WBT S</v>
      </c>
      <c r="X78" s="204"/>
      <c r="Y78" s="181">
        <f t="shared" si="1"/>
        <v>0</v>
      </c>
      <c r="Z78" s="184">
        <f t="shared" si="2"/>
        <v>32.35</v>
      </c>
      <c r="AA78" s="181">
        <f t="shared" si="3"/>
        <v>0</v>
      </c>
      <c r="AB78" s="181"/>
      <c r="AC78" s="201"/>
      <c r="AD78" s="181"/>
      <c r="AE78" s="181"/>
      <c r="AF78" s="181"/>
      <c r="AG78" s="181"/>
      <c r="AH78" s="181"/>
      <c r="AI78" s="181"/>
      <c r="AJ78" s="181"/>
      <c r="AK78" s="181"/>
      <c r="AL78" s="181"/>
      <c r="AM78" s="181"/>
      <c r="AN78" s="181"/>
      <c r="AO78" s="181"/>
      <c r="AP78" s="181"/>
      <c r="AQ78" s="181"/>
      <c r="AR78" s="181"/>
      <c r="AS78" s="181"/>
      <c r="AT78" s="181"/>
      <c r="AU78" s="181"/>
      <c r="AV78" s="181"/>
      <c r="AW78" s="181"/>
      <c r="AX78" s="181"/>
      <c r="AY78" s="181"/>
      <c r="AZ78" s="181"/>
      <c r="BA78" s="181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</row>
    <row r="79" spans="1:82" ht="20.2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181"/>
      <c r="S79" s="181"/>
      <c r="T79" s="181"/>
      <c r="U79" s="212"/>
      <c r="V79" s="181"/>
      <c r="W79" s="205" t="str">
        <f t="shared" si="0"/>
        <v>5 WBT P</v>
      </c>
      <c r="X79" s="204"/>
      <c r="Y79" s="181">
        <f t="shared" si="1"/>
        <v>0</v>
      </c>
      <c r="Z79" s="184">
        <f t="shared" si="2"/>
        <v>84.21</v>
      </c>
      <c r="AA79" s="181">
        <f t="shared" si="3"/>
        <v>0</v>
      </c>
      <c r="AB79" s="181"/>
      <c r="AC79" s="201"/>
      <c r="AD79" s="181"/>
      <c r="AE79" s="181"/>
      <c r="AF79" s="181"/>
      <c r="AG79" s="181"/>
      <c r="AH79" s="181"/>
      <c r="AI79" s="181"/>
      <c r="AJ79" s="181"/>
      <c r="AK79" s="181"/>
      <c r="AL79" s="181"/>
      <c r="AM79" s="181"/>
      <c r="AN79" s="181"/>
      <c r="AO79" s="181"/>
      <c r="AP79" s="181"/>
      <c r="AQ79" s="181"/>
      <c r="AR79" s="181"/>
      <c r="AS79" s="181"/>
      <c r="AT79" s="181"/>
      <c r="AU79" s="181"/>
      <c r="AV79" s="181"/>
      <c r="AW79" s="181"/>
      <c r="AX79" s="181"/>
      <c r="AY79" s="181"/>
      <c r="AZ79" s="181"/>
      <c r="BA79" s="181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</row>
    <row r="80" spans="1:82" ht="20.2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181"/>
      <c r="S80" s="181"/>
      <c r="T80" s="181"/>
      <c r="U80" s="212"/>
      <c r="V80" s="181"/>
      <c r="W80" s="205" t="str">
        <f t="shared" si="0"/>
        <v>5 WBT S</v>
      </c>
      <c r="X80" s="204"/>
      <c r="Y80" s="181">
        <f t="shared" si="1"/>
        <v>0</v>
      </c>
      <c r="Z80" s="184">
        <f t="shared" si="2"/>
        <v>84.21</v>
      </c>
      <c r="AA80" s="181">
        <f t="shared" si="3"/>
        <v>0</v>
      </c>
      <c r="AB80" s="181"/>
      <c r="AC80" s="201"/>
      <c r="AD80" s="181"/>
      <c r="AE80" s="181"/>
      <c r="AF80" s="181"/>
      <c r="AG80" s="181"/>
      <c r="AH80" s="181"/>
      <c r="AI80" s="181"/>
      <c r="AJ80" s="181"/>
      <c r="AK80" s="181"/>
      <c r="AL80" s="181"/>
      <c r="AM80" s="181"/>
      <c r="AN80" s="181"/>
      <c r="AO80" s="181"/>
      <c r="AP80" s="181"/>
      <c r="AQ80" s="181"/>
      <c r="AR80" s="181"/>
      <c r="AS80" s="181"/>
      <c r="AT80" s="181"/>
      <c r="AU80" s="181"/>
      <c r="AV80" s="181"/>
      <c r="AW80" s="181"/>
      <c r="AX80" s="181"/>
      <c r="AY80" s="181"/>
      <c r="AZ80" s="181"/>
      <c r="BA80" s="181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</row>
    <row r="81" spans="1:82" ht="20.2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181"/>
      <c r="S81" s="181"/>
      <c r="T81" s="181"/>
      <c r="U81" s="212"/>
      <c r="V81" s="181"/>
      <c r="W81" s="205" t="str">
        <f t="shared" si="0"/>
        <v>DWST (P)</v>
      </c>
      <c r="X81" s="204"/>
      <c r="Y81" s="181">
        <f t="shared" si="1"/>
        <v>0</v>
      </c>
      <c r="Z81" s="184">
        <f t="shared" si="2"/>
        <v>105.55</v>
      </c>
      <c r="AA81" s="181">
        <f t="shared" si="3"/>
        <v>0</v>
      </c>
      <c r="AB81" s="181"/>
      <c r="AC81" s="201"/>
      <c r="AD81" s="181"/>
      <c r="AE81" s="181"/>
      <c r="AF81" s="181"/>
      <c r="AG81" s="181"/>
      <c r="AH81" s="181"/>
      <c r="AI81" s="181"/>
      <c r="AJ81" s="181"/>
      <c r="AK81" s="181"/>
      <c r="AL81" s="181"/>
      <c r="AM81" s="181"/>
      <c r="AN81" s="181"/>
      <c r="AO81" s="181"/>
      <c r="AP81" s="181"/>
      <c r="AQ81" s="181"/>
      <c r="AR81" s="181"/>
      <c r="AS81" s="181"/>
      <c r="AT81" s="181"/>
      <c r="AU81" s="181"/>
      <c r="AV81" s="181"/>
      <c r="AW81" s="181"/>
      <c r="AX81" s="181"/>
      <c r="AY81" s="181"/>
      <c r="AZ81" s="181"/>
      <c r="BA81" s="181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</row>
    <row r="82" spans="1:82" ht="20.2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181"/>
      <c r="S82" s="181"/>
      <c r="T82" s="181"/>
      <c r="U82" s="212"/>
      <c r="V82" s="181"/>
      <c r="W82" s="205" t="str">
        <f t="shared" si="0"/>
        <v>DWST (S)</v>
      </c>
      <c r="X82" s="204"/>
      <c r="Y82" s="181">
        <f t="shared" si="1"/>
        <v>0</v>
      </c>
      <c r="Z82" s="184">
        <f t="shared" si="2"/>
        <v>105.55</v>
      </c>
      <c r="AA82" s="181">
        <f t="shared" si="3"/>
        <v>0</v>
      </c>
      <c r="AB82" s="181"/>
      <c r="AC82" s="201"/>
      <c r="AD82" s="181"/>
      <c r="AE82" s="181"/>
      <c r="AF82" s="181"/>
      <c r="AG82" s="181"/>
      <c r="AH82" s="181"/>
      <c r="AI82" s="181"/>
      <c r="AJ82" s="181"/>
      <c r="AK82" s="181"/>
      <c r="AL82" s="181"/>
      <c r="AM82" s="181"/>
      <c r="AN82" s="181"/>
      <c r="AO82" s="181"/>
      <c r="AP82" s="181"/>
      <c r="AQ82" s="181"/>
      <c r="AR82" s="181"/>
      <c r="AS82" s="181"/>
      <c r="AT82" s="181"/>
      <c r="AU82" s="181"/>
      <c r="AV82" s="181"/>
      <c r="AW82" s="181"/>
      <c r="AX82" s="181"/>
      <c r="AY82" s="181"/>
      <c r="AZ82" s="181"/>
      <c r="BA82" s="181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</row>
    <row r="83" spans="1:82" ht="20.2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181"/>
      <c r="S83" s="181"/>
      <c r="T83" s="181"/>
      <c r="U83" s="212"/>
      <c r="V83" s="181"/>
      <c r="W83" s="205">
        <f t="shared" si="0"/>
        <v>0</v>
      </c>
      <c r="X83" s="204"/>
      <c r="Y83" s="181">
        <f t="shared" si="1"/>
        <v>0</v>
      </c>
      <c r="Z83" s="184">
        <f t="shared" si="2"/>
        <v>0</v>
      </c>
      <c r="AA83" s="181">
        <f t="shared" si="3"/>
        <v>0</v>
      </c>
      <c r="AB83" s="181"/>
      <c r="AC83" s="201"/>
      <c r="AD83" s="181"/>
      <c r="AE83" s="181"/>
      <c r="AF83" s="181"/>
      <c r="AG83" s="181"/>
      <c r="AH83" s="181"/>
      <c r="AI83" s="181"/>
      <c r="AJ83" s="181"/>
      <c r="AK83" s="181"/>
      <c r="AL83" s="181"/>
      <c r="AM83" s="181"/>
      <c r="AN83" s="181"/>
      <c r="AO83" s="181"/>
      <c r="AP83" s="181"/>
      <c r="AQ83" s="181"/>
      <c r="AR83" s="181"/>
      <c r="AS83" s="181"/>
      <c r="AT83" s="181"/>
      <c r="AU83" s="181"/>
      <c r="AV83" s="181"/>
      <c r="AW83" s="181"/>
      <c r="AX83" s="181"/>
      <c r="AY83" s="181"/>
      <c r="AZ83" s="181"/>
      <c r="BA83" s="181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</row>
    <row r="84" spans="1:82" ht="20.2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181"/>
      <c r="S84" s="181"/>
      <c r="T84" s="181"/>
      <c r="U84" s="212"/>
      <c r="V84" s="181"/>
      <c r="W84" s="205">
        <f t="shared" si="0"/>
        <v>0</v>
      </c>
      <c r="X84" s="204"/>
      <c r="Y84" s="181">
        <f t="shared" si="1"/>
        <v>0</v>
      </c>
      <c r="Z84" s="184">
        <f t="shared" si="2"/>
        <v>0</v>
      </c>
      <c r="AA84" s="181">
        <f t="shared" si="3"/>
        <v>0</v>
      </c>
      <c r="AB84" s="181"/>
      <c r="AC84" s="201"/>
      <c r="AD84" s="181"/>
      <c r="AE84" s="181"/>
      <c r="AF84" s="181"/>
      <c r="AG84" s="181"/>
      <c r="AH84" s="181"/>
      <c r="AI84" s="181"/>
      <c r="AJ84" s="181"/>
      <c r="AK84" s="181"/>
      <c r="AL84" s="181"/>
      <c r="AM84" s="181"/>
      <c r="AN84" s="181"/>
      <c r="AO84" s="181"/>
      <c r="AP84" s="181"/>
      <c r="AQ84" s="181"/>
      <c r="AR84" s="181"/>
      <c r="AS84" s="181"/>
      <c r="AT84" s="181"/>
      <c r="AU84" s="181"/>
      <c r="AV84" s="181"/>
      <c r="AW84" s="181"/>
      <c r="AX84" s="181"/>
      <c r="AY84" s="181"/>
      <c r="AZ84" s="181"/>
      <c r="BA84" s="181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</row>
    <row r="85" spans="1:82" ht="20.2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181"/>
      <c r="S85" s="181"/>
      <c r="T85" s="181"/>
      <c r="U85" s="212"/>
      <c r="V85" s="181"/>
      <c r="W85" s="205">
        <f t="shared" si="0"/>
        <v>0</v>
      </c>
      <c r="X85" s="204"/>
      <c r="Y85" s="181">
        <f t="shared" si="1"/>
        <v>0</v>
      </c>
      <c r="Z85" s="184">
        <f t="shared" si="2"/>
        <v>0</v>
      </c>
      <c r="AA85" s="181">
        <f t="shared" si="3"/>
        <v>0</v>
      </c>
      <c r="AB85" s="181"/>
      <c r="AC85" s="201"/>
      <c r="AD85" s="181"/>
      <c r="AE85" s="181"/>
      <c r="AF85" s="181"/>
      <c r="AG85" s="181"/>
      <c r="AH85" s="181"/>
      <c r="AI85" s="181"/>
      <c r="AJ85" s="181"/>
      <c r="AK85" s="181"/>
      <c r="AL85" s="181"/>
      <c r="AM85" s="181"/>
      <c r="AN85" s="181"/>
      <c r="AO85" s="181"/>
      <c r="AP85" s="181"/>
      <c r="AQ85" s="181"/>
      <c r="AR85" s="181"/>
      <c r="AS85" s="181"/>
      <c r="AT85" s="181"/>
      <c r="AU85" s="181"/>
      <c r="AV85" s="181"/>
      <c r="AW85" s="181"/>
      <c r="AX85" s="181"/>
      <c r="AY85" s="181"/>
      <c r="AZ85" s="181"/>
      <c r="BA85" s="181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</row>
    <row r="86" spans="1:82" ht="20.2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181"/>
      <c r="S86" s="181"/>
      <c r="T86" s="181"/>
      <c r="U86" s="212"/>
      <c r="V86" s="181"/>
      <c r="W86" s="205"/>
      <c r="X86" s="204"/>
      <c r="Y86" s="181"/>
      <c r="Z86" s="184"/>
      <c r="AA86" s="181"/>
      <c r="AB86" s="181"/>
      <c r="AC86" s="201"/>
      <c r="AD86" s="181"/>
      <c r="AE86" s="181"/>
      <c r="AF86" s="181"/>
      <c r="AG86" s="181"/>
      <c r="AH86" s="181"/>
      <c r="AI86" s="181"/>
      <c r="AJ86" s="181"/>
      <c r="AK86" s="181"/>
      <c r="AL86" s="181"/>
      <c r="AM86" s="181"/>
      <c r="AN86" s="181"/>
      <c r="AO86" s="181"/>
      <c r="AP86" s="181"/>
      <c r="AQ86" s="181"/>
      <c r="AR86" s="181"/>
      <c r="AS86" s="181"/>
      <c r="AT86" s="181"/>
      <c r="AU86" s="181"/>
      <c r="AV86" s="181"/>
      <c r="AW86" s="181"/>
      <c r="AX86" s="181"/>
      <c r="AY86" s="181"/>
      <c r="AZ86" s="181"/>
      <c r="BA86" s="181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</row>
    <row r="87" spans="1:82" ht="20.2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181"/>
      <c r="S87" s="181"/>
      <c r="T87" s="181"/>
      <c r="U87" s="212"/>
      <c r="V87" s="181"/>
      <c r="W87" s="181"/>
      <c r="X87" s="207" t="s">
        <v>120</v>
      </c>
      <c r="Y87" s="207">
        <f>SUM(Y57:Y85)</f>
        <v>-165</v>
      </c>
      <c r="Z87" s="207"/>
      <c r="AA87" s="207">
        <f>SUM(AA57:AA85)</f>
        <v>-4686.6799999999903</v>
      </c>
      <c r="AB87" s="181"/>
      <c r="AC87" s="201"/>
      <c r="AD87" s="181"/>
      <c r="AE87" s="181"/>
      <c r="AF87" s="181"/>
      <c r="AG87" s="181"/>
      <c r="AH87" s="181"/>
      <c r="AI87" s="181"/>
      <c r="AJ87" s="181"/>
      <c r="AK87" s="181"/>
      <c r="AL87" s="181"/>
      <c r="AM87" s="181"/>
      <c r="AN87" s="181"/>
      <c r="AO87" s="181"/>
      <c r="AP87" s="181"/>
      <c r="AQ87" s="181"/>
      <c r="AR87" s="181"/>
      <c r="AS87" s="181"/>
      <c r="AT87" s="181"/>
      <c r="AU87" s="181"/>
      <c r="AV87" s="181"/>
      <c r="AW87" s="181"/>
      <c r="AX87" s="181"/>
      <c r="AY87" s="181"/>
      <c r="AZ87" s="181"/>
      <c r="BA87" s="181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</row>
    <row r="88" spans="1:82" ht="20.2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181"/>
      <c r="S88" s="181"/>
      <c r="T88" s="181"/>
      <c r="U88" s="218"/>
      <c r="V88" s="208"/>
      <c r="W88" s="208"/>
      <c r="X88" s="208"/>
      <c r="Y88" s="208"/>
      <c r="Z88" s="208"/>
      <c r="AA88" s="208"/>
      <c r="AB88" s="208"/>
      <c r="AC88" s="209"/>
      <c r="AD88" s="181"/>
      <c r="AE88" s="181"/>
      <c r="AF88" s="181"/>
      <c r="AG88" s="181"/>
      <c r="AH88" s="181"/>
      <c r="AI88" s="181"/>
      <c r="AJ88" s="181"/>
      <c r="AK88" s="181"/>
      <c r="AL88" s="181"/>
      <c r="AM88" s="181"/>
      <c r="AN88" s="181"/>
      <c r="AO88" s="181"/>
      <c r="AP88" s="181"/>
      <c r="AQ88" s="181"/>
      <c r="AR88" s="181"/>
      <c r="AS88" s="181"/>
      <c r="AT88" s="181"/>
      <c r="AU88" s="181"/>
      <c r="AV88" s="181"/>
      <c r="AW88" s="181"/>
      <c r="AX88" s="181"/>
      <c r="AY88" s="181"/>
      <c r="AZ88" s="181"/>
      <c r="BA88" s="181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</row>
    <row r="89" spans="1:82" ht="20.2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81"/>
      <c r="AI89" s="181"/>
      <c r="AJ89" s="181"/>
      <c r="AK89" s="181"/>
      <c r="AL89" s="181"/>
      <c r="AM89" s="181"/>
      <c r="AN89" s="181"/>
      <c r="AO89" s="181"/>
      <c r="AP89" s="181"/>
      <c r="AQ89" s="181"/>
      <c r="AR89" s="181"/>
      <c r="AS89" s="181"/>
      <c r="AT89" s="181"/>
      <c r="AU89" s="181"/>
      <c r="AV89" s="181"/>
      <c r="AW89" s="181"/>
      <c r="AX89" s="181"/>
      <c r="AY89" s="181"/>
      <c r="AZ89" s="181"/>
      <c r="BA89" s="181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</row>
    <row r="90" spans="1:82" ht="20.2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/>
      <c r="AC90" s="181"/>
      <c r="AD90" s="181"/>
      <c r="AE90" s="181"/>
      <c r="AF90" s="181"/>
      <c r="AG90" s="181"/>
      <c r="AH90" s="181"/>
      <c r="AI90" s="181"/>
      <c r="AJ90" s="181"/>
      <c r="AK90" s="181"/>
      <c r="AL90" s="181"/>
      <c r="AM90" s="181"/>
      <c r="AN90" s="181"/>
      <c r="AO90" s="181"/>
      <c r="AP90" s="181"/>
      <c r="AQ90" s="181"/>
      <c r="AR90" s="181"/>
      <c r="AS90" s="181"/>
      <c r="AT90" s="181"/>
      <c r="AU90" s="181"/>
      <c r="AV90" s="181"/>
      <c r="AW90" s="181"/>
      <c r="AX90" s="181"/>
      <c r="AY90" s="181"/>
      <c r="AZ90" s="181"/>
      <c r="BA90" s="181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</row>
    <row r="91" spans="1:82" ht="20.2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181"/>
      <c r="AC91" s="181"/>
      <c r="AD91" s="181"/>
      <c r="AE91" s="181"/>
      <c r="AF91" s="181"/>
      <c r="AG91" s="181"/>
      <c r="AH91" s="181"/>
      <c r="AI91" s="181"/>
      <c r="AJ91" s="181"/>
      <c r="AK91" s="181"/>
      <c r="AL91" s="181"/>
      <c r="AM91" s="181"/>
      <c r="AN91" s="181"/>
      <c r="AO91" s="181"/>
      <c r="AP91" s="181"/>
      <c r="AQ91" s="181"/>
      <c r="AR91" s="181"/>
      <c r="AS91" s="181"/>
      <c r="AT91" s="181"/>
      <c r="AU91" s="181"/>
      <c r="AV91" s="181"/>
      <c r="AW91" s="181"/>
      <c r="AX91" s="181"/>
      <c r="AY91" s="181"/>
      <c r="AZ91" s="181"/>
      <c r="BA91" s="181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</row>
    <row r="92" spans="1:82" ht="20.2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1"/>
      <c r="AC92" s="181"/>
      <c r="AD92" s="181"/>
      <c r="AE92" s="181"/>
      <c r="AF92" s="181"/>
      <c r="AG92" s="181"/>
      <c r="AH92" s="181"/>
      <c r="AI92" s="181"/>
      <c r="AJ92" s="181"/>
      <c r="AK92" s="181"/>
      <c r="AL92" s="181"/>
      <c r="AM92" s="181"/>
      <c r="AN92" s="181"/>
      <c r="AO92" s="181"/>
      <c r="AP92" s="181"/>
      <c r="AQ92" s="181"/>
      <c r="AR92" s="181"/>
      <c r="AS92" s="181"/>
      <c r="AT92" s="181"/>
      <c r="AU92" s="181"/>
      <c r="AV92" s="181"/>
      <c r="AW92" s="181"/>
      <c r="AX92" s="181"/>
      <c r="AY92" s="181"/>
      <c r="AZ92" s="181"/>
      <c r="BA92" s="181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</row>
    <row r="93" spans="1:82" ht="20.2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  <c r="AC93" s="181"/>
      <c r="AD93" s="181"/>
      <c r="AE93" s="181"/>
      <c r="AF93" s="181"/>
      <c r="AG93" s="181"/>
      <c r="AH93" s="181"/>
      <c r="AI93" s="181"/>
      <c r="AJ93" s="181"/>
      <c r="AK93" s="181"/>
      <c r="AL93" s="181"/>
      <c r="AM93" s="181"/>
      <c r="AN93" s="181"/>
      <c r="AO93" s="181"/>
      <c r="AP93" s="181"/>
      <c r="AQ93" s="181"/>
      <c r="AR93" s="181"/>
      <c r="AS93" s="181"/>
      <c r="AT93" s="181"/>
      <c r="AU93" s="181"/>
      <c r="AV93" s="181"/>
      <c r="AW93" s="181"/>
      <c r="AX93" s="181"/>
      <c r="AY93" s="181"/>
      <c r="AZ93" s="181"/>
      <c r="BA93" s="181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</row>
    <row r="94" spans="1:82" ht="20.2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181"/>
      <c r="S94" s="181"/>
      <c r="T94" s="181"/>
      <c r="U94" s="181"/>
      <c r="V94" s="181"/>
      <c r="W94" s="181"/>
      <c r="X94" s="181"/>
      <c r="Y94" s="181"/>
      <c r="Z94" s="181"/>
      <c r="AA94" s="181"/>
      <c r="AB94" s="181"/>
      <c r="AC94" s="181"/>
      <c r="AD94" s="181"/>
      <c r="AE94" s="181"/>
      <c r="AF94" s="181"/>
      <c r="AG94" s="181"/>
      <c r="AH94" s="181"/>
      <c r="AI94" s="181"/>
      <c r="AJ94" s="181"/>
      <c r="AK94" s="181"/>
      <c r="AL94" s="181"/>
      <c r="AM94" s="181"/>
      <c r="AN94" s="181"/>
      <c r="AO94" s="181"/>
      <c r="AP94" s="181"/>
      <c r="AQ94" s="181"/>
      <c r="AR94" s="181"/>
      <c r="AS94" s="181"/>
      <c r="AT94" s="181"/>
      <c r="AU94" s="181"/>
      <c r="AV94" s="181"/>
      <c r="AW94" s="181"/>
      <c r="AX94" s="181"/>
      <c r="AY94" s="181"/>
      <c r="AZ94" s="181"/>
      <c r="BA94" s="181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</row>
    <row r="95" spans="1:82" ht="20.2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181"/>
      <c r="S95" s="181"/>
      <c r="T95" s="181"/>
      <c r="U95" s="181"/>
      <c r="V95" s="181"/>
      <c r="W95" s="181"/>
      <c r="X95" s="181"/>
      <c r="Y95" s="181"/>
      <c r="Z95" s="181"/>
      <c r="AA95" s="181"/>
      <c r="AB95" s="181"/>
      <c r="AC95" s="181"/>
      <c r="AD95" s="181"/>
      <c r="AE95" s="181"/>
      <c r="AF95" s="181"/>
      <c r="AG95" s="181"/>
      <c r="AH95" s="181"/>
      <c r="AI95" s="181"/>
      <c r="AJ95" s="181"/>
      <c r="AK95" s="181"/>
      <c r="AL95" s="181"/>
      <c r="AM95" s="181"/>
      <c r="AN95" s="181"/>
      <c r="AO95" s="181"/>
      <c r="AP95" s="181"/>
      <c r="AQ95" s="181"/>
      <c r="AR95" s="181"/>
      <c r="AS95" s="181"/>
      <c r="AT95" s="181"/>
      <c r="AU95" s="181"/>
      <c r="AV95" s="181"/>
      <c r="AW95" s="181"/>
      <c r="AX95" s="181"/>
      <c r="AY95" s="181"/>
      <c r="AZ95" s="181"/>
      <c r="BA95" s="181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</row>
    <row r="96" spans="1:82" ht="20.2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181"/>
      <c r="AC96" s="181"/>
      <c r="AD96" s="181"/>
      <c r="AE96" s="181"/>
      <c r="AF96" s="181"/>
      <c r="AG96" s="181"/>
      <c r="AH96" s="181"/>
      <c r="AI96" s="181"/>
      <c r="AJ96" s="181"/>
      <c r="AK96" s="181"/>
      <c r="AL96" s="181"/>
      <c r="AM96" s="181"/>
      <c r="AN96" s="181"/>
      <c r="AO96" s="181"/>
      <c r="AP96" s="181"/>
      <c r="AQ96" s="181"/>
      <c r="AR96" s="181"/>
      <c r="AS96" s="181"/>
      <c r="AT96" s="181"/>
      <c r="AU96" s="181"/>
      <c r="AV96" s="181"/>
      <c r="AW96" s="181"/>
      <c r="AX96" s="181"/>
      <c r="AY96" s="181"/>
      <c r="AZ96" s="181"/>
      <c r="BA96" s="181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</row>
    <row r="97" spans="1:82" ht="20.2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81"/>
      <c r="AJ97" s="181"/>
      <c r="AK97" s="181"/>
      <c r="AL97" s="181"/>
      <c r="AM97" s="181"/>
      <c r="AN97" s="181"/>
      <c r="AO97" s="181"/>
      <c r="AP97" s="181"/>
      <c r="AQ97" s="181"/>
      <c r="AR97" s="181"/>
      <c r="AS97" s="181"/>
      <c r="AT97" s="181"/>
      <c r="AU97" s="181"/>
      <c r="AV97" s="181"/>
      <c r="AW97" s="181"/>
      <c r="AX97" s="181"/>
      <c r="AY97" s="181"/>
      <c r="AZ97" s="181"/>
      <c r="BA97" s="181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</row>
    <row r="98" spans="1:82" ht="20.2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81"/>
      <c r="AJ98" s="181"/>
      <c r="AK98" s="181"/>
      <c r="AL98" s="181"/>
      <c r="AM98" s="181"/>
      <c r="AN98" s="181"/>
      <c r="AO98" s="181"/>
      <c r="AP98" s="181"/>
      <c r="AQ98" s="181"/>
      <c r="AR98" s="181"/>
      <c r="AS98" s="181"/>
      <c r="AT98" s="181"/>
      <c r="AU98" s="181"/>
      <c r="AV98" s="181"/>
      <c r="AW98" s="181"/>
      <c r="AX98" s="181"/>
      <c r="AY98" s="181"/>
      <c r="AZ98" s="181"/>
      <c r="BA98" s="181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</row>
    <row r="99" spans="1:82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81"/>
      <c r="AJ99" s="181"/>
      <c r="AK99" s="181"/>
      <c r="AL99" s="181"/>
      <c r="AM99" s="181"/>
      <c r="AN99" s="181"/>
      <c r="AO99" s="181"/>
      <c r="AP99" s="181"/>
      <c r="AQ99" s="181"/>
      <c r="AR99" s="181"/>
      <c r="AS99" s="181"/>
      <c r="AT99" s="181"/>
      <c r="AU99" s="181"/>
      <c r="AV99" s="181"/>
      <c r="AW99" s="181"/>
      <c r="AX99" s="181"/>
      <c r="AY99" s="181"/>
      <c r="AZ99" s="181"/>
      <c r="BA99" s="181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</row>
    <row r="100" spans="1:82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81"/>
      <c r="AJ100" s="181"/>
      <c r="AK100" s="181"/>
      <c r="AL100" s="181"/>
      <c r="AM100" s="181"/>
      <c r="AN100" s="181"/>
      <c r="AO100" s="181"/>
      <c r="AP100" s="181"/>
      <c r="AQ100" s="181"/>
      <c r="AR100" s="181"/>
      <c r="AS100" s="181"/>
      <c r="AT100" s="181"/>
      <c r="AU100" s="181"/>
      <c r="AV100" s="181"/>
      <c r="AW100" s="181"/>
      <c r="AX100" s="181"/>
      <c r="AY100" s="181"/>
      <c r="AZ100" s="181"/>
      <c r="BA100" s="181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</row>
    <row r="101" spans="1:82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81"/>
      <c r="AJ101" s="181"/>
      <c r="AK101" s="181"/>
      <c r="AL101" s="181"/>
      <c r="AM101" s="181"/>
      <c r="AN101" s="181"/>
      <c r="AO101" s="181"/>
      <c r="AP101" s="181"/>
      <c r="AQ101" s="181"/>
      <c r="AR101" s="181"/>
      <c r="AS101" s="181"/>
      <c r="AT101" s="181"/>
      <c r="AU101" s="181"/>
      <c r="AV101" s="181"/>
      <c r="AW101" s="181"/>
      <c r="AX101" s="181"/>
      <c r="AY101" s="181"/>
      <c r="AZ101" s="181"/>
      <c r="BA101" s="181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</row>
    <row r="102" spans="1:8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81"/>
      <c r="AJ102" s="181"/>
      <c r="AK102" s="181"/>
      <c r="AL102" s="181"/>
      <c r="AM102" s="181"/>
      <c r="AN102" s="181"/>
      <c r="AO102" s="181"/>
      <c r="AP102" s="181"/>
      <c r="AQ102" s="181"/>
      <c r="AR102" s="181"/>
      <c r="AS102" s="181"/>
      <c r="AT102" s="181"/>
      <c r="AU102" s="181"/>
      <c r="AV102" s="181"/>
      <c r="AW102" s="181"/>
      <c r="AX102" s="181"/>
      <c r="AY102" s="181"/>
      <c r="AZ102" s="181"/>
      <c r="BA102" s="181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</row>
    <row r="103" spans="1:82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81"/>
      <c r="AJ103" s="181"/>
      <c r="AK103" s="181"/>
      <c r="AL103" s="181"/>
      <c r="AM103" s="181"/>
      <c r="AN103" s="181"/>
      <c r="AO103" s="181"/>
      <c r="AP103" s="181"/>
      <c r="AQ103" s="181"/>
      <c r="AR103" s="181"/>
      <c r="AS103" s="181"/>
      <c r="AT103" s="181"/>
      <c r="AU103" s="181"/>
      <c r="AV103" s="181"/>
      <c r="AW103" s="181"/>
      <c r="AX103" s="181"/>
      <c r="AY103" s="181"/>
      <c r="AZ103" s="181"/>
      <c r="BA103" s="181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</row>
    <row r="104" spans="1:82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81"/>
      <c r="AJ104" s="181"/>
      <c r="AK104" s="181"/>
      <c r="AL104" s="181"/>
      <c r="AM104" s="181"/>
      <c r="AN104" s="181"/>
      <c r="AO104" s="181"/>
      <c r="AP104" s="181"/>
      <c r="AQ104" s="181"/>
      <c r="AR104" s="181"/>
      <c r="AS104" s="181"/>
      <c r="AT104" s="181"/>
      <c r="AU104" s="181"/>
      <c r="AV104" s="181"/>
      <c r="AW104" s="181"/>
      <c r="AX104" s="181"/>
      <c r="AY104" s="181"/>
      <c r="AZ104" s="181"/>
      <c r="BA104" s="181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</row>
    <row r="105" spans="1:82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81"/>
      <c r="AJ105" s="181"/>
      <c r="AK105" s="181"/>
      <c r="AL105" s="181"/>
      <c r="AM105" s="181"/>
      <c r="AN105" s="181"/>
      <c r="AO105" s="181"/>
      <c r="AP105" s="181"/>
      <c r="AQ105" s="181"/>
      <c r="AR105" s="181"/>
      <c r="AS105" s="181"/>
      <c r="AT105" s="181"/>
      <c r="AU105" s="181"/>
      <c r="AV105" s="181"/>
      <c r="AW105" s="181"/>
      <c r="AX105" s="181"/>
      <c r="AY105" s="181"/>
      <c r="AZ105" s="181"/>
      <c r="BA105" s="181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</row>
    <row r="106" spans="1:82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81"/>
      <c r="AJ106" s="181"/>
      <c r="AK106" s="181"/>
      <c r="AL106" s="181"/>
      <c r="AM106" s="181"/>
      <c r="AN106" s="181"/>
      <c r="AO106" s="181"/>
      <c r="AP106" s="181"/>
      <c r="AQ106" s="181"/>
      <c r="AR106" s="181"/>
      <c r="AS106" s="181"/>
      <c r="AT106" s="181"/>
      <c r="AU106" s="181"/>
      <c r="AV106" s="181"/>
      <c r="AW106" s="181"/>
      <c r="AX106" s="181"/>
      <c r="AY106" s="181"/>
      <c r="AZ106" s="181"/>
      <c r="BA106" s="181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</row>
    <row r="107" spans="1:82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81"/>
      <c r="AJ107" s="181"/>
      <c r="AK107" s="181"/>
      <c r="AL107" s="181"/>
      <c r="AM107" s="181"/>
      <c r="AN107" s="181"/>
      <c r="AO107" s="181"/>
      <c r="AP107" s="181"/>
      <c r="AQ107" s="181"/>
      <c r="AR107" s="181"/>
      <c r="AS107" s="181"/>
      <c r="AT107" s="181"/>
      <c r="AU107" s="181"/>
      <c r="AV107" s="181"/>
      <c r="AW107" s="181"/>
      <c r="AX107" s="181"/>
      <c r="AY107" s="181"/>
      <c r="AZ107" s="181"/>
      <c r="BA107" s="181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</row>
    <row r="108" spans="1:82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81"/>
      <c r="AJ108" s="181"/>
      <c r="AK108" s="181"/>
      <c r="AL108" s="181"/>
      <c r="AM108" s="181"/>
      <c r="AN108" s="181"/>
      <c r="AO108" s="181"/>
      <c r="AP108" s="181"/>
      <c r="AQ108" s="181"/>
      <c r="AR108" s="181"/>
      <c r="AS108" s="181"/>
      <c r="AT108" s="181"/>
      <c r="AU108" s="181"/>
      <c r="AV108" s="181"/>
      <c r="AW108" s="181"/>
      <c r="AX108" s="181"/>
      <c r="AY108" s="181"/>
      <c r="AZ108" s="181"/>
      <c r="BA108" s="181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</row>
    <row r="109" spans="1:82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81"/>
      <c r="AJ109" s="181"/>
      <c r="AK109" s="181"/>
      <c r="AL109" s="181"/>
      <c r="AM109" s="181"/>
      <c r="AN109" s="181"/>
      <c r="AO109" s="181"/>
      <c r="AP109" s="181"/>
      <c r="AQ109" s="181"/>
      <c r="AR109" s="181"/>
      <c r="AS109" s="181"/>
      <c r="AT109" s="181"/>
      <c r="AU109" s="181"/>
      <c r="AV109" s="181"/>
      <c r="AW109" s="181"/>
      <c r="AX109" s="181"/>
      <c r="AY109" s="181"/>
      <c r="AZ109" s="181"/>
      <c r="BA109" s="181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</row>
    <row r="110" spans="1:82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81"/>
      <c r="AJ110" s="181"/>
      <c r="AK110" s="181"/>
      <c r="AL110" s="181"/>
      <c r="AM110" s="181"/>
      <c r="AN110" s="181"/>
      <c r="AO110" s="181"/>
      <c r="AP110" s="181"/>
      <c r="AQ110" s="181"/>
      <c r="AR110" s="181"/>
      <c r="AS110" s="181"/>
      <c r="AT110" s="181"/>
      <c r="AU110" s="181"/>
      <c r="AV110" s="181"/>
      <c r="AW110" s="181"/>
      <c r="AX110" s="181"/>
      <c r="AY110" s="181"/>
      <c r="AZ110" s="181"/>
      <c r="BA110" s="181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</row>
    <row r="111" spans="1:82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81"/>
      <c r="AJ111" s="181"/>
      <c r="AK111" s="181"/>
      <c r="AL111" s="181"/>
      <c r="AM111" s="181"/>
      <c r="AN111" s="181"/>
      <c r="AO111" s="181"/>
      <c r="AP111" s="181"/>
      <c r="AQ111" s="181"/>
      <c r="AR111" s="181"/>
      <c r="AS111" s="181"/>
      <c r="AT111" s="181"/>
      <c r="AU111" s="181"/>
      <c r="AV111" s="181"/>
      <c r="AW111" s="181"/>
      <c r="AX111" s="181"/>
      <c r="AY111" s="181"/>
      <c r="AZ111" s="181"/>
      <c r="BA111" s="181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</row>
    <row r="112" spans="1:8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81"/>
      <c r="AI112" s="181"/>
      <c r="AJ112" s="181"/>
      <c r="AK112" s="181"/>
      <c r="AL112" s="181"/>
      <c r="AM112" s="181"/>
      <c r="AN112" s="181"/>
      <c r="AO112" s="181"/>
      <c r="AP112" s="181"/>
      <c r="AQ112" s="181"/>
      <c r="AR112" s="181"/>
      <c r="AS112" s="181"/>
      <c r="AT112" s="181"/>
      <c r="AU112" s="181"/>
      <c r="AV112" s="181"/>
      <c r="AW112" s="181"/>
      <c r="AX112" s="181"/>
      <c r="AY112" s="181"/>
      <c r="AZ112" s="181"/>
      <c r="BA112" s="181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</row>
    <row r="113" spans="1:82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181"/>
      <c r="S113" s="181"/>
      <c r="T113" s="181"/>
      <c r="U113" s="181"/>
      <c r="V113" s="181"/>
      <c r="W113" s="181"/>
      <c r="X113" s="181"/>
      <c r="Y113" s="181"/>
      <c r="Z113" s="181"/>
      <c r="AA113" s="181"/>
      <c r="AB113" s="181"/>
      <c r="AC113" s="181"/>
      <c r="AD113" s="181"/>
      <c r="AE113" s="181"/>
      <c r="AF113" s="181"/>
      <c r="AG113" s="181"/>
      <c r="AH113" s="181"/>
      <c r="AI113" s="181"/>
      <c r="AJ113" s="181"/>
      <c r="AK113" s="181"/>
      <c r="AL113" s="181"/>
      <c r="AM113" s="181"/>
      <c r="AN113" s="181"/>
      <c r="AO113" s="181"/>
      <c r="AP113" s="181"/>
      <c r="AQ113" s="181"/>
      <c r="AR113" s="181"/>
      <c r="AS113" s="181"/>
      <c r="AT113" s="181"/>
      <c r="AU113" s="181"/>
      <c r="AV113" s="181"/>
      <c r="AW113" s="181"/>
      <c r="AX113" s="181"/>
      <c r="AY113" s="181"/>
      <c r="AZ113" s="181"/>
      <c r="BA113" s="181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</row>
    <row r="114" spans="1:82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181"/>
      <c r="S114" s="181"/>
      <c r="T114" s="181"/>
      <c r="U114" s="181"/>
      <c r="V114" s="181"/>
      <c r="W114" s="181"/>
      <c r="X114" s="181"/>
      <c r="Y114" s="181"/>
      <c r="Z114" s="181"/>
      <c r="AA114" s="181"/>
      <c r="AB114" s="181"/>
      <c r="AC114" s="181"/>
      <c r="AD114" s="181"/>
      <c r="AE114" s="181"/>
      <c r="AF114" s="181"/>
      <c r="AG114" s="181"/>
      <c r="AH114" s="181"/>
      <c r="AI114" s="181"/>
      <c r="AJ114" s="181"/>
      <c r="AK114" s="181"/>
      <c r="AL114" s="181"/>
      <c r="AM114" s="181"/>
      <c r="AN114" s="181"/>
      <c r="AO114" s="181"/>
      <c r="AP114" s="181"/>
      <c r="AQ114" s="181"/>
      <c r="AR114" s="181"/>
      <c r="AS114" s="181"/>
      <c r="AT114" s="181"/>
      <c r="AU114" s="181"/>
      <c r="AV114" s="181"/>
      <c r="AW114" s="181"/>
      <c r="AX114" s="181"/>
      <c r="AY114" s="181"/>
      <c r="AZ114" s="181"/>
      <c r="BA114" s="181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</row>
    <row r="115" spans="1:82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181"/>
      <c r="S115" s="181"/>
      <c r="T115" s="181"/>
      <c r="U115" s="181"/>
      <c r="V115" s="181"/>
      <c r="W115" s="181"/>
      <c r="X115" s="181"/>
      <c r="Y115" s="181"/>
      <c r="Z115" s="181"/>
      <c r="AA115" s="181"/>
      <c r="AB115" s="181"/>
      <c r="AC115" s="181"/>
      <c r="AD115" s="181"/>
      <c r="AE115" s="181"/>
      <c r="AF115" s="181"/>
      <c r="AG115" s="181"/>
      <c r="AH115" s="181"/>
      <c r="AI115" s="181"/>
      <c r="AJ115" s="181"/>
      <c r="AK115" s="181"/>
      <c r="AL115" s="181"/>
      <c r="AM115" s="181"/>
      <c r="AN115" s="181"/>
      <c r="AO115" s="181"/>
      <c r="AP115" s="181"/>
      <c r="AQ115" s="181"/>
      <c r="AR115" s="181"/>
      <c r="AS115" s="181"/>
      <c r="AT115" s="181"/>
      <c r="AU115" s="181"/>
      <c r="AV115" s="181"/>
      <c r="AW115" s="181"/>
      <c r="AX115" s="181"/>
      <c r="AY115" s="181"/>
      <c r="AZ115" s="181"/>
      <c r="BA115" s="181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</row>
    <row r="116" spans="1:82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181"/>
      <c r="S116" s="181"/>
      <c r="T116" s="181"/>
      <c r="U116" s="181"/>
      <c r="V116" s="181"/>
      <c r="W116" s="181"/>
      <c r="X116" s="181"/>
      <c r="Y116" s="181"/>
      <c r="Z116" s="181"/>
      <c r="AA116" s="181"/>
      <c r="AB116" s="181"/>
      <c r="AC116" s="181"/>
      <c r="AD116" s="181"/>
      <c r="AE116" s="181"/>
      <c r="AF116" s="181"/>
      <c r="AG116" s="181"/>
      <c r="AH116" s="181"/>
      <c r="AI116" s="181"/>
      <c r="AJ116" s="181"/>
      <c r="AK116" s="181"/>
      <c r="AL116" s="181"/>
      <c r="AM116" s="181"/>
      <c r="AN116" s="181"/>
      <c r="AO116" s="181"/>
      <c r="AP116" s="181"/>
      <c r="AQ116" s="181"/>
      <c r="AR116" s="181"/>
      <c r="AS116" s="181"/>
      <c r="AT116" s="181"/>
      <c r="AU116" s="181"/>
      <c r="AV116" s="181"/>
      <c r="AW116" s="181"/>
      <c r="AX116" s="181"/>
      <c r="AY116" s="181"/>
      <c r="AZ116" s="181"/>
      <c r="BA116" s="181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</row>
    <row r="117" spans="1:82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181"/>
      <c r="S117" s="181"/>
      <c r="T117" s="181"/>
      <c r="U117" s="181"/>
      <c r="V117" s="181"/>
      <c r="W117" s="181"/>
      <c r="X117" s="181"/>
      <c r="Y117" s="181"/>
      <c r="Z117" s="181"/>
      <c r="AA117" s="181"/>
      <c r="AB117" s="181"/>
      <c r="AC117" s="181"/>
      <c r="AD117" s="181"/>
      <c r="AE117" s="181"/>
      <c r="AF117" s="181"/>
      <c r="AG117" s="181"/>
      <c r="AH117" s="181"/>
      <c r="AI117" s="181"/>
      <c r="AJ117" s="181"/>
      <c r="AK117" s="181"/>
      <c r="AL117" s="181"/>
      <c r="AM117" s="181"/>
      <c r="AN117" s="181"/>
      <c r="AO117" s="181"/>
      <c r="AP117" s="181"/>
      <c r="AQ117" s="181"/>
      <c r="AR117" s="181"/>
      <c r="AS117" s="181"/>
      <c r="AT117" s="181"/>
      <c r="AU117" s="181"/>
      <c r="AV117" s="181"/>
      <c r="AW117" s="181"/>
      <c r="AX117" s="181"/>
      <c r="AY117" s="181"/>
      <c r="AZ117" s="181"/>
      <c r="BA117" s="181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</row>
    <row r="118" spans="1:8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181"/>
      <c r="AC118" s="181"/>
      <c r="AD118" s="181"/>
      <c r="AE118" s="181"/>
      <c r="AF118" s="181"/>
      <c r="AG118" s="181"/>
      <c r="AH118" s="181"/>
      <c r="AI118" s="181"/>
      <c r="AJ118" s="181"/>
      <c r="AK118" s="181"/>
      <c r="AL118" s="181"/>
      <c r="AM118" s="181"/>
      <c r="AN118" s="181"/>
      <c r="AO118" s="181"/>
      <c r="AP118" s="181"/>
      <c r="AQ118" s="181"/>
      <c r="AR118" s="181"/>
      <c r="AS118" s="181"/>
      <c r="AT118" s="181"/>
      <c r="AU118" s="181"/>
      <c r="AV118" s="181"/>
      <c r="AW118" s="181"/>
      <c r="AX118" s="181"/>
      <c r="AY118" s="181"/>
      <c r="AZ118" s="181"/>
      <c r="BA118" s="181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</row>
    <row r="119" spans="1:8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  <c r="AB119" s="181"/>
      <c r="AC119" s="181"/>
      <c r="AD119" s="181"/>
      <c r="AE119" s="181"/>
      <c r="AF119" s="181"/>
      <c r="AG119" s="181"/>
      <c r="AH119" s="181"/>
      <c r="AI119" s="181"/>
      <c r="AJ119" s="181"/>
      <c r="AK119" s="181"/>
      <c r="AL119" s="181"/>
      <c r="AM119" s="181"/>
      <c r="AN119" s="181"/>
      <c r="AO119" s="181"/>
      <c r="AP119" s="181"/>
      <c r="AQ119" s="181"/>
      <c r="AR119" s="181"/>
      <c r="AS119" s="181"/>
      <c r="AT119" s="181"/>
      <c r="AU119" s="181"/>
      <c r="AV119" s="181"/>
      <c r="AW119" s="181"/>
      <c r="AX119" s="181"/>
      <c r="AY119" s="181"/>
      <c r="AZ119" s="181"/>
      <c r="BA119" s="181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</row>
    <row r="120" spans="1:82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81"/>
      <c r="AJ120" s="181"/>
      <c r="AK120" s="181"/>
      <c r="AL120" s="181"/>
      <c r="AM120" s="181"/>
      <c r="AN120" s="181"/>
      <c r="AO120" s="181"/>
      <c r="AP120" s="181"/>
      <c r="AQ120" s="181"/>
      <c r="AR120" s="181"/>
      <c r="AS120" s="181"/>
      <c r="AT120" s="181"/>
      <c r="AU120" s="181"/>
      <c r="AV120" s="181"/>
      <c r="AW120" s="181"/>
      <c r="AX120" s="181"/>
      <c r="AY120" s="181"/>
      <c r="AZ120" s="181"/>
      <c r="BA120" s="181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</row>
    <row r="121" spans="1:82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81"/>
      <c r="AJ121" s="181"/>
      <c r="AK121" s="181"/>
      <c r="AL121" s="181"/>
      <c r="AM121" s="181"/>
      <c r="AN121" s="181"/>
      <c r="AO121" s="181"/>
      <c r="AP121" s="181"/>
      <c r="AQ121" s="181"/>
      <c r="AR121" s="181"/>
      <c r="AS121" s="181"/>
      <c r="AT121" s="181"/>
      <c r="AU121" s="181"/>
      <c r="AV121" s="181"/>
      <c r="AW121" s="181"/>
      <c r="AX121" s="181"/>
      <c r="AY121" s="181"/>
      <c r="AZ121" s="181"/>
      <c r="BA121" s="181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</row>
    <row r="122" spans="1:8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81"/>
      <c r="AJ122" s="181"/>
      <c r="AK122" s="181"/>
      <c r="AL122" s="181"/>
      <c r="AM122" s="181"/>
      <c r="AN122" s="181"/>
      <c r="AO122" s="181"/>
      <c r="AP122" s="181"/>
      <c r="AQ122" s="181"/>
      <c r="AR122" s="181"/>
      <c r="AS122" s="181"/>
      <c r="AT122" s="181"/>
      <c r="AU122" s="181"/>
      <c r="AV122" s="181"/>
      <c r="AW122" s="181"/>
      <c r="AX122" s="181"/>
      <c r="AY122" s="181"/>
      <c r="AZ122" s="181"/>
      <c r="BA122" s="181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</row>
    <row r="123" spans="1:8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81"/>
      <c r="AJ123" s="181"/>
      <c r="AK123" s="181"/>
      <c r="AL123" s="181"/>
      <c r="AM123" s="181"/>
      <c r="AN123" s="181"/>
      <c r="AO123" s="181"/>
      <c r="AP123" s="181"/>
      <c r="AQ123" s="181"/>
      <c r="AR123" s="181"/>
      <c r="AS123" s="181"/>
      <c r="AT123" s="181"/>
      <c r="AU123" s="181"/>
      <c r="AV123" s="181"/>
      <c r="AW123" s="181"/>
      <c r="AX123" s="181"/>
      <c r="AY123" s="181"/>
      <c r="AZ123" s="181"/>
      <c r="BA123" s="181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</row>
    <row r="124" spans="1:82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81"/>
      <c r="AJ124" s="181"/>
      <c r="AK124" s="181"/>
      <c r="AL124" s="181"/>
      <c r="AM124" s="181"/>
      <c r="AN124" s="181"/>
      <c r="AO124" s="181"/>
      <c r="AP124" s="181"/>
      <c r="AQ124" s="181"/>
      <c r="AR124" s="181"/>
      <c r="AS124" s="181"/>
      <c r="AT124" s="181"/>
      <c r="AU124" s="181"/>
      <c r="AV124" s="181"/>
      <c r="AW124" s="181"/>
      <c r="AX124" s="181"/>
      <c r="AY124" s="181"/>
      <c r="AZ124" s="181"/>
      <c r="BA124" s="181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</row>
    <row r="125" spans="1:8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81"/>
      <c r="AJ125" s="181"/>
      <c r="AK125" s="181"/>
      <c r="AL125" s="181"/>
      <c r="AM125" s="181"/>
      <c r="AN125" s="181"/>
      <c r="AO125" s="181"/>
      <c r="AP125" s="181"/>
      <c r="AQ125" s="181"/>
      <c r="AR125" s="181"/>
      <c r="AS125" s="181"/>
      <c r="AT125" s="181"/>
      <c r="AU125" s="181"/>
      <c r="AV125" s="181"/>
      <c r="AW125" s="181"/>
      <c r="AX125" s="181"/>
      <c r="AY125" s="181"/>
      <c r="AZ125" s="181"/>
      <c r="BA125" s="181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</row>
    <row r="126" spans="1:8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81"/>
      <c r="AJ126" s="181"/>
      <c r="AK126" s="181"/>
      <c r="AL126" s="181"/>
      <c r="AM126" s="181"/>
      <c r="AN126" s="181"/>
      <c r="AO126" s="181"/>
      <c r="AP126" s="181"/>
      <c r="AQ126" s="181"/>
      <c r="AR126" s="181"/>
      <c r="AS126" s="181"/>
      <c r="AT126" s="181"/>
      <c r="AU126" s="181"/>
      <c r="AV126" s="181"/>
      <c r="AW126" s="181"/>
      <c r="AX126" s="181"/>
      <c r="AY126" s="181"/>
      <c r="AZ126" s="181"/>
      <c r="BA126" s="181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</row>
    <row r="127" spans="1:8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81"/>
      <c r="AJ127" s="181"/>
      <c r="AK127" s="181"/>
      <c r="AL127" s="181"/>
      <c r="AM127" s="181"/>
      <c r="AN127" s="181"/>
      <c r="AO127" s="181"/>
      <c r="AP127" s="181"/>
      <c r="AQ127" s="181"/>
      <c r="AR127" s="181"/>
      <c r="AS127" s="181"/>
      <c r="AT127" s="181"/>
      <c r="AU127" s="181"/>
      <c r="AV127" s="181"/>
      <c r="AW127" s="181"/>
      <c r="AX127" s="181"/>
      <c r="AY127" s="181"/>
      <c r="AZ127" s="181"/>
      <c r="BA127" s="181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</row>
    <row r="128" spans="1:8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81"/>
      <c r="AJ128" s="181"/>
      <c r="AK128" s="181"/>
      <c r="AL128" s="181"/>
      <c r="AM128" s="181"/>
      <c r="AN128" s="181"/>
      <c r="AO128" s="181"/>
      <c r="AP128" s="181"/>
      <c r="AQ128" s="181"/>
      <c r="AR128" s="181"/>
      <c r="AS128" s="181"/>
      <c r="AT128" s="181"/>
      <c r="AU128" s="181"/>
      <c r="AV128" s="181"/>
      <c r="AW128" s="181"/>
      <c r="AX128" s="181"/>
      <c r="AY128" s="181"/>
      <c r="AZ128" s="181"/>
      <c r="BA128" s="181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</row>
    <row r="129" spans="1:8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81"/>
      <c r="AJ129" s="181"/>
      <c r="AK129" s="181"/>
      <c r="AL129" s="181"/>
      <c r="AM129" s="181"/>
      <c r="AN129" s="181"/>
      <c r="AO129" s="181"/>
      <c r="AP129" s="181"/>
      <c r="AQ129" s="181"/>
      <c r="AR129" s="181"/>
      <c r="AS129" s="181"/>
      <c r="AT129" s="181"/>
      <c r="AU129" s="181"/>
      <c r="AV129" s="181"/>
      <c r="AW129" s="181"/>
      <c r="AX129" s="181"/>
      <c r="AY129" s="181"/>
      <c r="AZ129" s="181"/>
      <c r="BA129" s="181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</row>
    <row r="130" spans="1:8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81"/>
      <c r="AJ130" s="181"/>
      <c r="AK130" s="181"/>
      <c r="AL130" s="181"/>
      <c r="AM130" s="181"/>
      <c r="AN130" s="181"/>
      <c r="AO130" s="181"/>
      <c r="AP130" s="181"/>
      <c r="AQ130" s="181"/>
      <c r="AR130" s="181"/>
      <c r="AS130" s="181"/>
      <c r="AT130" s="181"/>
      <c r="AU130" s="181"/>
      <c r="AV130" s="181"/>
      <c r="AW130" s="181"/>
      <c r="AX130" s="181"/>
      <c r="AY130" s="181"/>
      <c r="AZ130" s="181"/>
      <c r="BA130" s="181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</row>
    <row r="131" spans="1:8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81"/>
      <c r="AJ131" s="181"/>
      <c r="AK131" s="181"/>
      <c r="AL131" s="181"/>
      <c r="AM131" s="181"/>
      <c r="AN131" s="181"/>
      <c r="AO131" s="181"/>
      <c r="AP131" s="181"/>
      <c r="AQ131" s="181"/>
      <c r="AR131" s="181"/>
      <c r="AS131" s="181"/>
      <c r="AT131" s="181"/>
      <c r="AU131" s="181"/>
      <c r="AV131" s="181"/>
      <c r="AW131" s="181"/>
      <c r="AX131" s="181"/>
      <c r="AY131" s="181"/>
      <c r="AZ131" s="181"/>
      <c r="BA131" s="181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</row>
    <row r="132" spans="1:8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81"/>
      <c r="AJ132" s="181"/>
      <c r="AK132" s="181"/>
      <c r="AL132" s="181"/>
      <c r="AM132" s="181"/>
      <c r="AN132" s="181"/>
      <c r="AO132" s="181"/>
      <c r="AP132" s="181"/>
      <c r="AQ132" s="181"/>
      <c r="AR132" s="181"/>
      <c r="AS132" s="181"/>
      <c r="AT132" s="181"/>
      <c r="AU132" s="181"/>
      <c r="AV132" s="181"/>
      <c r="AW132" s="181"/>
      <c r="AX132" s="181"/>
      <c r="AY132" s="181"/>
      <c r="AZ132" s="181"/>
      <c r="BA132" s="181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</row>
    <row r="133" spans="1:8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81"/>
      <c r="AJ133" s="181"/>
      <c r="AK133" s="181"/>
      <c r="AL133" s="181"/>
      <c r="AM133" s="181"/>
      <c r="AN133" s="181"/>
      <c r="AO133" s="181"/>
      <c r="AP133" s="181"/>
      <c r="AQ133" s="181"/>
      <c r="AR133" s="181"/>
      <c r="AS133" s="181"/>
      <c r="AT133" s="181"/>
      <c r="AU133" s="181"/>
      <c r="AV133" s="181"/>
      <c r="AW133" s="181"/>
      <c r="AX133" s="181"/>
      <c r="AY133" s="181"/>
      <c r="AZ133" s="181"/>
      <c r="BA133" s="181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</row>
    <row r="134" spans="1:8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81"/>
      <c r="AJ134" s="181"/>
      <c r="AK134" s="181"/>
      <c r="AL134" s="181"/>
      <c r="AM134" s="181"/>
      <c r="AN134" s="181"/>
      <c r="AO134" s="181"/>
      <c r="AP134" s="181"/>
      <c r="AQ134" s="181"/>
      <c r="AR134" s="181"/>
      <c r="AS134" s="181"/>
      <c r="AT134" s="181"/>
      <c r="AU134" s="181"/>
      <c r="AV134" s="181"/>
      <c r="AW134" s="181"/>
      <c r="AX134" s="181"/>
      <c r="AY134" s="181"/>
      <c r="AZ134" s="181"/>
      <c r="BA134" s="181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</row>
    <row r="135" spans="1:8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81"/>
      <c r="AI135" s="181"/>
      <c r="AJ135" s="181"/>
      <c r="AK135" s="181"/>
      <c r="AL135" s="181"/>
      <c r="AM135" s="181"/>
      <c r="AN135" s="181"/>
      <c r="AO135" s="181"/>
      <c r="AP135" s="181"/>
      <c r="AQ135" s="181"/>
      <c r="AR135" s="181"/>
      <c r="AS135" s="181"/>
      <c r="AT135" s="181"/>
      <c r="AU135" s="181"/>
      <c r="AV135" s="181"/>
      <c r="AW135" s="181"/>
      <c r="AX135" s="181"/>
      <c r="AY135" s="181"/>
      <c r="AZ135" s="181"/>
      <c r="BA135" s="181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</row>
    <row r="136" spans="1:8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1"/>
      <c r="AC136" s="181"/>
      <c r="AD136" s="181"/>
      <c r="AE136" s="181"/>
      <c r="AF136" s="181"/>
      <c r="AG136" s="181"/>
      <c r="AH136" s="181"/>
      <c r="AI136" s="181"/>
      <c r="AJ136" s="181"/>
      <c r="AK136" s="181"/>
      <c r="AL136" s="181"/>
      <c r="AM136" s="181"/>
      <c r="AN136" s="181"/>
      <c r="AO136" s="181"/>
      <c r="AP136" s="181"/>
      <c r="AQ136" s="181"/>
      <c r="AR136" s="181"/>
      <c r="AS136" s="181"/>
      <c r="AT136" s="181"/>
      <c r="AU136" s="181"/>
      <c r="AV136" s="181"/>
      <c r="AW136" s="181"/>
      <c r="AX136" s="181"/>
      <c r="AY136" s="181"/>
      <c r="AZ136" s="181"/>
      <c r="BA136" s="181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</row>
    <row r="137" spans="1:8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1"/>
      <c r="AC137" s="181"/>
      <c r="AD137" s="181"/>
      <c r="AE137" s="181"/>
      <c r="AF137" s="181"/>
      <c r="AG137" s="181"/>
      <c r="AH137" s="181"/>
      <c r="AI137" s="181"/>
      <c r="AJ137" s="181"/>
      <c r="AK137" s="181"/>
      <c r="AL137" s="181"/>
      <c r="AM137" s="181"/>
      <c r="AN137" s="181"/>
      <c r="AO137" s="181"/>
      <c r="AP137" s="181"/>
      <c r="AQ137" s="181"/>
      <c r="AR137" s="181"/>
      <c r="AS137" s="181"/>
      <c r="AT137" s="181"/>
      <c r="AU137" s="181"/>
      <c r="AV137" s="181"/>
      <c r="AW137" s="181"/>
      <c r="AX137" s="181"/>
      <c r="AY137" s="181"/>
      <c r="AZ137" s="181"/>
      <c r="BA137" s="181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</row>
    <row r="138" spans="1:8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  <c r="AB138" s="181"/>
      <c r="AC138" s="181"/>
      <c r="AD138" s="181"/>
      <c r="AE138" s="181"/>
      <c r="AF138" s="181"/>
      <c r="AG138" s="181"/>
      <c r="AH138" s="181"/>
      <c r="AI138" s="181"/>
      <c r="AJ138" s="181"/>
      <c r="AK138" s="181"/>
      <c r="AL138" s="181"/>
      <c r="AM138" s="181"/>
      <c r="AN138" s="181"/>
      <c r="AO138" s="181"/>
      <c r="AP138" s="181"/>
      <c r="AQ138" s="181"/>
      <c r="AR138" s="181"/>
      <c r="AS138" s="181"/>
      <c r="AT138" s="181"/>
      <c r="AU138" s="181"/>
      <c r="AV138" s="181"/>
      <c r="AW138" s="181"/>
      <c r="AX138" s="181"/>
      <c r="AY138" s="181"/>
      <c r="AZ138" s="181"/>
      <c r="BA138" s="181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</row>
    <row r="139" spans="1:8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181"/>
      <c r="S139" s="181"/>
      <c r="T139" s="181"/>
      <c r="U139" s="181"/>
      <c r="V139" s="181"/>
      <c r="W139" s="181"/>
      <c r="X139" s="181"/>
      <c r="Y139" s="181"/>
      <c r="Z139" s="181"/>
      <c r="AA139" s="181"/>
      <c r="AB139" s="181"/>
      <c r="AC139" s="181"/>
      <c r="AD139" s="181"/>
      <c r="AE139" s="181"/>
      <c r="AF139" s="181"/>
      <c r="AG139" s="181"/>
      <c r="AH139" s="181"/>
      <c r="AI139" s="181"/>
      <c r="AJ139" s="181"/>
      <c r="AK139" s="181"/>
      <c r="AL139" s="181"/>
      <c r="AM139" s="181"/>
      <c r="AN139" s="181"/>
      <c r="AO139" s="181"/>
      <c r="AP139" s="181"/>
      <c r="AQ139" s="181"/>
      <c r="AR139" s="181"/>
      <c r="AS139" s="181"/>
      <c r="AT139" s="181"/>
      <c r="AU139" s="181"/>
      <c r="AV139" s="181"/>
      <c r="AW139" s="181"/>
      <c r="AX139" s="181"/>
      <c r="AY139" s="181"/>
      <c r="AZ139" s="181"/>
      <c r="BA139" s="181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</row>
    <row r="140" spans="1:8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181"/>
      <c r="S140" s="181"/>
      <c r="T140" s="181"/>
      <c r="U140" s="181"/>
      <c r="V140" s="181"/>
      <c r="W140" s="181"/>
      <c r="X140" s="181"/>
      <c r="Y140" s="181"/>
      <c r="Z140" s="181"/>
      <c r="AA140" s="181"/>
      <c r="AB140" s="181"/>
      <c r="AC140" s="181"/>
      <c r="AD140" s="181"/>
      <c r="AE140" s="181"/>
      <c r="AF140" s="181"/>
      <c r="AG140" s="181"/>
      <c r="AH140" s="181"/>
      <c r="AI140" s="181"/>
      <c r="AJ140" s="181"/>
      <c r="AK140" s="181"/>
      <c r="AL140" s="181"/>
      <c r="AM140" s="181"/>
      <c r="AN140" s="181"/>
      <c r="AO140" s="181"/>
      <c r="AP140" s="181"/>
      <c r="AQ140" s="181"/>
      <c r="AR140" s="181"/>
      <c r="AS140" s="181"/>
      <c r="AT140" s="181"/>
      <c r="AU140" s="181"/>
      <c r="AV140" s="181"/>
      <c r="AW140" s="181"/>
      <c r="AX140" s="181"/>
      <c r="AY140" s="181"/>
      <c r="AZ140" s="181"/>
      <c r="BA140" s="181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</row>
    <row r="141" spans="1:8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181"/>
      <c r="S141" s="181"/>
      <c r="T141" s="181"/>
      <c r="U141" s="181"/>
      <c r="V141" s="181"/>
      <c r="W141" s="181"/>
      <c r="X141" s="181"/>
      <c r="Y141" s="181"/>
      <c r="Z141" s="181"/>
      <c r="AA141" s="181"/>
      <c r="AB141" s="181"/>
      <c r="AC141" s="181"/>
      <c r="AD141" s="181"/>
      <c r="AE141" s="181"/>
      <c r="AF141" s="181"/>
      <c r="AG141" s="181"/>
      <c r="AH141" s="181"/>
      <c r="AI141" s="181"/>
      <c r="AJ141" s="181"/>
      <c r="AK141" s="181"/>
      <c r="AL141" s="181"/>
      <c r="AM141" s="181"/>
      <c r="AN141" s="181"/>
      <c r="AO141" s="181"/>
      <c r="AP141" s="181"/>
      <c r="AQ141" s="181"/>
      <c r="AR141" s="181"/>
      <c r="AS141" s="181"/>
      <c r="AT141" s="181"/>
      <c r="AU141" s="181"/>
      <c r="AV141" s="181"/>
      <c r="AW141" s="181"/>
      <c r="AX141" s="181"/>
      <c r="AY141" s="181"/>
      <c r="AZ141" s="181"/>
      <c r="BA141" s="181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</row>
    <row r="142" spans="1:8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  <c r="AB142" s="181"/>
      <c r="AC142" s="181"/>
      <c r="AD142" s="181"/>
      <c r="AE142" s="181"/>
      <c r="AF142" s="181"/>
      <c r="AG142" s="181"/>
      <c r="AH142" s="181"/>
      <c r="AI142" s="181"/>
      <c r="AJ142" s="181"/>
      <c r="AK142" s="181"/>
      <c r="AL142" s="181"/>
      <c r="AM142" s="181"/>
      <c r="AN142" s="181"/>
      <c r="AO142" s="181"/>
      <c r="AP142" s="181"/>
      <c r="AQ142" s="181"/>
      <c r="AR142" s="181"/>
      <c r="AS142" s="181"/>
      <c r="AT142" s="181"/>
      <c r="AU142" s="181"/>
      <c r="AV142" s="181"/>
      <c r="AW142" s="181"/>
      <c r="AX142" s="181"/>
      <c r="AY142" s="181"/>
      <c r="AZ142" s="181"/>
      <c r="BA142" s="181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</row>
    <row r="143" spans="1:8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81"/>
      <c r="AJ143" s="181"/>
      <c r="AK143" s="181"/>
      <c r="AL143" s="181"/>
      <c r="AM143" s="181"/>
      <c r="AN143" s="181"/>
      <c r="AO143" s="181"/>
      <c r="AP143" s="181"/>
      <c r="AQ143" s="181"/>
      <c r="AR143" s="181"/>
      <c r="AS143" s="181"/>
      <c r="AT143" s="181"/>
      <c r="AU143" s="181"/>
      <c r="AV143" s="181"/>
      <c r="AW143" s="181"/>
      <c r="AX143" s="181"/>
      <c r="AY143" s="181"/>
      <c r="AZ143" s="181"/>
      <c r="BA143" s="181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</row>
    <row r="144" spans="1:8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81"/>
      <c r="AJ144" s="181"/>
      <c r="AK144" s="181"/>
      <c r="AL144" s="181"/>
      <c r="AM144" s="181"/>
      <c r="AN144" s="181"/>
      <c r="AO144" s="181"/>
      <c r="AP144" s="181"/>
      <c r="AQ144" s="181"/>
      <c r="AR144" s="181"/>
      <c r="AS144" s="181"/>
      <c r="AT144" s="181"/>
      <c r="AU144" s="181"/>
      <c r="AV144" s="181"/>
      <c r="AW144" s="181"/>
      <c r="AX144" s="181"/>
      <c r="AY144" s="181"/>
      <c r="AZ144" s="181"/>
      <c r="BA144" s="181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</row>
    <row r="145" spans="1:8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81"/>
      <c r="AJ145" s="181"/>
      <c r="AK145" s="181"/>
      <c r="AL145" s="181"/>
      <c r="AM145" s="181"/>
      <c r="AN145" s="181"/>
      <c r="AO145" s="181"/>
      <c r="AP145" s="181"/>
      <c r="AQ145" s="181"/>
      <c r="AR145" s="181"/>
      <c r="AS145" s="181"/>
      <c r="AT145" s="181"/>
      <c r="AU145" s="181"/>
      <c r="AV145" s="181"/>
      <c r="AW145" s="181"/>
      <c r="AX145" s="181"/>
      <c r="AY145" s="181"/>
      <c r="AZ145" s="181"/>
      <c r="BA145" s="181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</row>
    <row r="146" spans="1:8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81"/>
      <c r="AJ146" s="181"/>
      <c r="AK146" s="181"/>
      <c r="AL146" s="181"/>
      <c r="AM146" s="181"/>
      <c r="AN146" s="181"/>
      <c r="AO146" s="181"/>
      <c r="AP146" s="181"/>
      <c r="AQ146" s="181"/>
      <c r="AR146" s="181"/>
      <c r="AS146" s="181"/>
      <c r="AT146" s="181"/>
      <c r="AU146" s="181"/>
      <c r="AV146" s="181"/>
      <c r="AW146" s="181"/>
      <c r="AX146" s="181"/>
      <c r="AY146" s="181"/>
      <c r="AZ146" s="181"/>
      <c r="BA146" s="181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</row>
    <row r="147" spans="1:8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81"/>
      <c r="AJ147" s="181"/>
      <c r="AK147" s="181"/>
      <c r="AL147" s="181"/>
      <c r="AM147" s="181"/>
      <c r="AN147" s="181"/>
      <c r="AO147" s="181"/>
      <c r="AP147" s="181"/>
      <c r="AQ147" s="181"/>
      <c r="AR147" s="181"/>
      <c r="AS147" s="181"/>
      <c r="AT147" s="181"/>
      <c r="AU147" s="181"/>
      <c r="AV147" s="181"/>
      <c r="AW147" s="181"/>
      <c r="AX147" s="181"/>
      <c r="AY147" s="181"/>
      <c r="AZ147" s="181"/>
      <c r="BA147" s="181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</row>
    <row r="148" spans="1:8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81"/>
      <c r="AJ148" s="181"/>
      <c r="AK148" s="181"/>
      <c r="AL148" s="181"/>
      <c r="AM148" s="181"/>
      <c r="AN148" s="181"/>
      <c r="AO148" s="181"/>
      <c r="AP148" s="181"/>
      <c r="AQ148" s="181"/>
      <c r="AR148" s="181"/>
      <c r="AS148" s="181"/>
      <c r="AT148" s="181"/>
      <c r="AU148" s="181"/>
      <c r="AV148" s="181"/>
      <c r="AW148" s="181"/>
      <c r="AX148" s="181"/>
      <c r="AY148" s="181"/>
      <c r="AZ148" s="181"/>
      <c r="BA148" s="181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</row>
    <row r="149" spans="1:8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81"/>
      <c r="AJ149" s="181"/>
      <c r="AK149" s="181"/>
      <c r="AL149" s="181"/>
      <c r="AM149" s="181"/>
      <c r="AN149" s="181"/>
      <c r="AO149" s="181"/>
      <c r="AP149" s="181"/>
      <c r="AQ149" s="181"/>
      <c r="AR149" s="181"/>
      <c r="AS149" s="181"/>
      <c r="AT149" s="181"/>
      <c r="AU149" s="181"/>
      <c r="AV149" s="181"/>
      <c r="AW149" s="181"/>
      <c r="AX149" s="181"/>
      <c r="AY149" s="181"/>
      <c r="AZ149" s="181"/>
      <c r="BA149" s="181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</row>
    <row r="150" spans="1:8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81"/>
      <c r="AJ150" s="181"/>
      <c r="AK150" s="181"/>
      <c r="AL150" s="181"/>
      <c r="AM150" s="181"/>
      <c r="AN150" s="181"/>
      <c r="AO150" s="181"/>
      <c r="AP150" s="181"/>
      <c r="AQ150" s="181"/>
      <c r="AR150" s="181"/>
      <c r="AS150" s="181"/>
      <c r="AT150" s="181"/>
      <c r="AU150" s="181"/>
      <c r="AV150" s="181"/>
      <c r="AW150" s="181"/>
      <c r="AX150" s="181"/>
      <c r="AY150" s="181"/>
      <c r="AZ150" s="181"/>
      <c r="BA150" s="181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</row>
    <row r="151" spans="1:8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81"/>
      <c r="AJ151" s="181"/>
      <c r="AK151" s="181"/>
      <c r="AL151" s="181"/>
      <c r="AM151" s="181"/>
      <c r="AN151" s="181"/>
      <c r="AO151" s="181"/>
      <c r="AP151" s="181"/>
      <c r="AQ151" s="181"/>
      <c r="AR151" s="181"/>
      <c r="AS151" s="181"/>
      <c r="AT151" s="181"/>
      <c r="AU151" s="181"/>
      <c r="AV151" s="181"/>
      <c r="AW151" s="181"/>
      <c r="AX151" s="181"/>
      <c r="AY151" s="181"/>
      <c r="AZ151" s="181"/>
      <c r="BA151" s="181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</row>
    <row r="152" spans="1:8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81"/>
      <c r="AJ152" s="181"/>
      <c r="AK152" s="181"/>
      <c r="AL152" s="181"/>
      <c r="AM152" s="181"/>
      <c r="AN152" s="181"/>
      <c r="AO152" s="181"/>
      <c r="AP152" s="181"/>
      <c r="AQ152" s="181"/>
      <c r="AR152" s="181"/>
      <c r="AS152" s="181"/>
      <c r="AT152" s="181"/>
      <c r="AU152" s="181"/>
      <c r="AV152" s="181"/>
      <c r="AW152" s="181"/>
      <c r="AX152" s="181"/>
      <c r="AY152" s="181"/>
      <c r="AZ152" s="181"/>
      <c r="BA152" s="181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</row>
    <row r="153" spans="1:8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81"/>
      <c r="AJ153" s="181"/>
      <c r="AK153" s="181"/>
      <c r="AL153" s="181"/>
      <c r="AM153" s="181"/>
      <c r="AN153" s="181"/>
      <c r="AO153" s="181"/>
      <c r="AP153" s="181"/>
      <c r="AQ153" s="181"/>
      <c r="AR153" s="181"/>
      <c r="AS153" s="181"/>
      <c r="AT153" s="181"/>
      <c r="AU153" s="181"/>
      <c r="AV153" s="181"/>
      <c r="AW153" s="181"/>
      <c r="AX153" s="181"/>
      <c r="AY153" s="181"/>
      <c r="AZ153" s="181"/>
      <c r="BA153" s="181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</row>
    <row r="154" spans="1:8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81"/>
      <c r="AJ154" s="181"/>
      <c r="AK154" s="181"/>
      <c r="AL154" s="181"/>
      <c r="AM154" s="181"/>
      <c r="AN154" s="181"/>
      <c r="AO154" s="181"/>
      <c r="AP154" s="181"/>
      <c r="AQ154" s="181"/>
      <c r="AR154" s="181"/>
      <c r="AS154" s="181"/>
      <c r="AT154" s="181"/>
      <c r="AU154" s="181"/>
      <c r="AV154" s="181"/>
      <c r="AW154" s="181"/>
      <c r="AX154" s="181"/>
      <c r="AY154" s="181"/>
      <c r="AZ154" s="181"/>
      <c r="BA154" s="181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</row>
    <row r="155" spans="1:8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81"/>
      <c r="AJ155" s="181"/>
      <c r="AK155" s="181"/>
      <c r="AL155" s="181"/>
      <c r="AM155" s="181"/>
      <c r="AN155" s="181"/>
      <c r="AO155" s="181"/>
      <c r="AP155" s="181"/>
      <c r="AQ155" s="181"/>
      <c r="AR155" s="181"/>
      <c r="AS155" s="181"/>
      <c r="AT155" s="181"/>
      <c r="AU155" s="181"/>
      <c r="AV155" s="181"/>
      <c r="AW155" s="181"/>
      <c r="AX155" s="181"/>
      <c r="AY155" s="181"/>
      <c r="AZ155" s="181"/>
      <c r="BA155" s="181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</row>
    <row r="156" spans="1:8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81"/>
      <c r="AJ156" s="181"/>
      <c r="AK156" s="181"/>
      <c r="AL156" s="181"/>
      <c r="AM156" s="181"/>
      <c r="AN156" s="181"/>
      <c r="AO156" s="181"/>
      <c r="AP156" s="181"/>
      <c r="AQ156" s="181"/>
      <c r="AR156" s="181"/>
      <c r="AS156" s="181"/>
      <c r="AT156" s="181"/>
      <c r="AU156" s="181"/>
      <c r="AV156" s="181"/>
      <c r="AW156" s="181"/>
      <c r="AX156" s="181"/>
      <c r="AY156" s="181"/>
      <c r="AZ156" s="181"/>
      <c r="BA156" s="181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</row>
    <row r="157" spans="1:8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81"/>
      <c r="AJ157" s="181"/>
      <c r="AK157" s="181"/>
      <c r="AL157" s="181"/>
      <c r="AM157" s="181"/>
      <c r="AN157" s="181"/>
      <c r="AO157" s="181"/>
      <c r="AP157" s="181"/>
      <c r="AQ157" s="181"/>
      <c r="AR157" s="181"/>
      <c r="AS157" s="181"/>
      <c r="AT157" s="181"/>
      <c r="AU157" s="181"/>
      <c r="AV157" s="181"/>
      <c r="AW157" s="181"/>
      <c r="AX157" s="181"/>
      <c r="AY157" s="181"/>
      <c r="AZ157" s="181"/>
      <c r="BA157" s="181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</row>
    <row r="158" spans="1:8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81"/>
      <c r="AI158" s="181"/>
      <c r="AJ158" s="181"/>
      <c r="AK158" s="181"/>
      <c r="AL158" s="181"/>
      <c r="AM158" s="181"/>
      <c r="AN158" s="181"/>
      <c r="AO158" s="181"/>
      <c r="AP158" s="181"/>
      <c r="AQ158" s="181"/>
      <c r="AR158" s="181"/>
      <c r="AS158" s="181"/>
      <c r="AT158" s="181"/>
      <c r="AU158" s="181"/>
      <c r="AV158" s="181"/>
      <c r="AW158" s="181"/>
      <c r="AX158" s="181"/>
      <c r="AY158" s="181"/>
      <c r="AZ158" s="181"/>
      <c r="BA158" s="181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</row>
    <row r="159" spans="1:8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181"/>
      <c r="S159" s="181"/>
      <c r="T159" s="181"/>
      <c r="U159" s="181"/>
      <c r="V159" s="181"/>
      <c r="W159" s="181"/>
      <c r="X159" s="181"/>
      <c r="Y159" s="181"/>
      <c r="Z159" s="181"/>
      <c r="AA159" s="181"/>
      <c r="AB159" s="181"/>
      <c r="AC159" s="181"/>
      <c r="AD159" s="181"/>
      <c r="AE159" s="181"/>
      <c r="AF159" s="181"/>
      <c r="AG159" s="181"/>
      <c r="AH159" s="181"/>
      <c r="AI159" s="181"/>
      <c r="AJ159" s="181"/>
      <c r="AK159" s="181"/>
      <c r="AL159" s="181"/>
      <c r="AM159" s="181"/>
      <c r="AN159" s="181"/>
      <c r="AO159" s="181"/>
      <c r="AP159" s="181"/>
      <c r="AQ159" s="181"/>
      <c r="AR159" s="181"/>
      <c r="AS159" s="181"/>
      <c r="AT159" s="181"/>
      <c r="AU159" s="181"/>
      <c r="AV159" s="181"/>
      <c r="AW159" s="181"/>
      <c r="AX159" s="181"/>
      <c r="AY159" s="181"/>
      <c r="AZ159" s="181"/>
      <c r="BA159" s="181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</row>
    <row r="160" spans="1:8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181"/>
      <c r="S160" s="181"/>
      <c r="T160" s="181"/>
      <c r="U160" s="181"/>
      <c r="V160" s="181"/>
      <c r="W160" s="181"/>
      <c r="X160" s="181"/>
      <c r="Y160" s="181"/>
      <c r="Z160" s="181"/>
      <c r="AA160" s="181"/>
      <c r="AB160" s="181"/>
      <c r="AC160" s="181"/>
      <c r="AD160" s="181"/>
      <c r="AE160" s="181"/>
      <c r="AF160" s="181"/>
      <c r="AG160" s="181"/>
      <c r="AH160" s="181"/>
      <c r="AI160" s="181"/>
      <c r="AJ160" s="181"/>
      <c r="AK160" s="181"/>
      <c r="AL160" s="181"/>
      <c r="AM160" s="181"/>
      <c r="AN160" s="181"/>
      <c r="AO160" s="181"/>
      <c r="AP160" s="181"/>
      <c r="AQ160" s="181"/>
      <c r="AR160" s="181"/>
      <c r="AS160" s="181"/>
      <c r="AT160" s="181"/>
      <c r="AU160" s="181"/>
      <c r="AV160" s="181"/>
      <c r="AW160" s="181"/>
      <c r="AX160" s="181"/>
      <c r="AY160" s="181"/>
      <c r="AZ160" s="181"/>
      <c r="BA160" s="181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</row>
    <row r="161" spans="1:8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181"/>
      <c r="S161" s="181"/>
      <c r="T161" s="181"/>
      <c r="U161" s="181"/>
      <c r="V161" s="181"/>
      <c r="W161" s="181"/>
      <c r="X161" s="181"/>
      <c r="Y161" s="181"/>
      <c r="Z161" s="181"/>
      <c r="AA161" s="181"/>
      <c r="AB161" s="181"/>
      <c r="AC161" s="181"/>
      <c r="AD161" s="181"/>
      <c r="AE161" s="181"/>
      <c r="AF161" s="181"/>
      <c r="AG161" s="181"/>
      <c r="AH161" s="181"/>
      <c r="AI161" s="181"/>
      <c r="AJ161" s="181"/>
      <c r="AK161" s="181"/>
      <c r="AL161" s="181"/>
      <c r="AM161" s="181"/>
      <c r="AN161" s="181"/>
      <c r="AO161" s="181"/>
      <c r="AP161" s="181"/>
      <c r="AQ161" s="181"/>
      <c r="AR161" s="181"/>
      <c r="AS161" s="181"/>
      <c r="AT161" s="181"/>
      <c r="AU161" s="181"/>
      <c r="AV161" s="181"/>
      <c r="AW161" s="181"/>
      <c r="AX161" s="181"/>
      <c r="AY161" s="181"/>
      <c r="AZ161" s="181"/>
      <c r="BA161" s="181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</row>
    <row r="162" spans="1:8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181"/>
      <c r="S162" s="181"/>
      <c r="T162" s="181"/>
      <c r="U162" s="181"/>
      <c r="V162" s="181"/>
      <c r="W162" s="181"/>
      <c r="X162" s="181"/>
      <c r="Y162" s="181"/>
      <c r="Z162" s="181"/>
      <c r="AA162" s="181"/>
      <c r="AB162" s="181"/>
      <c r="AC162" s="181"/>
      <c r="AD162" s="181"/>
      <c r="AE162" s="181"/>
      <c r="AF162" s="181"/>
      <c r="AG162" s="181"/>
      <c r="AH162" s="181"/>
      <c r="AI162" s="181"/>
      <c r="AJ162" s="181"/>
      <c r="AK162" s="181"/>
      <c r="AL162" s="181"/>
      <c r="AM162" s="181"/>
      <c r="AN162" s="181"/>
      <c r="AO162" s="181"/>
      <c r="AP162" s="181"/>
      <c r="AQ162" s="181"/>
      <c r="AR162" s="181"/>
      <c r="AS162" s="181"/>
      <c r="AT162" s="181"/>
      <c r="AU162" s="181"/>
      <c r="AV162" s="181"/>
      <c r="AW162" s="181"/>
      <c r="AX162" s="181"/>
      <c r="AY162" s="181"/>
      <c r="AZ162" s="181"/>
      <c r="BA162" s="181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</row>
    <row r="163" spans="1:8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181"/>
      <c r="S163" s="181"/>
      <c r="T163" s="181"/>
      <c r="U163" s="181"/>
      <c r="V163" s="181"/>
      <c r="W163" s="181"/>
      <c r="X163" s="181"/>
      <c r="Y163" s="181"/>
      <c r="Z163" s="181"/>
      <c r="AA163" s="181"/>
      <c r="AB163" s="181"/>
      <c r="AC163" s="181"/>
      <c r="AD163" s="181"/>
      <c r="AE163" s="181"/>
      <c r="AF163" s="181"/>
      <c r="AG163" s="181"/>
      <c r="AH163" s="181"/>
      <c r="AI163" s="181"/>
      <c r="AJ163" s="181"/>
      <c r="AK163" s="181"/>
      <c r="AL163" s="181"/>
      <c r="AM163" s="181"/>
      <c r="AN163" s="181"/>
      <c r="AO163" s="181"/>
      <c r="AP163" s="181"/>
      <c r="AQ163" s="181"/>
      <c r="AR163" s="181"/>
      <c r="AS163" s="181"/>
      <c r="AT163" s="181"/>
      <c r="AU163" s="181"/>
      <c r="AV163" s="181"/>
      <c r="AW163" s="181"/>
      <c r="AX163" s="181"/>
      <c r="AY163" s="181"/>
      <c r="AZ163" s="181"/>
      <c r="BA163" s="181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</row>
    <row r="164" spans="1:8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181"/>
      <c r="S164" s="181"/>
      <c r="T164" s="181"/>
      <c r="U164" s="181"/>
      <c r="V164" s="181"/>
      <c r="W164" s="181"/>
      <c r="X164" s="181"/>
      <c r="Y164" s="181"/>
      <c r="Z164" s="181"/>
      <c r="AA164" s="181"/>
      <c r="AB164" s="181"/>
      <c r="AC164" s="181"/>
      <c r="AD164" s="181"/>
      <c r="AE164" s="181"/>
      <c r="AF164" s="181"/>
      <c r="AG164" s="181"/>
      <c r="AH164" s="181"/>
      <c r="AI164" s="181"/>
      <c r="AJ164" s="181"/>
      <c r="AK164" s="181"/>
      <c r="AL164" s="181"/>
      <c r="AM164" s="181"/>
      <c r="AN164" s="181"/>
      <c r="AO164" s="181"/>
      <c r="AP164" s="181"/>
      <c r="AQ164" s="181"/>
      <c r="AR164" s="181"/>
      <c r="AS164" s="181"/>
      <c r="AT164" s="181"/>
      <c r="AU164" s="181"/>
      <c r="AV164" s="181"/>
      <c r="AW164" s="181"/>
      <c r="AX164" s="181"/>
      <c r="AY164" s="181"/>
      <c r="AZ164" s="181"/>
      <c r="BA164" s="181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</row>
    <row r="165" spans="1:8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181"/>
      <c r="S165" s="181"/>
      <c r="T165" s="181"/>
      <c r="U165" s="181"/>
      <c r="V165" s="181"/>
      <c r="W165" s="181"/>
      <c r="X165" s="181"/>
      <c r="Y165" s="181"/>
      <c r="Z165" s="181"/>
      <c r="AA165" s="181"/>
      <c r="AB165" s="181"/>
      <c r="AC165" s="181"/>
      <c r="AD165" s="181"/>
      <c r="AE165" s="181"/>
      <c r="AF165" s="181"/>
      <c r="AG165" s="181"/>
      <c r="AH165" s="181"/>
      <c r="AI165" s="181"/>
      <c r="AJ165" s="181"/>
      <c r="AK165" s="181"/>
      <c r="AL165" s="181"/>
      <c r="AM165" s="181"/>
      <c r="AN165" s="181"/>
      <c r="AO165" s="181"/>
      <c r="AP165" s="181"/>
      <c r="AQ165" s="181"/>
      <c r="AR165" s="181"/>
      <c r="AS165" s="181"/>
      <c r="AT165" s="181"/>
      <c r="AU165" s="181"/>
      <c r="AV165" s="181"/>
      <c r="AW165" s="181"/>
      <c r="AX165" s="181"/>
      <c r="AY165" s="181"/>
      <c r="AZ165" s="181"/>
      <c r="BA165" s="181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</row>
    <row r="166" spans="1:8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81"/>
      <c r="AJ166" s="181"/>
      <c r="AK166" s="181"/>
      <c r="AL166" s="181"/>
      <c r="AM166" s="181"/>
      <c r="AN166" s="181"/>
      <c r="AO166" s="181"/>
      <c r="AP166" s="181"/>
      <c r="AQ166" s="181"/>
      <c r="AR166" s="181"/>
      <c r="AS166" s="181"/>
      <c r="AT166" s="181"/>
      <c r="AU166" s="181"/>
      <c r="AV166" s="181"/>
      <c r="AW166" s="181"/>
      <c r="AX166" s="181"/>
      <c r="AY166" s="181"/>
      <c r="AZ166" s="181"/>
      <c r="BA166" s="181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</row>
    <row r="167" spans="1:8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81"/>
      <c r="AJ167" s="181"/>
      <c r="AK167" s="181"/>
      <c r="AL167" s="181"/>
      <c r="AM167" s="181"/>
      <c r="AN167" s="181"/>
      <c r="AO167" s="181"/>
      <c r="AP167" s="181"/>
      <c r="AQ167" s="181"/>
      <c r="AR167" s="181"/>
      <c r="AS167" s="181"/>
      <c r="AT167" s="181"/>
      <c r="AU167" s="181"/>
      <c r="AV167" s="181"/>
      <c r="AW167" s="181"/>
      <c r="AX167" s="181"/>
      <c r="AY167" s="181"/>
      <c r="AZ167" s="181"/>
      <c r="BA167" s="181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</row>
    <row r="168" spans="1:8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81"/>
      <c r="AJ168" s="181"/>
      <c r="AK168" s="181"/>
      <c r="AL168" s="181"/>
      <c r="AM168" s="181"/>
      <c r="AN168" s="181"/>
      <c r="AO168" s="181"/>
      <c r="AP168" s="181"/>
      <c r="AQ168" s="181"/>
      <c r="AR168" s="181"/>
      <c r="AS168" s="181"/>
      <c r="AT168" s="181"/>
      <c r="AU168" s="181"/>
      <c r="AV168" s="181"/>
      <c r="AW168" s="181"/>
      <c r="AX168" s="181"/>
      <c r="AY168" s="181"/>
      <c r="AZ168" s="181"/>
      <c r="BA168" s="181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</row>
    <row r="169" spans="1:8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81"/>
      <c r="AJ169" s="181"/>
      <c r="AK169" s="181"/>
      <c r="AL169" s="181"/>
      <c r="AM169" s="181"/>
      <c r="AN169" s="181"/>
      <c r="AO169" s="181"/>
      <c r="AP169" s="181"/>
      <c r="AQ169" s="181"/>
      <c r="AR169" s="181"/>
      <c r="AS169" s="181"/>
      <c r="AT169" s="181"/>
      <c r="AU169" s="181"/>
      <c r="AV169" s="181"/>
      <c r="AW169" s="181"/>
      <c r="AX169" s="181"/>
      <c r="AY169" s="181"/>
      <c r="AZ169" s="181"/>
      <c r="BA169" s="181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</row>
    <row r="170" spans="1:8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81"/>
      <c r="AJ170" s="181"/>
      <c r="AK170" s="181"/>
      <c r="AL170" s="181"/>
      <c r="AM170" s="181"/>
      <c r="AN170" s="181"/>
      <c r="AO170" s="181"/>
      <c r="AP170" s="181"/>
      <c r="AQ170" s="181"/>
      <c r="AR170" s="181"/>
      <c r="AS170" s="181"/>
      <c r="AT170" s="181"/>
      <c r="AU170" s="181"/>
      <c r="AV170" s="181"/>
      <c r="AW170" s="181"/>
      <c r="AX170" s="181"/>
      <c r="AY170" s="181"/>
      <c r="AZ170" s="181"/>
      <c r="BA170" s="181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</row>
    <row r="171" spans="1:8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81"/>
      <c r="AJ171" s="181"/>
      <c r="AK171" s="181"/>
      <c r="AL171" s="181"/>
      <c r="AM171" s="181"/>
      <c r="AN171" s="181"/>
      <c r="AO171" s="181"/>
      <c r="AP171" s="181"/>
      <c r="AQ171" s="181"/>
      <c r="AR171" s="181"/>
      <c r="AS171" s="181"/>
      <c r="AT171" s="181"/>
      <c r="AU171" s="181"/>
      <c r="AV171" s="181"/>
      <c r="AW171" s="181"/>
      <c r="AX171" s="181"/>
      <c r="AY171" s="181"/>
      <c r="AZ171" s="181"/>
      <c r="BA171" s="181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</row>
    <row r="172" spans="1:8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81"/>
      <c r="AJ172" s="181"/>
      <c r="AK172" s="181"/>
      <c r="AL172" s="181"/>
      <c r="AM172" s="181"/>
      <c r="AN172" s="181"/>
      <c r="AO172" s="181"/>
      <c r="AP172" s="181"/>
      <c r="AQ172" s="181"/>
      <c r="AR172" s="181"/>
      <c r="AS172" s="181"/>
      <c r="AT172" s="181"/>
      <c r="AU172" s="181"/>
      <c r="AV172" s="181"/>
      <c r="AW172" s="181"/>
      <c r="AX172" s="181"/>
      <c r="AY172" s="181"/>
      <c r="AZ172" s="181"/>
      <c r="BA172" s="181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</row>
    <row r="173" spans="1:8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81"/>
      <c r="AJ173" s="181"/>
      <c r="AK173" s="181"/>
      <c r="AL173" s="181"/>
      <c r="AM173" s="181"/>
      <c r="AN173" s="181"/>
      <c r="AO173" s="181"/>
      <c r="AP173" s="181"/>
      <c r="AQ173" s="181"/>
      <c r="AR173" s="181"/>
      <c r="AS173" s="181"/>
      <c r="AT173" s="181"/>
      <c r="AU173" s="181"/>
      <c r="AV173" s="181"/>
      <c r="AW173" s="181"/>
      <c r="AX173" s="181"/>
      <c r="AY173" s="181"/>
      <c r="AZ173" s="181"/>
      <c r="BA173" s="181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</row>
    <row r="174" spans="1:8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81"/>
      <c r="AJ174" s="181"/>
      <c r="AK174" s="181"/>
      <c r="AL174" s="181"/>
      <c r="AM174" s="181"/>
      <c r="AN174" s="181"/>
      <c r="AO174" s="181"/>
      <c r="AP174" s="181"/>
      <c r="AQ174" s="181"/>
      <c r="AR174" s="181"/>
      <c r="AS174" s="181"/>
      <c r="AT174" s="181"/>
      <c r="AU174" s="181"/>
      <c r="AV174" s="181"/>
      <c r="AW174" s="181"/>
      <c r="AX174" s="181"/>
      <c r="AY174" s="181"/>
      <c r="AZ174" s="181"/>
      <c r="BA174" s="181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</row>
    <row r="175" spans="1:8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81"/>
      <c r="AJ175" s="181"/>
      <c r="AK175" s="181"/>
      <c r="AL175" s="181"/>
      <c r="AM175" s="181"/>
      <c r="AN175" s="181"/>
      <c r="AO175" s="181"/>
      <c r="AP175" s="181"/>
      <c r="AQ175" s="181"/>
      <c r="AR175" s="181"/>
      <c r="AS175" s="181"/>
      <c r="AT175" s="181"/>
      <c r="AU175" s="181"/>
      <c r="AV175" s="181"/>
      <c r="AW175" s="181"/>
      <c r="AX175" s="181"/>
      <c r="AY175" s="181"/>
      <c r="AZ175" s="181"/>
      <c r="BA175" s="181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</row>
    <row r="176" spans="1:8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81"/>
      <c r="AJ176" s="181"/>
      <c r="AK176" s="181"/>
      <c r="AL176" s="181"/>
      <c r="AM176" s="181"/>
      <c r="AN176" s="181"/>
      <c r="AO176" s="181"/>
      <c r="AP176" s="181"/>
      <c r="AQ176" s="181"/>
      <c r="AR176" s="181"/>
      <c r="AS176" s="181"/>
      <c r="AT176" s="181"/>
      <c r="AU176" s="181"/>
      <c r="AV176" s="181"/>
      <c r="AW176" s="181"/>
      <c r="AX176" s="181"/>
      <c r="AY176" s="181"/>
      <c r="AZ176" s="181"/>
      <c r="BA176" s="181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</row>
    <row r="177" spans="1:8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81"/>
      <c r="AJ177" s="181"/>
      <c r="AK177" s="181"/>
      <c r="AL177" s="181"/>
      <c r="AM177" s="181"/>
      <c r="AN177" s="181"/>
      <c r="AO177" s="181"/>
      <c r="AP177" s="181"/>
      <c r="AQ177" s="181"/>
      <c r="AR177" s="181"/>
      <c r="AS177" s="181"/>
      <c r="AT177" s="181"/>
      <c r="AU177" s="181"/>
      <c r="AV177" s="181"/>
      <c r="AW177" s="181"/>
      <c r="AX177" s="181"/>
      <c r="AY177" s="181"/>
      <c r="AZ177" s="181"/>
      <c r="BA177" s="181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</row>
    <row r="178" spans="1:8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81"/>
      <c r="AJ178" s="181"/>
      <c r="AK178" s="181"/>
      <c r="AL178" s="181"/>
      <c r="AM178" s="181"/>
      <c r="AN178" s="181"/>
      <c r="AO178" s="181"/>
      <c r="AP178" s="181"/>
      <c r="AQ178" s="181"/>
      <c r="AR178" s="181"/>
      <c r="AS178" s="181"/>
      <c r="AT178" s="181"/>
      <c r="AU178" s="181"/>
      <c r="AV178" s="181"/>
      <c r="AW178" s="181"/>
      <c r="AX178" s="181"/>
      <c r="AY178" s="181"/>
      <c r="AZ178" s="181"/>
      <c r="BA178" s="181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</row>
    <row r="179" spans="1:8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81"/>
      <c r="AJ179" s="181"/>
      <c r="AK179" s="181"/>
      <c r="AL179" s="181"/>
      <c r="AM179" s="181"/>
      <c r="AN179" s="181"/>
      <c r="AO179" s="181"/>
      <c r="AP179" s="181"/>
      <c r="AQ179" s="181"/>
      <c r="AR179" s="181"/>
      <c r="AS179" s="181"/>
      <c r="AT179" s="181"/>
      <c r="AU179" s="181"/>
      <c r="AV179" s="181"/>
      <c r="AW179" s="181"/>
      <c r="AX179" s="181"/>
      <c r="AY179" s="181"/>
      <c r="AZ179" s="181"/>
      <c r="BA179" s="181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</row>
    <row r="180" spans="1:8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81"/>
      <c r="AJ180" s="181"/>
      <c r="AK180" s="181"/>
      <c r="AL180" s="181"/>
      <c r="AM180" s="181"/>
      <c r="AN180" s="181"/>
      <c r="AO180" s="181"/>
      <c r="AP180" s="181"/>
      <c r="AQ180" s="181"/>
      <c r="AR180" s="181"/>
      <c r="AS180" s="181"/>
      <c r="AT180" s="181"/>
      <c r="AU180" s="181"/>
      <c r="AV180" s="181"/>
      <c r="AW180" s="181"/>
      <c r="AX180" s="181"/>
      <c r="AY180" s="181"/>
      <c r="AZ180" s="181"/>
      <c r="BA180" s="181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</row>
    <row r="181" spans="1:8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81"/>
      <c r="AI181" s="181"/>
      <c r="AJ181" s="181"/>
      <c r="AK181" s="181"/>
      <c r="AL181" s="181"/>
      <c r="AM181" s="181"/>
      <c r="AN181" s="181"/>
      <c r="AO181" s="181"/>
      <c r="AP181" s="181"/>
      <c r="AQ181" s="181"/>
      <c r="AR181" s="181"/>
      <c r="AS181" s="181"/>
      <c r="AT181" s="181"/>
      <c r="AU181" s="181"/>
      <c r="AV181" s="181"/>
      <c r="AW181" s="181"/>
      <c r="AX181" s="181"/>
      <c r="AY181" s="181"/>
      <c r="AZ181" s="181"/>
      <c r="BA181" s="181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</row>
    <row r="182" spans="1: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181"/>
      <c r="S182" s="181"/>
      <c r="T182" s="181"/>
      <c r="U182" s="181"/>
      <c r="V182" s="181"/>
      <c r="W182" s="181"/>
      <c r="X182" s="181"/>
      <c r="Y182" s="181"/>
      <c r="Z182" s="181"/>
      <c r="AA182" s="181"/>
      <c r="AB182" s="181"/>
      <c r="AC182" s="181"/>
      <c r="AD182" s="181"/>
      <c r="AE182" s="181"/>
      <c r="AF182" s="181"/>
      <c r="AG182" s="181"/>
      <c r="AH182" s="181"/>
      <c r="AI182" s="181"/>
      <c r="AJ182" s="181"/>
      <c r="AK182" s="181"/>
      <c r="AL182" s="181"/>
      <c r="AM182" s="181"/>
      <c r="AN182" s="181"/>
      <c r="AO182" s="181"/>
      <c r="AP182" s="181"/>
      <c r="AQ182" s="181"/>
      <c r="AR182" s="181"/>
      <c r="AS182" s="181"/>
      <c r="AT182" s="181"/>
      <c r="AU182" s="181"/>
      <c r="AV182" s="181"/>
      <c r="AW182" s="181"/>
      <c r="AX182" s="181"/>
      <c r="AY182" s="181"/>
      <c r="AZ182" s="181"/>
      <c r="BA182" s="181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</row>
    <row r="183" spans="1:8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181"/>
      <c r="S183" s="181"/>
      <c r="T183" s="181"/>
      <c r="U183" s="181"/>
      <c r="V183" s="181"/>
      <c r="W183" s="181"/>
      <c r="X183" s="181"/>
      <c r="Y183" s="181"/>
      <c r="Z183" s="181"/>
      <c r="AA183" s="181"/>
      <c r="AB183" s="181"/>
      <c r="AC183" s="181"/>
      <c r="AD183" s="181"/>
      <c r="AE183" s="181"/>
      <c r="AF183" s="181"/>
      <c r="AG183" s="181"/>
      <c r="AH183" s="181"/>
      <c r="AI183" s="181"/>
      <c r="AJ183" s="181"/>
      <c r="AK183" s="181"/>
      <c r="AL183" s="181"/>
      <c r="AM183" s="181"/>
      <c r="AN183" s="181"/>
      <c r="AO183" s="181"/>
      <c r="AP183" s="181"/>
      <c r="AQ183" s="181"/>
      <c r="AR183" s="181"/>
      <c r="AS183" s="181"/>
      <c r="AT183" s="181"/>
      <c r="AU183" s="181"/>
      <c r="AV183" s="181"/>
      <c r="AW183" s="181"/>
      <c r="AX183" s="181"/>
      <c r="AY183" s="181"/>
      <c r="AZ183" s="181"/>
      <c r="BA183" s="181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</row>
    <row r="184" spans="1:8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181"/>
      <c r="S184" s="181"/>
      <c r="T184" s="181"/>
      <c r="U184" s="181"/>
      <c r="V184" s="181"/>
      <c r="W184" s="181"/>
      <c r="X184" s="181"/>
      <c r="Y184" s="181"/>
      <c r="Z184" s="181"/>
      <c r="AA184" s="181"/>
      <c r="AB184" s="181"/>
      <c r="AC184" s="181"/>
      <c r="AD184" s="181"/>
      <c r="AE184" s="181"/>
      <c r="AF184" s="181"/>
      <c r="AG184" s="181"/>
      <c r="AH184" s="181"/>
      <c r="AI184" s="181"/>
      <c r="AJ184" s="181"/>
      <c r="AK184" s="181"/>
      <c r="AL184" s="181"/>
      <c r="AM184" s="181"/>
      <c r="AN184" s="181"/>
      <c r="AO184" s="181"/>
      <c r="AP184" s="181"/>
      <c r="AQ184" s="181"/>
      <c r="AR184" s="181"/>
      <c r="AS184" s="181"/>
      <c r="AT184" s="181"/>
      <c r="AU184" s="181"/>
      <c r="AV184" s="181"/>
      <c r="AW184" s="181"/>
      <c r="AX184" s="181"/>
      <c r="AY184" s="181"/>
      <c r="AZ184" s="181"/>
      <c r="BA184" s="181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</row>
    <row r="185" spans="1:8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181"/>
      <c r="S185" s="181"/>
      <c r="T185" s="181"/>
      <c r="U185" s="181"/>
      <c r="V185" s="181"/>
      <c r="W185" s="181"/>
      <c r="X185" s="181"/>
      <c r="Y185" s="181"/>
      <c r="Z185" s="181"/>
      <c r="AA185" s="181"/>
      <c r="AB185" s="181"/>
      <c r="AC185" s="181"/>
      <c r="AD185" s="181"/>
      <c r="AE185" s="181"/>
      <c r="AF185" s="181"/>
      <c r="AG185" s="181"/>
      <c r="AH185" s="181"/>
      <c r="AI185" s="181"/>
      <c r="AJ185" s="181"/>
      <c r="AK185" s="181"/>
      <c r="AL185" s="181"/>
      <c r="AM185" s="181"/>
      <c r="AN185" s="181"/>
      <c r="AO185" s="181"/>
      <c r="AP185" s="181"/>
      <c r="AQ185" s="181"/>
      <c r="AR185" s="181"/>
      <c r="AS185" s="181"/>
      <c r="AT185" s="181"/>
      <c r="AU185" s="181"/>
      <c r="AV185" s="181"/>
      <c r="AW185" s="181"/>
      <c r="AX185" s="181"/>
      <c r="AY185" s="181"/>
      <c r="AZ185" s="181"/>
      <c r="BA185" s="181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</row>
    <row r="186" spans="1:8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181"/>
      <c r="S186" s="181"/>
      <c r="T186" s="181"/>
      <c r="U186" s="181"/>
      <c r="V186" s="181"/>
      <c r="W186" s="181"/>
      <c r="X186" s="181"/>
      <c r="Y186" s="181"/>
      <c r="Z186" s="181"/>
      <c r="AA186" s="181"/>
      <c r="AB186" s="181"/>
      <c r="AC186" s="181"/>
      <c r="AD186" s="181"/>
      <c r="AE186" s="181"/>
      <c r="AF186" s="181"/>
      <c r="AG186" s="181"/>
      <c r="AH186" s="181"/>
      <c r="AI186" s="181"/>
      <c r="AJ186" s="181"/>
      <c r="AK186" s="181"/>
      <c r="AL186" s="181"/>
      <c r="AM186" s="181"/>
      <c r="AN186" s="181"/>
      <c r="AO186" s="181"/>
      <c r="AP186" s="181"/>
      <c r="AQ186" s="181"/>
      <c r="AR186" s="181"/>
      <c r="AS186" s="181"/>
      <c r="AT186" s="181"/>
      <c r="AU186" s="181"/>
      <c r="AV186" s="181"/>
      <c r="AW186" s="181"/>
      <c r="AX186" s="181"/>
      <c r="AY186" s="181"/>
      <c r="AZ186" s="181"/>
      <c r="BA186" s="181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</row>
    <row r="187" spans="1:8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181"/>
      <c r="S187" s="181"/>
      <c r="T187" s="181"/>
      <c r="U187" s="181"/>
      <c r="V187" s="181"/>
      <c r="W187" s="181"/>
      <c r="X187" s="181"/>
      <c r="Y187" s="181"/>
      <c r="Z187" s="181"/>
      <c r="AA187" s="181"/>
      <c r="AB187" s="181"/>
      <c r="AC187" s="181"/>
      <c r="AD187" s="181"/>
      <c r="AE187" s="181"/>
      <c r="AF187" s="181"/>
      <c r="AG187" s="181"/>
      <c r="AH187" s="181"/>
      <c r="AI187" s="181"/>
      <c r="AJ187" s="181"/>
      <c r="AK187" s="181"/>
      <c r="AL187" s="181"/>
      <c r="AM187" s="181"/>
      <c r="AN187" s="181"/>
      <c r="AO187" s="181"/>
      <c r="AP187" s="181"/>
      <c r="AQ187" s="181"/>
      <c r="AR187" s="181"/>
      <c r="AS187" s="181"/>
      <c r="AT187" s="181"/>
      <c r="AU187" s="181"/>
      <c r="AV187" s="181"/>
      <c r="AW187" s="181"/>
      <c r="AX187" s="181"/>
      <c r="AY187" s="181"/>
      <c r="AZ187" s="181"/>
      <c r="BA187" s="181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</row>
    <row r="188" spans="1:8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181"/>
      <c r="S188" s="181"/>
      <c r="T188" s="181"/>
      <c r="U188" s="181"/>
      <c r="V188" s="181"/>
      <c r="W188" s="181"/>
      <c r="X188" s="181"/>
      <c r="Y188" s="181"/>
      <c r="Z188" s="181"/>
      <c r="AA188" s="181"/>
      <c r="AB188" s="181"/>
      <c r="AC188" s="181"/>
      <c r="AD188" s="181"/>
      <c r="AE188" s="181"/>
      <c r="AF188" s="181"/>
      <c r="AG188" s="181"/>
      <c r="AH188" s="181"/>
      <c r="AI188" s="181"/>
      <c r="AJ188" s="181"/>
      <c r="AK188" s="181"/>
      <c r="AL188" s="181"/>
      <c r="AM188" s="181"/>
      <c r="AN188" s="181"/>
      <c r="AO188" s="181"/>
      <c r="AP188" s="181"/>
      <c r="AQ188" s="181"/>
      <c r="AR188" s="181"/>
      <c r="AS188" s="181"/>
      <c r="AT188" s="181"/>
      <c r="AU188" s="181"/>
      <c r="AV188" s="181"/>
      <c r="AW188" s="181"/>
      <c r="AX188" s="181"/>
      <c r="AY188" s="181"/>
      <c r="AZ188" s="181"/>
      <c r="BA188" s="181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</row>
    <row r="189" spans="1:8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81"/>
      <c r="AJ189" s="181"/>
      <c r="AK189" s="181"/>
      <c r="AL189" s="181"/>
      <c r="AM189" s="181"/>
      <c r="AN189" s="181"/>
      <c r="AO189" s="181"/>
      <c r="AP189" s="181"/>
      <c r="AQ189" s="181"/>
      <c r="AR189" s="181"/>
      <c r="AS189" s="181"/>
      <c r="AT189" s="181"/>
      <c r="AU189" s="181"/>
      <c r="AV189" s="181"/>
      <c r="AW189" s="181"/>
      <c r="AX189" s="181"/>
      <c r="AY189" s="181"/>
      <c r="AZ189" s="181"/>
      <c r="BA189" s="181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</row>
    <row r="190" spans="1:8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81"/>
      <c r="AJ190" s="181"/>
      <c r="AK190" s="181"/>
      <c r="AL190" s="181"/>
      <c r="AM190" s="181"/>
      <c r="AN190" s="181"/>
      <c r="AO190" s="181"/>
      <c r="AP190" s="181"/>
      <c r="AQ190" s="181"/>
      <c r="AR190" s="181"/>
      <c r="AS190" s="181"/>
      <c r="AT190" s="181"/>
      <c r="AU190" s="181"/>
      <c r="AV190" s="181"/>
      <c r="AW190" s="181"/>
      <c r="AX190" s="181"/>
      <c r="AY190" s="181"/>
      <c r="AZ190" s="181"/>
      <c r="BA190" s="181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</row>
    <row r="191" spans="1:8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81"/>
      <c r="AJ191" s="181"/>
      <c r="AK191" s="181"/>
      <c r="AL191" s="181"/>
      <c r="AM191" s="181"/>
      <c r="AN191" s="181"/>
      <c r="AO191" s="181"/>
      <c r="AP191" s="181"/>
      <c r="AQ191" s="181"/>
      <c r="AR191" s="181"/>
      <c r="AS191" s="181"/>
      <c r="AT191" s="181"/>
      <c r="AU191" s="181"/>
      <c r="AV191" s="181"/>
      <c r="AW191" s="181"/>
      <c r="AX191" s="181"/>
      <c r="AY191" s="181"/>
      <c r="AZ191" s="181"/>
      <c r="BA191" s="181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</row>
    <row r="192" spans="1:8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81"/>
      <c r="AJ192" s="181"/>
      <c r="AK192" s="181"/>
      <c r="AL192" s="181"/>
      <c r="AM192" s="181"/>
      <c r="AN192" s="181"/>
      <c r="AO192" s="181"/>
      <c r="AP192" s="181"/>
      <c r="AQ192" s="181"/>
      <c r="AR192" s="181"/>
      <c r="AS192" s="181"/>
      <c r="AT192" s="181"/>
      <c r="AU192" s="181"/>
      <c r="AV192" s="181"/>
      <c r="AW192" s="181"/>
      <c r="AX192" s="181"/>
      <c r="AY192" s="181"/>
      <c r="AZ192" s="181"/>
      <c r="BA192" s="181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</row>
    <row r="193" spans="1:8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81"/>
      <c r="AJ193" s="181"/>
      <c r="AK193" s="181"/>
      <c r="AL193" s="181"/>
      <c r="AM193" s="181"/>
      <c r="AN193" s="181"/>
      <c r="AO193" s="181"/>
      <c r="AP193" s="181"/>
      <c r="AQ193" s="181"/>
      <c r="AR193" s="181"/>
      <c r="AS193" s="181"/>
      <c r="AT193" s="181"/>
      <c r="AU193" s="181"/>
      <c r="AV193" s="181"/>
      <c r="AW193" s="181"/>
      <c r="AX193" s="181"/>
      <c r="AY193" s="181"/>
      <c r="AZ193" s="181"/>
      <c r="BA193" s="181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</row>
    <row r="194" spans="1:8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81"/>
      <c r="AJ194" s="181"/>
      <c r="AK194" s="181"/>
      <c r="AL194" s="181"/>
      <c r="AM194" s="181"/>
      <c r="AN194" s="181"/>
      <c r="AO194" s="181"/>
      <c r="AP194" s="181"/>
      <c r="AQ194" s="181"/>
      <c r="AR194" s="181"/>
      <c r="AS194" s="181"/>
      <c r="AT194" s="181"/>
      <c r="AU194" s="181"/>
      <c r="AV194" s="181"/>
      <c r="AW194" s="181"/>
      <c r="AX194" s="181"/>
      <c r="AY194" s="181"/>
      <c r="AZ194" s="181"/>
      <c r="BA194" s="181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</row>
    <row r="195" spans="1:8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81"/>
      <c r="AJ195" s="181"/>
      <c r="AK195" s="181"/>
      <c r="AL195" s="181"/>
      <c r="AM195" s="181"/>
      <c r="AN195" s="181"/>
      <c r="AO195" s="181"/>
      <c r="AP195" s="181"/>
      <c r="AQ195" s="181"/>
      <c r="AR195" s="181"/>
      <c r="AS195" s="181"/>
      <c r="AT195" s="181"/>
      <c r="AU195" s="181"/>
      <c r="AV195" s="181"/>
      <c r="AW195" s="181"/>
      <c r="AX195" s="181"/>
      <c r="AY195" s="181"/>
      <c r="AZ195" s="181"/>
      <c r="BA195" s="181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</row>
    <row r="196" spans="1:8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81"/>
      <c r="AJ196" s="181"/>
      <c r="AK196" s="181"/>
      <c r="AL196" s="181"/>
      <c r="AM196" s="181"/>
      <c r="AN196" s="181"/>
      <c r="AO196" s="181"/>
      <c r="AP196" s="181"/>
      <c r="AQ196" s="181"/>
      <c r="AR196" s="181"/>
      <c r="AS196" s="181"/>
      <c r="AT196" s="181"/>
      <c r="AU196" s="181"/>
      <c r="AV196" s="181"/>
      <c r="AW196" s="181"/>
      <c r="AX196" s="181"/>
      <c r="AY196" s="181"/>
      <c r="AZ196" s="181"/>
      <c r="BA196" s="181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</row>
    <row r="197" spans="1:8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81"/>
      <c r="AJ197" s="181"/>
      <c r="AK197" s="181"/>
      <c r="AL197" s="181"/>
      <c r="AM197" s="181"/>
      <c r="AN197" s="181"/>
      <c r="AO197" s="181"/>
      <c r="AP197" s="181"/>
      <c r="AQ197" s="181"/>
      <c r="AR197" s="181"/>
      <c r="AS197" s="181"/>
      <c r="AT197" s="181"/>
      <c r="AU197" s="181"/>
      <c r="AV197" s="181"/>
      <c r="AW197" s="181"/>
      <c r="AX197" s="181"/>
      <c r="AY197" s="181"/>
      <c r="AZ197" s="181"/>
      <c r="BA197" s="181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</row>
    <row r="198" spans="1:8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81"/>
      <c r="AJ198" s="181"/>
      <c r="AK198" s="181"/>
      <c r="AL198" s="181"/>
      <c r="AM198" s="181"/>
      <c r="AN198" s="181"/>
      <c r="AO198" s="181"/>
      <c r="AP198" s="181"/>
      <c r="AQ198" s="181"/>
      <c r="AR198" s="181"/>
      <c r="AS198" s="181"/>
      <c r="AT198" s="181"/>
      <c r="AU198" s="181"/>
      <c r="AV198" s="181"/>
      <c r="AW198" s="181"/>
      <c r="AX198" s="181"/>
      <c r="AY198" s="181"/>
      <c r="AZ198" s="181"/>
      <c r="BA198" s="181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</row>
    <row r="199" spans="1:8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81"/>
      <c r="AJ199" s="181"/>
      <c r="AK199" s="181"/>
      <c r="AL199" s="181"/>
      <c r="AM199" s="181"/>
      <c r="AN199" s="181"/>
      <c r="AO199" s="181"/>
      <c r="AP199" s="181"/>
      <c r="AQ199" s="181"/>
      <c r="AR199" s="181"/>
      <c r="AS199" s="181"/>
      <c r="AT199" s="181"/>
      <c r="AU199" s="181"/>
      <c r="AV199" s="181"/>
      <c r="AW199" s="181"/>
      <c r="AX199" s="181"/>
      <c r="AY199" s="181"/>
      <c r="AZ199" s="181"/>
      <c r="BA199" s="181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</row>
    <row r="200" spans="1:8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81"/>
      <c r="AJ200" s="181"/>
      <c r="AK200" s="181"/>
      <c r="AL200" s="181"/>
      <c r="AM200" s="181"/>
      <c r="AN200" s="181"/>
      <c r="AO200" s="181"/>
      <c r="AP200" s="181"/>
      <c r="AQ200" s="181"/>
      <c r="AR200" s="181"/>
      <c r="AS200" s="181"/>
      <c r="AT200" s="181"/>
      <c r="AU200" s="181"/>
      <c r="AV200" s="181"/>
      <c r="AW200" s="181"/>
      <c r="AX200" s="181"/>
      <c r="AY200" s="181"/>
      <c r="AZ200" s="181"/>
      <c r="BA200" s="181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</row>
    <row r="201" spans="1:8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81"/>
      <c r="AJ201" s="181"/>
      <c r="AK201" s="181"/>
      <c r="AL201" s="181"/>
      <c r="AM201" s="181"/>
      <c r="AN201" s="181"/>
      <c r="AO201" s="181"/>
      <c r="AP201" s="181"/>
      <c r="AQ201" s="181"/>
      <c r="AR201" s="181"/>
      <c r="AS201" s="181"/>
      <c r="AT201" s="181"/>
      <c r="AU201" s="181"/>
      <c r="AV201" s="181"/>
      <c r="AW201" s="181"/>
      <c r="AX201" s="181"/>
      <c r="AY201" s="181"/>
      <c r="AZ201" s="181"/>
      <c r="BA201" s="181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</row>
    <row r="202" spans="1:8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81"/>
      <c r="AJ202" s="181"/>
      <c r="AK202" s="181"/>
      <c r="AL202" s="181"/>
      <c r="AM202" s="181"/>
      <c r="AN202" s="181"/>
      <c r="AO202" s="181"/>
      <c r="AP202" s="181"/>
      <c r="AQ202" s="181"/>
      <c r="AR202" s="181"/>
      <c r="AS202" s="181"/>
      <c r="AT202" s="181"/>
      <c r="AU202" s="181"/>
      <c r="AV202" s="181"/>
      <c r="AW202" s="181"/>
      <c r="AX202" s="181"/>
      <c r="AY202" s="181"/>
      <c r="AZ202" s="181"/>
      <c r="BA202" s="181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</row>
    <row r="203" spans="1:8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81"/>
      <c r="AJ203" s="181"/>
      <c r="AK203" s="181"/>
      <c r="AL203" s="181"/>
      <c r="AM203" s="181"/>
      <c r="AN203" s="181"/>
      <c r="AO203" s="181"/>
      <c r="AP203" s="181"/>
      <c r="AQ203" s="181"/>
      <c r="AR203" s="181"/>
      <c r="AS203" s="181"/>
      <c r="AT203" s="181"/>
      <c r="AU203" s="181"/>
      <c r="AV203" s="181"/>
      <c r="AW203" s="181"/>
      <c r="AX203" s="181"/>
      <c r="AY203" s="181"/>
      <c r="AZ203" s="181"/>
      <c r="BA203" s="181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</row>
    <row r="204" spans="1:8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81"/>
      <c r="AI204" s="181"/>
      <c r="AJ204" s="181"/>
      <c r="AK204" s="181"/>
      <c r="AL204" s="181"/>
      <c r="AM204" s="181"/>
      <c r="AN204" s="181"/>
      <c r="AO204" s="181"/>
      <c r="AP204" s="181"/>
      <c r="AQ204" s="181"/>
      <c r="AR204" s="181"/>
      <c r="AS204" s="181"/>
      <c r="AT204" s="181"/>
      <c r="AU204" s="181"/>
      <c r="AV204" s="181"/>
      <c r="AW204" s="181"/>
      <c r="AX204" s="181"/>
      <c r="AY204" s="181"/>
      <c r="AZ204" s="181"/>
      <c r="BA204" s="181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</row>
    <row r="205" spans="1:8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181"/>
      <c r="S205" s="181"/>
      <c r="T205" s="181"/>
      <c r="U205" s="181"/>
      <c r="V205" s="181"/>
      <c r="W205" s="181"/>
      <c r="X205" s="181"/>
      <c r="Y205" s="181"/>
      <c r="Z205" s="181"/>
      <c r="AA205" s="181"/>
      <c r="AB205" s="181"/>
      <c r="AC205" s="181"/>
      <c r="AD205" s="181"/>
      <c r="AE205" s="181"/>
      <c r="AF205" s="181"/>
      <c r="AG205" s="181"/>
      <c r="AH205" s="181"/>
      <c r="AI205" s="181"/>
      <c r="AJ205" s="181"/>
      <c r="AK205" s="181"/>
      <c r="AL205" s="181"/>
      <c r="AM205" s="181"/>
      <c r="AN205" s="181"/>
      <c r="AO205" s="181"/>
      <c r="AP205" s="181"/>
      <c r="AQ205" s="181"/>
      <c r="AR205" s="181"/>
      <c r="AS205" s="181"/>
      <c r="AT205" s="181"/>
      <c r="AU205" s="181"/>
      <c r="AV205" s="181"/>
      <c r="AW205" s="181"/>
      <c r="AX205" s="181"/>
      <c r="AY205" s="181"/>
      <c r="AZ205" s="181"/>
      <c r="BA205" s="181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</row>
    <row r="206" spans="1:8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181"/>
      <c r="S206" s="181"/>
      <c r="T206" s="181"/>
      <c r="U206" s="181"/>
      <c r="V206" s="181"/>
      <c r="W206" s="181"/>
      <c r="X206" s="181"/>
      <c r="Y206" s="181"/>
      <c r="Z206" s="181"/>
      <c r="AA206" s="181"/>
      <c r="AB206" s="181"/>
      <c r="AC206" s="181"/>
      <c r="AD206" s="181"/>
      <c r="AE206" s="181"/>
      <c r="AF206" s="181"/>
      <c r="AG206" s="181"/>
      <c r="AH206" s="181"/>
      <c r="AI206" s="181"/>
      <c r="AJ206" s="181"/>
      <c r="AK206" s="181"/>
      <c r="AL206" s="181"/>
      <c r="AM206" s="181"/>
      <c r="AN206" s="181"/>
      <c r="AO206" s="181"/>
      <c r="AP206" s="181"/>
      <c r="AQ206" s="181"/>
      <c r="AR206" s="181"/>
      <c r="AS206" s="181"/>
      <c r="AT206" s="181"/>
      <c r="AU206" s="181"/>
      <c r="AV206" s="181"/>
      <c r="AW206" s="181"/>
      <c r="AX206" s="181"/>
      <c r="AY206" s="181"/>
      <c r="AZ206" s="181"/>
      <c r="BA206" s="181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</row>
    <row r="207" spans="1:8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181"/>
      <c r="S207" s="181"/>
      <c r="T207" s="181"/>
      <c r="U207" s="181"/>
      <c r="V207" s="181"/>
      <c r="W207" s="181"/>
      <c r="X207" s="181"/>
      <c r="Y207" s="181"/>
      <c r="Z207" s="181"/>
      <c r="AA207" s="181"/>
      <c r="AB207" s="181"/>
      <c r="AC207" s="181"/>
      <c r="AD207" s="181"/>
      <c r="AE207" s="181"/>
      <c r="AF207" s="181"/>
      <c r="AG207" s="181"/>
      <c r="AH207" s="181"/>
      <c r="AI207" s="181"/>
      <c r="AJ207" s="181"/>
      <c r="AK207" s="181"/>
      <c r="AL207" s="181"/>
      <c r="AM207" s="181"/>
      <c r="AN207" s="181"/>
      <c r="AO207" s="181"/>
      <c r="AP207" s="181"/>
      <c r="AQ207" s="181"/>
      <c r="AR207" s="181"/>
      <c r="AS207" s="181"/>
      <c r="AT207" s="181"/>
      <c r="AU207" s="181"/>
      <c r="AV207" s="181"/>
      <c r="AW207" s="181"/>
      <c r="AX207" s="181"/>
      <c r="AY207" s="181"/>
      <c r="AZ207" s="181"/>
      <c r="BA207" s="181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</row>
    <row r="208" spans="1:8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181"/>
      <c r="S208" s="181"/>
      <c r="T208" s="181"/>
      <c r="U208" s="181"/>
      <c r="V208" s="181"/>
      <c r="W208" s="181"/>
      <c r="X208" s="181"/>
      <c r="Y208" s="181"/>
      <c r="Z208" s="181"/>
      <c r="AA208" s="181"/>
      <c r="AB208" s="181"/>
      <c r="AC208" s="181"/>
      <c r="AD208" s="181"/>
      <c r="AE208" s="181"/>
      <c r="AF208" s="181"/>
      <c r="AG208" s="181"/>
      <c r="AH208" s="181"/>
      <c r="AI208" s="181"/>
      <c r="AJ208" s="181"/>
      <c r="AK208" s="181"/>
      <c r="AL208" s="181"/>
      <c r="AM208" s="181"/>
      <c r="AN208" s="181"/>
      <c r="AO208" s="181"/>
      <c r="AP208" s="181"/>
      <c r="AQ208" s="181"/>
      <c r="AR208" s="181"/>
      <c r="AS208" s="181"/>
      <c r="AT208" s="181"/>
      <c r="AU208" s="181"/>
      <c r="AV208" s="181"/>
      <c r="AW208" s="181"/>
      <c r="AX208" s="181"/>
      <c r="AY208" s="181"/>
      <c r="AZ208" s="181"/>
      <c r="BA208" s="181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</row>
    <row r="209" spans="1:8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181"/>
      <c r="S209" s="181"/>
      <c r="T209" s="181"/>
      <c r="U209" s="181"/>
      <c r="V209" s="181"/>
      <c r="W209" s="181"/>
      <c r="X209" s="181"/>
      <c r="Y209" s="181"/>
      <c r="Z209" s="181"/>
      <c r="AA209" s="181"/>
      <c r="AB209" s="181"/>
      <c r="AC209" s="181"/>
      <c r="AD209" s="181"/>
      <c r="AE209" s="181"/>
      <c r="AF209" s="181"/>
      <c r="AG209" s="181"/>
      <c r="AH209" s="181"/>
      <c r="AI209" s="181"/>
      <c r="AJ209" s="181"/>
      <c r="AK209" s="181"/>
      <c r="AL209" s="181"/>
      <c r="AM209" s="181"/>
      <c r="AN209" s="181"/>
      <c r="AO209" s="181"/>
      <c r="AP209" s="181"/>
      <c r="AQ209" s="181"/>
      <c r="AR209" s="181"/>
      <c r="AS209" s="181"/>
      <c r="AT209" s="181"/>
      <c r="AU209" s="181"/>
      <c r="AV209" s="181"/>
      <c r="AW209" s="181"/>
      <c r="AX209" s="181"/>
      <c r="AY209" s="181"/>
      <c r="AZ209" s="181"/>
      <c r="BA209" s="181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</row>
    <row r="210" spans="1:8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181"/>
      <c r="S210" s="181"/>
      <c r="T210" s="181"/>
      <c r="U210" s="181"/>
      <c r="V210" s="181"/>
      <c r="W210" s="181"/>
      <c r="X210" s="181"/>
      <c r="Y210" s="181"/>
      <c r="Z210" s="181"/>
      <c r="AA210" s="181"/>
      <c r="AB210" s="181"/>
      <c r="AC210" s="181"/>
      <c r="AD210" s="181"/>
      <c r="AE210" s="181"/>
      <c r="AF210" s="181"/>
      <c r="AG210" s="181"/>
      <c r="AH210" s="181"/>
      <c r="AI210" s="181"/>
      <c r="AJ210" s="181"/>
      <c r="AK210" s="181"/>
      <c r="AL210" s="181"/>
      <c r="AM210" s="181"/>
      <c r="AN210" s="181"/>
      <c r="AO210" s="181"/>
      <c r="AP210" s="181"/>
      <c r="AQ210" s="181"/>
      <c r="AR210" s="181"/>
      <c r="AS210" s="181"/>
      <c r="AT210" s="181"/>
      <c r="AU210" s="181"/>
      <c r="AV210" s="181"/>
      <c r="AW210" s="181"/>
      <c r="AX210" s="181"/>
      <c r="AY210" s="181"/>
      <c r="AZ210" s="181"/>
      <c r="BA210" s="181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</row>
    <row r="211" spans="1:8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181"/>
      <c r="S211" s="181"/>
      <c r="T211" s="181"/>
      <c r="U211" s="181"/>
      <c r="V211" s="181"/>
      <c r="W211" s="181"/>
      <c r="X211" s="181"/>
      <c r="Y211" s="181"/>
      <c r="Z211" s="181"/>
      <c r="AA211" s="181"/>
      <c r="AB211" s="181"/>
      <c r="AC211" s="181"/>
      <c r="AD211" s="181"/>
      <c r="AE211" s="181"/>
      <c r="AF211" s="181"/>
      <c r="AG211" s="181"/>
      <c r="AH211" s="181"/>
      <c r="AI211" s="181"/>
      <c r="AJ211" s="181"/>
      <c r="AK211" s="181"/>
      <c r="AL211" s="181"/>
      <c r="AM211" s="181"/>
      <c r="AN211" s="181"/>
      <c r="AO211" s="181"/>
      <c r="AP211" s="181"/>
      <c r="AQ211" s="181"/>
      <c r="AR211" s="181"/>
      <c r="AS211" s="181"/>
      <c r="AT211" s="181"/>
      <c r="AU211" s="181"/>
      <c r="AV211" s="181"/>
      <c r="AW211" s="181"/>
      <c r="AX211" s="181"/>
      <c r="AY211" s="181"/>
      <c r="AZ211" s="181"/>
      <c r="BA211" s="181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</row>
    <row r="212" spans="1:8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81"/>
      <c r="AJ212" s="181"/>
      <c r="AK212" s="181"/>
      <c r="AL212" s="181"/>
      <c r="AM212" s="181"/>
      <c r="AN212" s="181"/>
      <c r="AO212" s="181"/>
      <c r="AP212" s="181"/>
      <c r="AQ212" s="181"/>
      <c r="AR212" s="181"/>
      <c r="AS212" s="181"/>
      <c r="AT212" s="181"/>
      <c r="AU212" s="181"/>
      <c r="AV212" s="181"/>
      <c r="AW212" s="181"/>
      <c r="AX212" s="181"/>
      <c r="AY212" s="181"/>
      <c r="AZ212" s="181"/>
      <c r="BA212" s="181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</row>
    <row r="213" spans="1:8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81"/>
      <c r="AJ213" s="181"/>
      <c r="AK213" s="181"/>
      <c r="AL213" s="181"/>
      <c r="AM213" s="181"/>
      <c r="AN213" s="181"/>
      <c r="AO213" s="181"/>
      <c r="AP213" s="181"/>
      <c r="AQ213" s="181"/>
      <c r="AR213" s="181"/>
      <c r="AS213" s="181"/>
      <c r="AT213" s="181"/>
      <c r="AU213" s="181"/>
      <c r="AV213" s="181"/>
      <c r="AW213" s="181"/>
      <c r="AX213" s="181"/>
      <c r="AY213" s="181"/>
      <c r="AZ213" s="181"/>
      <c r="BA213" s="181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</row>
    <row r="214" spans="1:8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81"/>
      <c r="AJ214" s="181"/>
      <c r="AK214" s="181"/>
      <c r="AL214" s="181"/>
      <c r="AM214" s="181"/>
      <c r="AN214" s="181"/>
      <c r="AO214" s="181"/>
      <c r="AP214" s="181"/>
      <c r="AQ214" s="181"/>
      <c r="AR214" s="181"/>
      <c r="AS214" s="181"/>
      <c r="AT214" s="181"/>
      <c r="AU214" s="181"/>
      <c r="AV214" s="181"/>
      <c r="AW214" s="181"/>
      <c r="AX214" s="181"/>
      <c r="AY214" s="181"/>
      <c r="AZ214" s="181"/>
      <c r="BA214" s="181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</row>
    <row r="215" spans="1:8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81"/>
      <c r="AJ215" s="181"/>
      <c r="AK215" s="181"/>
      <c r="AL215" s="181"/>
      <c r="AM215" s="181"/>
      <c r="AN215" s="181"/>
      <c r="AO215" s="181"/>
      <c r="AP215" s="181"/>
      <c r="AQ215" s="181"/>
      <c r="AR215" s="181"/>
      <c r="AS215" s="181"/>
      <c r="AT215" s="181"/>
      <c r="AU215" s="181"/>
      <c r="AV215" s="181"/>
      <c r="AW215" s="181"/>
      <c r="AX215" s="181"/>
      <c r="AY215" s="181"/>
      <c r="AZ215" s="181"/>
      <c r="BA215" s="181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</row>
    <row r="216" spans="1:8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81"/>
      <c r="AJ216" s="181"/>
      <c r="AK216" s="181"/>
      <c r="AL216" s="181"/>
      <c r="AM216" s="181"/>
      <c r="AN216" s="181"/>
      <c r="AO216" s="181"/>
      <c r="AP216" s="181"/>
      <c r="AQ216" s="181"/>
      <c r="AR216" s="181"/>
      <c r="AS216" s="181"/>
      <c r="AT216" s="181"/>
      <c r="AU216" s="181"/>
      <c r="AV216" s="181"/>
      <c r="AW216" s="181"/>
      <c r="AX216" s="181"/>
      <c r="AY216" s="181"/>
      <c r="AZ216" s="181"/>
      <c r="BA216" s="181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</row>
    <row r="217" spans="1:8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81"/>
      <c r="AJ217" s="181"/>
      <c r="AK217" s="181"/>
      <c r="AL217" s="181"/>
      <c r="AM217" s="181"/>
      <c r="AN217" s="181"/>
      <c r="AO217" s="181"/>
      <c r="AP217" s="181"/>
      <c r="AQ217" s="181"/>
      <c r="AR217" s="181"/>
      <c r="AS217" s="181"/>
      <c r="AT217" s="181"/>
      <c r="AU217" s="181"/>
      <c r="AV217" s="181"/>
      <c r="AW217" s="181"/>
      <c r="AX217" s="181"/>
      <c r="AY217" s="181"/>
      <c r="AZ217" s="181"/>
      <c r="BA217" s="181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</row>
    <row r="218" spans="1:8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81"/>
      <c r="AJ218" s="181"/>
      <c r="AK218" s="181"/>
      <c r="AL218" s="181"/>
      <c r="AM218" s="181"/>
      <c r="AN218" s="181"/>
      <c r="AO218" s="181"/>
      <c r="AP218" s="181"/>
      <c r="AQ218" s="181"/>
      <c r="AR218" s="181"/>
      <c r="AS218" s="181"/>
      <c r="AT218" s="181"/>
      <c r="AU218" s="181"/>
      <c r="AV218" s="181"/>
      <c r="AW218" s="181"/>
      <c r="AX218" s="181"/>
      <c r="AY218" s="181"/>
      <c r="AZ218" s="181"/>
      <c r="BA218" s="181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</row>
    <row r="219" spans="1:8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81"/>
      <c r="AJ219" s="181"/>
      <c r="AK219" s="181"/>
      <c r="AL219" s="181"/>
      <c r="AM219" s="181"/>
      <c r="AN219" s="181"/>
      <c r="AO219" s="181"/>
      <c r="AP219" s="181"/>
      <c r="AQ219" s="181"/>
      <c r="AR219" s="181"/>
      <c r="AS219" s="181"/>
      <c r="AT219" s="181"/>
      <c r="AU219" s="181"/>
      <c r="AV219" s="181"/>
      <c r="AW219" s="181"/>
      <c r="AX219" s="181"/>
      <c r="AY219" s="181"/>
      <c r="AZ219" s="181"/>
      <c r="BA219" s="181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</row>
    <row r="220" spans="1:8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81"/>
      <c r="AJ220" s="181"/>
      <c r="AK220" s="181"/>
      <c r="AL220" s="181"/>
      <c r="AM220" s="181"/>
      <c r="AN220" s="181"/>
      <c r="AO220" s="181"/>
      <c r="AP220" s="181"/>
      <c r="AQ220" s="181"/>
      <c r="AR220" s="181"/>
      <c r="AS220" s="181"/>
      <c r="AT220" s="181"/>
      <c r="AU220" s="181"/>
      <c r="AV220" s="181"/>
      <c r="AW220" s="181"/>
      <c r="AX220" s="181"/>
      <c r="AY220" s="181"/>
      <c r="AZ220" s="181"/>
      <c r="BA220" s="181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</row>
    <row r="221" spans="1:8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81"/>
      <c r="AJ221" s="181"/>
      <c r="AK221" s="181"/>
      <c r="AL221" s="181"/>
      <c r="AM221" s="181"/>
      <c r="AN221" s="181"/>
      <c r="AO221" s="181"/>
      <c r="AP221" s="181"/>
      <c r="AQ221" s="181"/>
      <c r="AR221" s="181"/>
      <c r="AS221" s="181"/>
      <c r="AT221" s="181"/>
      <c r="AU221" s="181"/>
      <c r="AV221" s="181"/>
      <c r="AW221" s="181"/>
      <c r="AX221" s="181"/>
      <c r="AY221" s="181"/>
      <c r="AZ221" s="181"/>
      <c r="BA221" s="181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</row>
    <row r="222" spans="1:8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81"/>
      <c r="AJ222" s="181"/>
      <c r="AK222" s="181"/>
      <c r="AL222" s="181"/>
      <c r="AM222" s="181"/>
      <c r="AN222" s="181"/>
      <c r="AO222" s="181"/>
      <c r="AP222" s="181"/>
      <c r="AQ222" s="181"/>
      <c r="AR222" s="181"/>
      <c r="AS222" s="181"/>
      <c r="AT222" s="181"/>
      <c r="AU222" s="181"/>
      <c r="AV222" s="181"/>
      <c r="AW222" s="181"/>
      <c r="AX222" s="181"/>
      <c r="AY222" s="181"/>
      <c r="AZ222" s="181"/>
      <c r="BA222" s="181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</row>
    <row r="223" spans="1:8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81"/>
      <c r="AJ223" s="181"/>
      <c r="AK223" s="181"/>
      <c r="AL223" s="181"/>
      <c r="AM223" s="181"/>
      <c r="AN223" s="181"/>
      <c r="AO223" s="181"/>
      <c r="AP223" s="181"/>
      <c r="AQ223" s="181"/>
      <c r="AR223" s="181"/>
      <c r="AS223" s="181"/>
      <c r="AT223" s="181"/>
      <c r="AU223" s="181"/>
      <c r="AV223" s="181"/>
      <c r="AW223" s="181"/>
      <c r="AX223" s="181"/>
      <c r="AY223" s="181"/>
      <c r="AZ223" s="181"/>
      <c r="BA223" s="181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</row>
    <row r="224" spans="1:8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81"/>
      <c r="AJ224" s="181"/>
      <c r="AK224" s="181"/>
      <c r="AL224" s="181"/>
      <c r="AM224" s="181"/>
      <c r="AN224" s="181"/>
      <c r="AO224" s="181"/>
      <c r="AP224" s="181"/>
      <c r="AQ224" s="181"/>
      <c r="AR224" s="181"/>
      <c r="AS224" s="181"/>
      <c r="AT224" s="181"/>
      <c r="AU224" s="181"/>
      <c r="AV224" s="181"/>
      <c r="AW224" s="181"/>
      <c r="AX224" s="181"/>
      <c r="AY224" s="181"/>
      <c r="AZ224" s="181"/>
      <c r="BA224" s="181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</row>
    <row r="225" spans="1:8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81"/>
      <c r="AJ225" s="181"/>
      <c r="AK225" s="181"/>
      <c r="AL225" s="181"/>
      <c r="AM225" s="181"/>
      <c r="AN225" s="181"/>
      <c r="AO225" s="181"/>
      <c r="AP225" s="181"/>
      <c r="AQ225" s="181"/>
      <c r="AR225" s="181"/>
      <c r="AS225" s="181"/>
      <c r="AT225" s="181"/>
      <c r="AU225" s="181"/>
      <c r="AV225" s="181"/>
      <c r="AW225" s="181"/>
      <c r="AX225" s="181"/>
      <c r="AY225" s="181"/>
      <c r="AZ225" s="181"/>
      <c r="BA225" s="181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</row>
    <row r="226" spans="1:8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81"/>
      <c r="AJ226" s="181"/>
      <c r="AK226" s="181"/>
      <c r="AL226" s="181"/>
      <c r="AM226" s="181"/>
      <c r="AN226" s="181"/>
      <c r="AO226" s="181"/>
      <c r="AP226" s="181"/>
      <c r="AQ226" s="181"/>
      <c r="AR226" s="181"/>
      <c r="AS226" s="181"/>
      <c r="AT226" s="181"/>
      <c r="AU226" s="181"/>
      <c r="AV226" s="181"/>
      <c r="AW226" s="181"/>
      <c r="AX226" s="181"/>
      <c r="AY226" s="181"/>
      <c r="AZ226" s="181"/>
      <c r="BA226" s="181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</row>
    <row r="227" spans="1:8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81"/>
      <c r="AI227" s="181"/>
      <c r="AJ227" s="181"/>
      <c r="AK227" s="181"/>
      <c r="AL227" s="181"/>
      <c r="AM227" s="181"/>
      <c r="AN227" s="181"/>
      <c r="AO227" s="181"/>
      <c r="AP227" s="181"/>
      <c r="AQ227" s="181"/>
      <c r="AR227" s="181"/>
      <c r="AS227" s="181"/>
      <c r="AT227" s="181"/>
      <c r="AU227" s="181"/>
      <c r="AV227" s="181"/>
      <c r="AW227" s="181"/>
      <c r="AX227" s="181"/>
      <c r="AY227" s="181"/>
      <c r="AZ227" s="181"/>
      <c r="BA227" s="181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</row>
    <row r="228" spans="1:8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181"/>
      <c r="S228" s="181"/>
      <c r="T228" s="181"/>
      <c r="U228" s="181"/>
      <c r="V228" s="181"/>
      <c r="W228" s="181"/>
      <c r="X228" s="181"/>
      <c r="Y228" s="181"/>
      <c r="Z228" s="181"/>
      <c r="AA228" s="181"/>
      <c r="AB228" s="181"/>
      <c r="AC228" s="181"/>
      <c r="AD228" s="181"/>
      <c r="AE228" s="181"/>
      <c r="AF228" s="181"/>
      <c r="AG228" s="181"/>
      <c r="AH228" s="181"/>
      <c r="AI228" s="181"/>
      <c r="AJ228" s="181"/>
      <c r="AK228" s="181"/>
      <c r="AL228" s="181"/>
      <c r="AM228" s="181"/>
      <c r="AN228" s="181"/>
      <c r="AO228" s="181"/>
      <c r="AP228" s="181"/>
      <c r="AQ228" s="181"/>
      <c r="AR228" s="181"/>
      <c r="AS228" s="181"/>
      <c r="AT228" s="181"/>
      <c r="AU228" s="181"/>
      <c r="AV228" s="181"/>
      <c r="AW228" s="181"/>
      <c r="AX228" s="181"/>
      <c r="AY228" s="181"/>
      <c r="AZ228" s="181"/>
      <c r="BA228" s="181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</row>
    <row r="229" spans="1:8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181"/>
      <c r="S229" s="181"/>
      <c r="T229" s="181"/>
      <c r="U229" s="181"/>
      <c r="V229" s="181"/>
      <c r="W229" s="181"/>
      <c r="X229" s="181"/>
      <c r="Y229" s="181"/>
      <c r="Z229" s="181"/>
      <c r="AA229" s="181"/>
      <c r="AB229" s="181"/>
      <c r="AC229" s="181"/>
      <c r="AD229" s="181"/>
      <c r="AE229" s="181"/>
      <c r="AF229" s="181"/>
      <c r="AG229" s="181"/>
      <c r="AH229" s="181"/>
      <c r="AI229" s="181"/>
      <c r="AJ229" s="181"/>
      <c r="AK229" s="181"/>
      <c r="AL229" s="181"/>
      <c r="AM229" s="181"/>
      <c r="AN229" s="181"/>
      <c r="AO229" s="181"/>
      <c r="AP229" s="181"/>
      <c r="AQ229" s="181"/>
      <c r="AR229" s="181"/>
      <c r="AS229" s="181"/>
      <c r="AT229" s="181"/>
      <c r="AU229" s="181"/>
      <c r="AV229" s="181"/>
      <c r="AW229" s="181"/>
      <c r="AX229" s="181"/>
      <c r="AY229" s="181"/>
      <c r="AZ229" s="181"/>
      <c r="BA229" s="181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</row>
    <row r="230" spans="1:8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181"/>
      <c r="S230" s="181"/>
      <c r="T230" s="181"/>
      <c r="U230" s="181"/>
      <c r="V230" s="181"/>
      <c r="W230" s="181"/>
      <c r="X230" s="181"/>
      <c r="Y230" s="181"/>
      <c r="Z230" s="181"/>
      <c r="AA230" s="181"/>
      <c r="AB230" s="181"/>
      <c r="AC230" s="181"/>
      <c r="AD230" s="181"/>
      <c r="AE230" s="181"/>
      <c r="AF230" s="181"/>
      <c r="AG230" s="181"/>
      <c r="AH230" s="181"/>
      <c r="AI230" s="181"/>
      <c r="AJ230" s="181"/>
      <c r="AK230" s="181"/>
      <c r="AL230" s="181"/>
      <c r="AM230" s="181"/>
      <c r="AN230" s="181"/>
      <c r="AO230" s="181"/>
      <c r="AP230" s="181"/>
      <c r="AQ230" s="181"/>
      <c r="AR230" s="181"/>
      <c r="AS230" s="181"/>
      <c r="AT230" s="181"/>
      <c r="AU230" s="181"/>
      <c r="AV230" s="181"/>
      <c r="AW230" s="181"/>
      <c r="AX230" s="181"/>
      <c r="AY230" s="181"/>
      <c r="AZ230" s="181"/>
      <c r="BA230" s="181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</row>
    <row r="231" spans="1:8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181"/>
      <c r="S231" s="181"/>
      <c r="T231" s="181"/>
      <c r="U231" s="181"/>
      <c r="V231" s="181"/>
      <c r="W231" s="181"/>
      <c r="X231" s="181"/>
      <c r="Y231" s="181"/>
      <c r="Z231" s="181"/>
      <c r="AA231" s="181"/>
      <c r="AB231" s="181"/>
      <c r="AC231" s="181"/>
      <c r="AD231" s="181"/>
      <c r="AE231" s="181"/>
      <c r="AF231" s="181"/>
      <c r="AG231" s="181"/>
      <c r="AH231" s="181"/>
      <c r="AI231" s="181"/>
      <c r="AJ231" s="181"/>
      <c r="AK231" s="181"/>
      <c r="AL231" s="181"/>
      <c r="AM231" s="181"/>
      <c r="AN231" s="181"/>
      <c r="AO231" s="181"/>
      <c r="AP231" s="181"/>
      <c r="AQ231" s="181"/>
      <c r="AR231" s="181"/>
      <c r="AS231" s="181"/>
      <c r="AT231" s="181"/>
      <c r="AU231" s="181"/>
      <c r="AV231" s="181"/>
      <c r="AW231" s="181"/>
      <c r="AX231" s="181"/>
      <c r="AY231" s="181"/>
      <c r="AZ231" s="181"/>
      <c r="BA231" s="181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</row>
    <row r="232" spans="1:8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181"/>
      <c r="S232" s="181"/>
      <c r="T232" s="181"/>
      <c r="U232" s="181"/>
      <c r="V232" s="181"/>
      <c r="W232" s="181"/>
      <c r="X232" s="181"/>
      <c r="Y232" s="181"/>
      <c r="Z232" s="181"/>
      <c r="AA232" s="181"/>
      <c r="AB232" s="181"/>
      <c r="AC232" s="181"/>
      <c r="AD232" s="181"/>
      <c r="AE232" s="181"/>
      <c r="AF232" s="181"/>
      <c r="AG232" s="181"/>
      <c r="AH232" s="181"/>
      <c r="AI232" s="181"/>
      <c r="AJ232" s="181"/>
      <c r="AK232" s="181"/>
      <c r="AL232" s="181"/>
      <c r="AM232" s="181"/>
      <c r="AN232" s="181"/>
      <c r="AO232" s="181"/>
      <c r="AP232" s="181"/>
      <c r="AQ232" s="181"/>
      <c r="AR232" s="181"/>
      <c r="AS232" s="181"/>
      <c r="AT232" s="181"/>
      <c r="AU232" s="181"/>
      <c r="AV232" s="181"/>
      <c r="AW232" s="181"/>
      <c r="AX232" s="181"/>
      <c r="AY232" s="181"/>
      <c r="AZ232" s="181"/>
      <c r="BA232" s="181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</row>
    <row r="233" spans="1:8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181"/>
      <c r="S233" s="181"/>
      <c r="T233" s="181"/>
      <c r="U233" s="181"/>
      <c r="V233" s="181"/>
      <c r="W233" s="181"/>
      <c r="X233" s="181"/>
      <c r="Y233" s="181"/>
      <c r="Z233" s="181"/>
      <c r="AA233" s="181"/>
      <c r="AB233" s="181"/>
      <c r="AC233" s="181"/>
      <c r="AD233" s="181"/>
      <c r="AE233" s="181"/>
      <c r="AF233" s="181"/>
      <c r="AG233" s="181"/>
      <c r="AH233" s="181"/>
      <c r="AI233" s="181"/>
      <c r="AJ233" s="181"/>
      <c r="AK233" s="181"/>
      <c r="AL233" s="181"/>
      <c r="AM233" s="181"/>
      <c r="AN233" s="181"/>
      <c r="AO233" s="181"/>
      <c r="AP233" s="181"/>
      <c r="AQ233" s="181"/>
      <c r="AR233" s="181"/>
      <c r="AS233" s="181"/>
      <c r="AT233" s="181"/>
      <c r="AU233" s="181"/>
      <c r="AV233" s="181"/>
      <c r="AW233" s="181"/>
      <c r="AX233" s="181"/>
      <c r="AY233" s="181"/>
      <c r="AZ233" s="181"/>
      <c r="BA233" s="181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</row>
    <row r="234" spans="1:8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181"/>
      <c r="S234" s="181"/>
      <c r="T234" s="181"/>
      <c r="U234" s="181"/>
      <c r="V234" s="181"/>
      <c r="W234" s="181"/>
      <c r="X234" s="181"/>
      <c r="Y234" s="181"/>
      <c r="Z234" s="181"/>
      <c r="AA234" s="181"/>
      <c r="AB234" s="181"/>
      <c r="AC234" s="181"/>
      <c r="AD234" s="181"/>
      <c r="AE234" s="181"/>
      <c r="AF234" s="181"/>
      <c r="AG234" s="181"/>
      <c r="AH234" s="181"/>
      <c r="AI234" s="181"/>
      <c r="AJ234" s="181"/>
      <c r="AK234" s="181"/>
      <c r="AL234" s="181"/>
      <c r="AM234" s="181"/>
      <c r="AN234" s="181"/>
      <c r="AO234" s="181"/>
      <c r="AP234" s="181"/>
      <c r="AQ234" s="181"/>
      <c r="AR234" s="181"/>
      <c r="AS234" s="181"/>
      <c r="AT234" s="181"/>
      <c r="AU234" s="181"/>
      <c r="AV234" s="181"/>
      <c r="AW234" s="181"/>
      <c r="AX234" s="181"/>
      <c r="AY234" s="181"/>
      <c r="AZ234" s="181"/>
      <c r="BA234" s="181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</row>
    <row r="235" spans="1:8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81"/>
      <c r="AJ235" s="181"/>
      <c r="AK235" s="181"/>
      <c r="AL235" s="181"/>
      <c r="AM235" s="181"/>
      <c r="AN235" s="181"/>
      <c r="AO235" s="181"/>
      <c r="AP235" s="181"/>
      <c r="AQ235" s="181"/>
      <c r="AR235" s="181"/>
      <c r="AS235" s="181"/>
      <c r="AT235" s="181"/>
      <c r="AU235" s="181"/>
      <c r="AV235" s="181"/>
      <c r="AW235" s="181"/>
      <c r="AX235" s="181"/>
      <c r="AY235" s="181"/>
      <c r="AZ235" s="181"/>
      <c r="BA235" s="181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</row>
    <row r="236" spans="1:8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81"/>
      <c r="AJ236" s="181"/>
      <c r="AK236" s="181"/>
      <c r="AL236" s="181"/>
      <c r="AM236" s="181"/>
      <c r="AN236" s="181"/>
      <c r="AO236" s="181"/>
      <c r="AP236" s="181"/>
      <c r="AQ236" s="181"/>
      <c r="AR236" s="181"/>
      <c r="AS236" s="181"/>
      <c r="AT236" s="181"/>
      <c r="AU236" s="181"/>
      <c r="AV236" s="181"/>
      <c r="AW236" s="181"/>
      <c r="AX236" s="181"/>
      <c r="AY236" s="181"/>
      <c r="AZ236" s="181"/>
      <c r="BA236" s="181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</row>
    <row r="237" spans="1:8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81"/>
      <c r="AJ237" s="181"/>
      <c r="AK237" s="181"/>
      <c r="AL237" s="181"/>
      <c r="AM237" s="181"/>
      <c r="AN237" s="181"/>
      <c r="AO237" s="181"/>
      <c r="AP237" s="181"/>
      <c r="AQ237" s="181"/>
      <c r="AR237" s="181"/>
      <c r="AS237" s="181"/>
      <c r="AT237" s="181"/>
      <c r="AU237" s="181"/>
      <c r="AV237" s="181"/>
      <c r="AW237" s="181"/>
      <c r="AX237" s="181"/>
      <c r="AY237" s="181"/>
      <c r="AZ237" s="181"/>
      <c r="BA237" s="181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</row>
    <row r="238" spans="1:8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81"/>
      <c r="AJ238" s="181"/>
      <c r="AK238" s="181"/>
      <c r="AL238" s="181"/>
      <c r="AM238" s="181"/>
      <c r="AN238" s="181"/>
      <c r="AO238" s="181"/>
      <c r="AP238" s="181"/>
      <c r="AQ238" s="181"/>
      <c r="AR238" s="181"/>
      <c r="AS238" s="181"/>
      <c r="AT238" s="181"/>
      <c r="AU238" s="181"/>
      <c r="AV238" s="181"/>
      <c r="AW238" s="181"/>
      <c r="AX238" s="181"/>
      <c r="AY238" s="181"/>
      <c r="AZ238" s="181"/>
      <c r="BA238" s="181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</row>
    <row r="239" spans="1:8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81"/>
      <c r="AJ239" s="181"/>
      <c r="AK239" s="181"/>
      <c r="AL239" s="181"/>
      <c r="AM239" s="181"/>
      <c r="AN239" s="181"/>
      <c r="AO239" s="181"/>
      <c r="AP239" s="181"/>
      <c r="AQ239" s="181"/>
      <c r="AR239" s="181"/>
      <c r="AS239" s="181"/>
      <c r="AT239" s="181"/>
      <c r="AU239" s="181"/>
      <c r="AV239" s="181"/>
      <c r="AW239" s="181"/>
      <c r="AX239" s="181"/>
      <c r="AY239" s="181"/>
      <c r="AZ239" s="181"/>
      <c r="BA239" s="181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</row>
    <row r="240" spans="1:8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81"/>
      <c r="AJ240" s="181"/>
      <c r="AK240" s="181"/>
      <c r="AL240" s="181"/>
      <c r="AM240" s="181"/>
      <c r="AN240" s="181"/>
      <c r="AO240" s="181"/>
      <c r="AP240" s="181"/>
      <c r="AQ240" s="181"/>
      <c r="AR240" s="181"/>
      <c r="AS240" s="181"/>
      <c r="AT240" s="181"/>
      <c r="AU240" s="181"/>
      <c r="AV240" s="181"/>
      <c r="AW240" s="181"/>
      <c r="AX240" s="181"/>
      <c r="AY240" s="181"/>
      <c r="AZ240" s="181"/>
      <c r="BA240" s="181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</row>
    <row r="241" spans="1:8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81"/>
      <c r="AJ241" s="181"/>
      <c r="AK241" s="181"/>
      <c r="AL241" s="181"/>
      <c r="AM241" s="181"/>
      <c r="AN241" s="181"/>
      <c r="AO241" s="181"/>
      <c r="AP241" s="181"/>
      <c r="AQ241" s="181"/>
      <c r="AR241" s="181"/>
      <c r="AS241" s="181"/>
      <c r="AT241" s="181"/>
      <c r="AU241" s="181"/>
      <c r="AV241" s="181"/>
      <c r="AW241" s="181"/>
      <c r="AX241" s="181"/>
      <c r="AY241" s="181"/>
      <c r="AZ241" s="181"/>
      <c r="BA241" s="181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</row>
    <row r="242" spans="1:8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81"/>
      <c r="AJ242" s="181"/>
      <c r="AK242" s="181"/>
      <c r="AL242" s="181"/>
      <c r="AM242" s="181"/>
      <c r="AN242" s="181"/>
      <c r="AO242" s="181"/>
      <c r="AP242" s="181"/>
      <c r="AQ242" s="181"/>
      <c r="AR242" s="181"/>
      <c r="AS242" s="181"/>
      <c r="AT242" s="181"/>
      <c r="AU242" s="181"/>
      <c r="AV242" s="181"/>
      <c r="AW242" s="181"/>
      <c r="AX242" s="181"/>
      <c r="AY242" s="181"/>
      <c r="AZ242" s="181"/>
      <c r="BA242" s="181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</row>
    <row r="243" spans="1:8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81"/>
      <c r="AJ243" s="181"/>
      <c r="AK243" s="181"/>
      <c r="AL243" s="181"/>
      <c r="AM243" s="181"/>
      <c r="AN243" s="181"/>
      <c r="AO243" s="181"/>
      <c r="AP243" s="181"/>
      <c r="AQ243" s="181"/>
      <c r="AR243" s="181"/>
      <c r="AS243" s="181"/>
      <c r="AT243" s="181"/>
      <c r="AU243" s="181"/>
      <c r="AV243" s="181"/>
      <c r="AW243" s="181"/>
      <c r="AX243" s="181"/>
      <c r="AY243" s="181"/>
      <c r="AZ243" s="181"/>
      <c r="BA243" s="181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</row>
    <row r="244" spans="1:8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81"/>
      <c r="AJ244" s="181"/>
      <c r="AK244" s="181"/>
      <c r="AL244" s="181"/>
      <c r="AM244" s="181"/>
      <c r="AN244" s="181"/>
      <c r="AO244" s="181"/>
      <c r="AP244" s="181"/>
      <c r="AQ244" s="181"/>
      <c r="AR244" s="181"/>
      <c r="AS244" s="181"/>
      <c r="AT244" s="181"/>
      <c r="AU244" s="181"/>
      <c r="AV244" s="181"/>
      <c r="AW244" s="181"/>
      <c r="AX244" s="181"/>
      <c r="AY244" s="181"/>
      <c r="AZ244" s="181"/>
      <c r="BA244" s="181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</row>
    <row r="245" spans="1:8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81"/>
      <c r="AJ245" s="181"/>
      <c r="AK245" s="181"/>
      <c r="AL245" s="181"/>
      <c r="AM245" s="181"/>
      <c r="AN245" s="181"/>
      <c r="AO245" s="181"/>
      <c r="AP245" s="181"/>
      <c r="AQ245" s="181"/>
      <c r="AR245" s="181"/>
      <c r="AS245" s="181"/>
      <c r="AT245" s="181"/>
      <c r="AU245" s="181"/>
      <c r="AV245" s="181"/>
      <c r="AW245" s="181"/>
      <c r="AX245" s="181"/>
      <c r="AY245" s="181"/>
      <c r="AZ245" s="181"/>
      <c r="BA245" s="181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</row>
    <row r="246" spans="1:8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81"/>
      <c r="AJ246" s="181"/>
      <c r="AK246" s="181"/>
      <c r="AL246" s="181"/>
      <c r="AM246" s="181"/>
      <c r="AN246" s="181"/>
      <c r="AO246" s="181"/>
      <c r="AP246" s="181"/>
      <c r="AQ246" s="181"/>
      <c r="AR246" s="181"/>
      <c r="AS246" s="181"/>
      <c r="AT246" s="181"/>
      <c r="AU246" s="181"/>
      <c r="AV246" s="181"/>
      <c r="AW246" s="181"/>
      <c r="AX246" s="181"/>
      <c r="AY246" s="181"/>
      <c r="AZ246" s="181"/>
      <c r="BA246" s="181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</row>
    <row r="247" spans="1:8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81"/>
      <c r="AJ247" s="181"/>
      <c r="AK247" s="181"/>
      <c r="AL247" s="181"/>
      <c r="AM247" s="181"/>
      <c r="AN247" s="181"/>
      <c r="AO247" s="181"/>
      <c r="AP247" s="181"/>
      <c r="AQ247" s="181"/>
      <c r="AR247" s="181"/>
      <c r="AS247" s="181"/>
      <c r="AT247" s="181"/>
      <c r="AU247" s="181"/>
      <c r="AV247" s="181"/>
      <c r="AW247" s="181"/>
      <c r="AX247" s="181"/>
      <c r="AY247" s="181"/>
      <c r="AZ247" s="181"/>
      <c r="BA247" s="181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</row>
    <row r="248" spans="1:8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81"/>
      <c r="AJ248" s="181"/>
      <c r="AK248" s="181"/>
      <c r="AL248" s="181"/>
      <c r="AM248" s="181"/>
      <c r="AN248" s="181"/>
      <c r="AO248" s="181"/>
      <c r="AP248" s="181"/>
      <c r="AQ248" s="181"/>
      <c r="AR248" s="181"/>
      <c r="AS248" s="181"/>
      <c r="AT248" s="181"/>
      <c r="AU248" s="181"/>
      <c r="AV248" s="181"/>
      <c r="AW248" s="181"/>
      <c r="AX248" s="181"/>
      <c r="AY248" s="181"/>
      <c r="AZ248" s="181"/>
      <c r="BA248" s="181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</row>
    <row r="249" spans="1:8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81"/>
      <c r="AJ249" s="181"/>
      <c r="AK249" s="181"/>
      <c r="AL249" s="181"/>
      <c r="AM249" s="181"/>
      <c r="AN249" s="181"/>
      <c r="AO249" s="181"/>
      <c r="AP249" s="181"/>
      <c r="AQ249" s="181"/>
      <c r="AR249" s="181"/>
      <c r="AS249" s="181"/>
      <c r="AT249" s="181"/>
      <c r="AU249" s="181"/>
      <c r="AV249" s="181"/>
      <c r="AW249" s="181"/>
      <c r="AX249" s="181"/>
      <c r="AY249" s="181"/>
      <c r="AZ249" s="181"/>
      <c r="BA249" s="181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</row>
    <row r="250" spans="1:8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81"/>
      <c r="AI250" s="181"/>
      <c r="AJ250" s="181"/>
      <c r="AK250" s="181"/>
      <c r="AL250" s="181"/>
      <c r="AM250" s="181"/>
      <c r="AN250" s="181"/>
      <c r="AO250" s="181"/>
      <c r="AP250" s="181"/>
      <c r="AQ250" s="181"/>
      <c r="AR250" s="181"/>
      <c r="AS250" s="181"/>
      <c r="AT250" s="181"/>
      <c r="AU250" s="181"/>
      <c r="AV250" s="181"/>
      <c r="AW250" s="181"/>
      <c r="AX250" s="181"/>
      <c r="AY250" s="181"/>
      <c r="AZ250" s="181"/>
      <c r="BA250" s="181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</row>
    <row r="251" spans="1:8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181"/>
      <c r="S251" s="181"/>
      <c r="T251" s="181"/>
      <c r="U251" s="181"/>
      <c r="V251" s="181"/>
      <c r="W251" s="181"/>
      <c r="X251" s="181"/>
      <c r="Y251" s="181"/>
      <c r="Z251" s="181"/>
      <c r="AA251" s="181"/>
      <c r="AB251" s="181"/>
      <c r="AC251" s="181"/>
      <c r="AD251" s="181"/>
      <c r="AE251" s="181"/>
      <c r="AF251" s="181"/>
      <c r="AG251" s="181"/>
      <c r="AH251" s="181"/>
      <c r="AI251" s="181"/>
      <c r="AJ251" s="181"/>
      <c r="AK251" s="181"/>
      <c r="AL251" s="181"/>
      <c r="AM251" s="181"/>
      <c r="AN251" s="181"/>
      <c r="AO251" s="181"/>
      <c r="AP251" s="181"/>
      <c r="AQ251" s="181"/>
      <c r="AR251" s="181"/>
      <c r="AS251" s="181"/>
      <c r="AT251" s="181"/>
      <c r="AU251" s="181"/>
      <c r="AV251" s="181"/>
      <c r="AW251" s="181"/>
      <c r="AX251" s="181"/>
      <c r="AY251" s="181"/>
      <c r="AZ251" s="181"/>
      <c r="BA251" s="181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</row>
    <row r="252" spans="1:8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181"/>
      <c r="S252" s="181"/>
      <c r="T252" s="181"/>
      <c r="U252" s="181"/>
      <c r="V252" s="181"/>
      <c r="W252" s="181"/>
      <c r="X252" s="181"/>
      <c r="Y252" s="181"/>
      <c r="Z252" s="181"/>
      <c r="AA252" s="181"/>
      <c r="AB252" s="181"/>
      <c r="AC252" s="181"/>
      <c r="AD252" s="181"/>
      <c r="AE252" s="181"/>
      <c r="AF252" s="181"/>
      <c r="AG252" s="181"/>
      <c r="AH252" s="181"/>
      <c r="AI252" s="181"/>
      <c r="AJ252" s="181"/>
      <c r="AK252" s="181"/>
      <c r="AL252" s="181"/>
      <c r="AM252" s="181"/>
      <c r="AN252" s="181"/>
      <c r="AO252" s="181"/>
      <c r="AP252" s="181"/>
      <c r="AQ252" s="181"/>
      <c r="AR252" s="181"/>
      <c r="AS252" s="181"/>
      <c r="AT252" s="181"/>
      <c r="AU252" s="181"/>
      <c r="AV252" s="181"/>
      <c r="AW252" s="181"/>
      <c r="AX252" s="181"/>
      <c r="AY252" s="181"/>
      <c r="AZ252" s="181"/>
      <c r="BA252" s="181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</row>
    <row r="253" spans="1:8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181"/>
      <c r="S253" s="181"/>
      <c r="T253" s="181"/>
      <c r="U253" s="181"/>
      <c r="V253" s="181"/>
      <c r="W253" s="181"/>
      <c r="X253" s="181"/>
      <c r="Y253" s="181"/>
      <c r="Z253" s="181"/>
      <c r="AA253" s="181"/>
      <c r="AB253" s="181"/>
      <c r="AC253" s="181"/>
      <c r="AD253" s="181"/>
      <c r="AE253" s="181"/>
      <c r="AF253" s="181"/>
      <c r="AG253" s="181"/>
      <c r="AH253" s="181"/>
      <c r="AI253" s="181"/>
      <c r="AJ253" s="181"/>
      <c r="AK253" s="181"/>
      <c r="AL253" s="181"/>
      <c r="AM253" s="181"/>
      <c r="AN253" s="181"/>
      <c r="AO253" s="181"/>
      <c r="AP253" s="181"/>
      <c r="AQ253" s="181"/>
      <c r="AR253" s="181"/>
      <c r="AS253" s="181"/>
      <c r="AT253" s="181"/>
      <c r="AU253" s="181"/>
      <c r="AV253" s="181"/>
      <c r="AW253" s="181"/>
      <c r="AX253" s="181"/>
      <c r="AY253" s="181"/>
      <c r="AZ253" s="181"/>
      <c r="BA253" s="181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</row>
    <row r="254" spans="1:8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181"/>
      <c r="S254" s="181"/>
      <c r="T254" s="181"/>
      <c r="U254" s="181"/>
      <c r="V254" s="181"/>
      <c r="W254" s="181"/>
      <c r="X254" s="181"/>
      <c r="Y254" s="181"/>
      <c r="Z254" s="181"/>
      <c r="AA254" s="181"/>
      <c r="AB254" s="181"/>
      <c r="AC254" s="181"/>
      <c r="AD254" s="181"/>
      <c r="AE254" s="181"/>
      <c r="AF254" s="181"/>
      <c r="AG254" s="181"/>
      <c r="AH254" s="181"/>
      <c r="AI254" s="181"/>
      <c r="AJ254" s="181"/>
      <c r="AK254" s="181"/>
      <c r="AL254" s="181"/>
      <c r="AM254" s="181"/>
      <c r="AN254" s="181"/>
      <c r="AO254" s="181"/>
      <c r="AP254" s="181"/>
      <c r="AQ254" s="181"/>
      <c r="AR254" s="181"/>
      <c r="AS254" s="181"/>
      <c r="AT254" s="181"/>
      <c r="AU254" s="181"/>
      <c r="AV254" s="181"/>
      <c r="AW254" s="181"/>
      <c r="AX254" s="181"/>
      <c r="AY254" s="181"/>
      <c r="AZ254" s="181"/>
      <c r="BA254" s="181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  <c r="CA254" s="32"/>
      <c r="CB254" s="32"/>
      <c r="CC254" s="32"/>
      <c r="CD254" s="32"/>
    </row>
    <row r="255" spans="1:8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181"/>
      <c r="S255" s="181"/>
      <c r="T255" s="181"/>
      <c r="U255" s="181"/>
      <c r="V255" s="181"/>
      <c r="W255" s="181"/>
      <c r="X255" s="181"/>
      <c r="Y255" s="181"/>
      <c r="Z255" s="181"/>
      <c r="AA255" s="181"/>
      <c r="AB255" s="181"/>
      <c r="AC255" s="181"/>
      <c r="AD255" s="181"/>
      <c r="AE255" s="181"/>
      <c r="AF255" s="181"/>
      <c r="AG255" s="181"/>
      <c r="AH255" s="181"/>
      <c r="AI255" s="181"/>
      <c r="AJ255" s="181"/>
      <c r="AK255" s="181"/>
      <c r="AL255" s="181"/>
      <c r="AM255" s="181"/>
      <c r="AN255" s="181"/>
      <c r="AO255" s="181"/>
      <c r="AP255" s="181"/>
      <c r="AQ255" s="181"/>
      <c r="AR255" s="181"/>
      <c r="AS255" s="181"/>
      <c r="AT255" s="181"/>
      <c r="AU255" s="181"/>
      <c r="AV255" s="181"/>
      <c r="AW255" s="181"/>
      <c r="AX255" s="181"/>
      <c r="AY255" s="181"/>
      <c r="AZ255" s="181"/>
      <c r="BA255" s="181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  <c r="BW255" s="32"/>
      <c r="BX255" s="32"/>
      <c r="BY255" s="32"/>
      <c r="BZ255" s="32"/>
      <c r="CA255" s="32"/>
      <c r="CB255" s="32"/>
      <c r="CC255" s="32"/>
      <c r="CD255" s="32"/>
    </row>
    <row r="256" spans="1:8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181"/>
      <c r="S256" s="181"/>
      <c r="T256" s="181"/>
      <c r="U256" s="181"/>
      <c r="V256" s="181"/>
      <c r="W256" s="181"/>
      <c r="X256" s="181"/>
      <c r="Y256" s="181"/>
      <c r="Z256" s="181"/>
      <c r="AA256" s="181"/>
      <c r="AB256" s="181"/>
      <c r="AC256" s="181"/>
      <c r="AD256" s="181"/>
      <c r="AE256" s="181"/>
      <c r="AF256" s="181"/>
      <c r="AG256" s="181"/>
      <c r="AH256" s="181"/>
      <c r="AI256" s="181"/>
      <c r="AJ256" s="181"/>
      <c r="AK256" s="181"/>
      <c r="AL256" s="181"/>
      <c r="AM256" s="181"/>
      <c r="AN256" s="181"/>
      <c r="AO256" s="181"/>
      <c r="AP256" s="181"/>
      <c r="AQ256" s="181"/>
      <c r="AR256" s="181"/>
      <c r="AS256" s="181"/>
      <c r="AT256" s="181"/>
      <c r="AU256" s="181"/>
      <c r="AV256" s="181"/>
      <c r="AW256" s="181"/>
      <c r="AX256" s="181"/>
      <c r="AY256" s="181"/>
      <c r="AZ256" s="181"/>
      <c r="BA256" s="181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2"/>
      <c r="BU256" s="32"/>
      <c r="BV256" s="32"/>
      <c r="BW256" s="32"/>
      <c r="BX256" s="32"/>
      <c r="BY256" s="32"/>
      <c r="BZ256" s="32"/>
      <c r="CA256" s="32"/>
      <c r="CB256" s="32"/>
      <c r="CC256" s="32"/>
      <c r="CD256" s="32"/>
    </row>
    <row r="257" spans="1:8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181"/>
      <c r="S257" s="181"/>
      <c r="T257" s="181"/>
      <c r="U257" s="181"/>
      <c r="V257" s="181"/>
      <c r="W257" s="181"/>
      <c r="X257" s="181"/>
      <c r="Y257" s="181"/>
      <c r="Z257" s="181"/>
      <c r="AA257" s="181"/>
      <c r="AB257" s="181"/>
      <c r="AC257" s="181"/>
      <c r="AD257" s="181"/>
      <c r="AE257" s="181"/>
      <c r="AF257" s="181"/>
      <c r="AG257" s="181"/>
      <c r="AH257" s="181"/>
      <c r="AI257" s="181"/>
      <c r="AJ257" s="181"/>
      <c r="AK257" s="181"/>
      <c r="AL257" s="181"/>
      <c r="AM257" s="181"/>
      <c r="AN257" s="181"/>
      <c r="AO257" s="181"/>
      <c r="AP257" s="181"/>
      <c r="AQ257" s="181"/>
      <c r="AR257" s="181"/>
      <c r="AS257" s="181"/>
      <c r="AT257" s="181"/>
      <c r="AU257" s="181"/>
      <c r="AV257" s="181"/>
      <c r="AW257" s="181"/>
      <c r="AX257" s="181"/>
      <c r="AY257" s="181"/>
      <c r="AZ257" s="181"/>
      <c r="BA257" s="181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32"/>
      <c r="BW257" s="32"/>
      <c r="BX257" s="32"/>
      <c r="BY257" s="32"/>
      <c r="BZ257" s="32"/>
      <c r="CA257" s="32"/>
      <c r="CB257" s="32"/>
      <c r="CC257" s="32"/>
      <c r="CD257" s="32"/>
    </row>
    <row r="258" spans="1:8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81"/>
      <c r="AJ258" s="181"/>
      <c r="AK258" s="181"/>
      <c r="AL258" s="181"/>
      <c r="AM258" s="181"/>
      <c r="AN258" s="181"/>
      <c r="AO258" s="181"/>
      <c r="AP258" s="181"/>
      <c r="AQ258" s="181"/>
      <c r="AR258" s="181"/>
      <c r="AS258" s="181"/>
      <c r="AT258" s="181"/>
      <c r="AU258" s="181"/>
      <c r="AV258" s="181"/>
      <c r="AW258" s="181"/>
      <c r="AX258" s="181"/>
      <c r="AY258" s="181"/>
      <c r="AZ258" s="181"/>
      <c r="BA258" s="181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2"/>
      <c r="BU258" s="32"/>
      <c r="BV258" s="32"/>
      <c r="BW258" s="32"/>
      <c r="BX258" s="32"/>
      <c r="BY258" s="32"/>
      <c r="BZ258" s="32"/>
      <c r="CA258" s="32"/>
      <c r="CB258" s="32"/>
      <c r="CC258" s="32"/>
      <c r="CD258" s="32"/>
    </row>
    <row r="259" spans="1:8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81"/>
      <c r="AJ259" s="181"/>
      <c r="AK259" s="181"/>
      <c r="AL259" s="181"/>
      <c r="AM259" s="181"/>
      <c r="AN259" s="181"/>
      <c r="AO259" s="181"/>
      <c r="AP259" s="181"/>
      <c r="AQ259" s="181"/>
      <c r="AR259" s="181"/>
      <c r="AS259" s="181"/>
      <c r="AT259" s="181"/>
      <c r="AU259" s="181"/>
      <c r="AV259" s="181"/>
      <c r="AW259" s="181"/>
      <c r="AX259" s="181"/>
      <c r="AY259" s="181"/>
      <c r="AZ259" s="181"/>
      <c r="BA259" s="181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  <c r="BQ259" s="32"/>
      <c r="BR259" s="32"/>
      <c r="BS259" s="32"/>
      <c r="BT259" s="32"/>
      <c r="BU259" s="32"/>
      <c r="BV259" s="32"/>
      <c r="BW259" s="32"/>
      <c r="BX259" s="32"/>
      <c r="BY259" s="32"/>
      <c r="BZ259" s="32"/>
      <c r="CA259" s="32"/>
      <c r="CB259" s="32"/>
      <c r="CC259" s="32"/>
      <c r="CD259" s="32"/>
    </row>
    <row r="260" spans="1:8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81"/>
      <c r="AJ260" s="181"/>
      <c r="AK260" s="181"/>
      <c r="AL260" s="181"/>
      <c r="AM260" s="181"/>
      <c r="AN260" s="181"/>
      <c r="AO260" s="181"/>
      <c r="AP260" s="181"/>
      <c r="AQ260" s="181"/>
      <c r="AR260" s="181"/>
      <c r="AS260" s="181"/>
      <c r="AT260" s="181"/>
      <c r="AU260" s="181"/>
      <c r="AV260" s="181"/>
      <c r="AW260" s="181"/>
      <c r="AX260" s="181"/>
      <c r="AY260" s="181"/>
      <c r="AZ260" s="181"/>
      <c r="BA260" s="181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  <c r="BP260" s="32"/>
      <c r="BQ260" s="32"/>
      <c r="BR260" s="32"/>
      <c r="BS260" s="32"/>
      <c r="BT260" s="32"/>
      <c r="BU260" s="32"/>
      <c r="BV260" s="32"/>
      <c r="BW260" s="32"/>
      <c r="BX260" s="32"/>
      <c r="BY260" s="32"/>
      <c r="BZ260" s="32"/>
      <c r="CA260" s="32"/>
      <c r="CB260" s="32"/>
      <c r="CC260" s="32"/>
      <c r="CD260" s="32"/>
    </row>
    <row r="261" spans="1:8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81"/>
      <c r="AJ261" s="181"/>
      <c r="AK261" s="181"/>
      <c r="AL261" s="181"/>
      <c r="AM261" s="181"/>
      <c r="AN261" s="181"/>
      <c r="AO261" s="181"/>
      <c r="AP261" s="181"/>
      <c r="AQ261" s="181"/>
      <c r="AR261" s="181"/>
      <c r="AS261" s="181"/>
      <c r="AT261" s="181"/>
      <c r="AU261" s="181"/>
      <c r="AV261" s="181"/>
      <c r="AW261" s="181"/>
      <c r="AX261" s="181"/>
      <c r="AY261" s="181"/>
      <c r="AZ261" s="181"/>
      <c r="BA261" s="181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  <c r="BW261" s="32"/>
      <c r="BX261" s="32"/>
      <c r="BY261" s="32"/>
      <c r="BZ261" s="32"/>
      <c r="CA261" s="32"/>
      <c r="CB261" s="32"/>
      <c r="CC261" s="32"/>
      <c r="CD261" s="32"/>
    </row>
    <row r="262" spans="1:8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81"/>
      <c r="AJ262" s="181"/>
      <c r="AK262" s="181"/>
      <c r="AL262" s="181"/>
      <c r="AM262" s="181"/>
      <c r="AN262" s="181"/>
      <c r="AO262" s="181"/>
      <c r="AP262" s="181"/>
      <c r="AQ262" s="181"/>
      <c r="AR262" s="181"/>
      <c r="AS262" s="181"/>
      <c r="AT262" s="181"/>
      <c r="AU262" s="181"/>
      <c r="AV262" s="181"/>
      <c r="AW262" s="181"/>
      <c r="AX262" s="181"/>
      <c r="AY262" s="181"/>
      <c r="AZ262" s="181"/>
      <c r="BA262" s="181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2"/>
      <c r="BU262" s="32"/>
      <c r="BV262" s="32"/>
      <c r="BW262" s="32"/>
      <c r="BX262" s="32"/>
      <c r="BY262" s="32"/>
      <c r="BZ262" s="32"/>
      <c r="CA262" s="32"/>
      <c r="CB262" s="32"/>
      <c r="CC262" s="32"/>
      <c r="CD262" s="32"/>
    </row>
    <row r="263" spans="1:8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81"/>
      <c r="AJ263" s="181"/>
      <c r="AK263" s="181"/>
      <c r="AL263" s="181"/>
      <c r="AM263" s="181"/>
      <c r="AN263" s="181"/>
      <c r="AO263" s="181"/>
      <c r="AP263" s="181"/>
      <c r="AQ263" s="181"/>
      <c r="AR263" s="181"/>
      <c r="AS263" s="181"/>
      <c r="AT263" s="181"/>
      <c r="AU263" s="181"/>
      <c r="AV263" s="181"/>
      <c r="AW263" s="181"/>
      <c r="AX263" s="181"/>
      <c r="AY263" s="181"/>
      <c r="AZ263" s="181"/>
      <c r="BA263" s="181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  <c r="BP263" s="32"/>
      <c r="BQ263" s="32"/>
      <c r="BR263" s="32"/>
      <c r="BS263" s="32"/>
      <c r="BT263" s="32"/>
      <c r="BU263" s="32"/>
      <c r="BV263" s="32"/>
      <c r="BW263" s="32"/>
      <c r="BX263" s="32"/>
      <c r="BY263" s="32"/>
      <c r="BZ263" s="32"/>
      <c r="CA263" s="32"/>
      <c r="CB263" s="32"/>
      <c r="CC263" s="32"/>
      <c r="CD263" s="32"/>
    </row>
    <row r="264" spans="1:8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81"/>
      <c r="AJ264" s="181"/>
      <c r="AK264" s="181"/>
      <c r="AL264" s="181"/>
      <c r="AM264" s="181"/>
      <c r="AN264" s="181"/>
      <c r="AO264" s="181"/>
      <c r="AP264" s="181"/>
      <c r="AQ264" s="181"/>
      <c r="AR264" s="181"/>
      <c r="AS264" s="181"/>
      <c r="AT264" s="181"/>
      <c r="AU264" s="181"/>
      <c r="AV264" s="181"/>
      <c r="AW264" s="181"/>
      <c r="AX264" s="181"/>
      <c r="AY264" s="181"/>
      <c r="AZ264" s="181"/>
      <c r="BA264" s="181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2"/>
      <c r="BU264" s="32"/>
      <c r="BV264" s="32"/>
      <c r="BW264" s="32"/>
      <c r="BX264" s="32"/>
      <c r="BY264" s="32"/>
      <c r="BZ264" s="32"/>
      <c r="CA264" s="32"/>
      <c r="CB264" s="32"/>
      <c r="CC264" s="32"/>
      <c r="CD264" s="32"/>
    </row>
    <row r="265" spans="1:8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81"/>
      <c r="AJ265" s="181"/>
      <c r="AK265" s="181"/>
      <c r="AL265" s="181"/>
      <c r="AM265" s="181"/>
      <c r="AN265" s="181"/>
      <c r="AO265" s="181"/>
      <c r="AP265" s="181"/>
      <c r="AQ265" s="181"/>
      <c r="AR265" s="181"/>
      <c r="AS265" s="181"/>
      <c r="AT265" s="181"/>
      <c r="AU265" s="181"/>
      <c r="AV265" s="181"/>
      <c r="AW265" s="181"/>
      <c r="AX265" s="181"/>
      <c r="AY265" s="181"/>
      <c r="AZ265" s="181"/>
      <c r="BA265" s="181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  <c r="BP265" s="32"/>
      <c r="BQ265" s="32"/>
      <c r="BR265" s="32"/>
      <c r="BS265" s="32"/>
      <c r="BT265" s="32"/>
      <c r="BU265" s="32"/>
      <c r="BV265" s="32"/>
      <c r="BW265" s="32"/>
      <c r="BX265" s="32"/>
      <c r="BY265" s="32"/>
      <c r="BZ265" s="32"/>
      <c r="CA265" s="32"/>
      <c r="CB265" s="32"/>
      <c r="CC265" s="32"/>
      <c r="CD265" s="32"/>
    </row>
    <row r="266" spans="1:8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81"/>
      <c r="AJ266" s="181"/>
      <c r="AK266" s="181"/>
      <c r="AL266" s="181"/>
      <c r="AM266" s="181"/>
      <c r="AN266" s="181"/>
      <c r="AO266" s="181"/>
      <c r="AP266" s="181"/>
      <c r="AQ266" s="181"/>
      <c r="AR266" s="181"/>
      <c r="AS266" s="181"/>
      <c r="AT266" s="181"/>
      <c r="AU266" s="181"/>
      <c r="AV266" s="181"/>
      <c r="AW266" s="181"/>
      <c r="AX266" s="181"/>
      <c r="AY266" s="181"/>
      <c r="AZ266" s="181"/>
      <c r="BA266" s="181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  <c r="BP266" s="32"/>
      <c r="BQ266" s="32"/>
      <c r="BR266" s="32"/>
      <c r="BS266" s="32"/>
      <c r="BT266" s="32"/>
      <c r="BU266" s="32"/>
      <c r="BV266" s="32"/>
      <c r="BW266" s="32"/>
      <c r="BX266" s="32"/>
      <c r="BY266" s="32"/>
      <c r="BZ266" s="32"/>
      <c r="CA266" s="32"/>
      <c r="CB266" s="32"/>
      <c r="CC266" s="32"/>
      <c r="CD266" s="32"/>
    </row>
    <row r="267" spans="1:8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81"/>
      <c r="AJ267" s="181"/>
      <c r="AK267" s="181"/>
      <c r="AL267" s="181"/>
      <c r="AM267" s="181"/>
      <c r="AN267" s="181"/>
      <c r="AO267" s="181"/>
      <c r="AP267" s="181"/>
      <c r="AQ267" s="181"/>
      <c r="AR267" s="181"/>
      <c r="AS267" s="181"/>
      <c r="AT267" s="181"/>
      <c r="AU267" s="181"/>
      <c r="AV267" s="181"/>
      <c r="AW267" s="181"/>
      <c r="AX267" s="181"/>
      <c r="AY267" s="181"/>
      <c r="AZ267" s="181"/>
      <c r="BA267" s="181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/>
      <c r="BM267" s="32"/>
      <c r="BN267" s="32"/>
      <c r="BO267" s="32"/>
      <c r="BP267" s="32"/>
      <c r="BQ267" s="32"/>
      <c r="BR267" s="32"/>
      <c r="BS267" s="32"/>
      <c r="BT267" s="32"/>
      <c r="BU267" s="32"/>
      <c r="BV267" s="32"/>
      <c r="BW267" s="32"/>
      <c r="BX267" s="32"/>
      <c r="BY267" s="32"/>
      <c r="BZ267" s="32"/>
      <c r="CA267" s="32"/>
      <c r="CB267" s="32"/>
      <c r="CC267" s="32"/>
      <c r="CD267" s="32"/>
    </row>
    <row r="268" spans="1:8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81"/>
      <c r="AJ268" s="181"/>
      <c r="AK268" s="181"/>
      <c r="AL268" s="181"/>
      <c r="AM268" s="181"/>
      <c r="AN268" s="181"/>
      <c r="AO268" s="181"/>
      <c r="AP268" s="181"/>
      <c r="AQ268" s="181"/>
      <c r="AR268" s="181"/>
      <c r="AS268" s="181"/>
      <c r="AT268" s="181"/>
      <c r="AU268" s="181"/>
      <c r="AV268" s="181"/>
      <c r="AW268" s="181"/>
      <c r="AX268" s="181"/>
      <c r="AY268" s="181"/>
      <c r="AZ268" s="181"/>
      <c r="BA268" s="181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  <c r="BP268" s="32"/>
      <c r="BQ268" s="32"/>
      <c r="BR268" s="32"/>
      <c r="BS268" s="32"/>
      <c r="BT268" s="32"/>
      <c r="BU268" s="32"/>
      <c r="BV268" s="32"/>
      <c r="BW268" s="32"/>
      <c r="BX268" s="32"/>
      <c r="BY268" s="32"/>
      <c r="BZ268" s="32"/>
      <c r="CA268" s="32"/>
      <c r="CB268" s="32"/>
      <c r="CC268" s="32"/>
      <c r="CD268" s="32"/>
    </row>
    <row r="269" spans="1:8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81"/>
      <c r="AJ269" s="181"/>
      <c r="AK269" s="181"/>
      <c r="AL269" s="181"/>
      <c r="AM269" s="181"/>
      <c r="AN269" s="181"/>
      <c r="AO269" s="181"/>
      <c r="AP269" s="181"/>
      <c r="AQ269" s="181"/>
      <c r="AR269" s="181"/>
      <c r="AS269" s="181"/>
      <c r="AT269" s="181"/>
      <c r="AU269" s="181"/>
      <c r="AV269" s="181"/>
      <c r="AW269" s="181"/>
      <c r="AX269" s="181"/>
      <c r="AY269" s="181"/>
      <c r="AZ269" s="181"/>
      <c r="BA269" s="181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  <c r="BW269" s="32"/>
      <c r="BX269" s="32"/>
      <c r="BY269" s="32"/>
      <c r="BZ269" s="32"/>
      <c r="CA269" s="32"/>
      <c r="CB269" s="32"/>
      <c r="CC269" s="32"/>
      <c r="CD269" s="32"/>
    </row>
    <row r="270" spans="1:8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81"/>
      <c r="AJ270" s="181"/>
      <c r="AK270" s="181"/>
      <c r="AL270" s="181"/>
      <c r="AM270" s="181"/>
      <c r="AN270" s="181"/>
      <c r="AO270" s="181"/>
      <c r="AP270" s="181"/>
      <c r="AQ270" s="181"/>
      <c r="AR270" s="181"/>
      <c r="AS270" s="181"/>
      <c r="AT270" s="181"/>
      <c r="AU270" s="181"/>
      <c r="AV270" s="181"/>
      <c r="AW270" s="181"/>
      <c r="AX270" s="181"/>
      <c r="AY270" s="181"/>
      <c r="AZ270" s="181"/>
      <c r="BA270" s="181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32"/>
      <c r="BW270" s="32"/>
      <c r="BX270" s="32"/>
      <c r="BY270" s="32"/>
      <c r="BZ270" s="32"/>
      <c r="CA270" s="32"/>
      <c r="CB270" s="32"/>
      <c r="CC270" s="32"/>
      <c r="CD270" s="32"/>
    </row>
    <row r="271" spans="1:8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81"/>
      <c r="AJ271" s="181"/>
      <c r="AK271" s="181"/>
      <c r="AL271" s="181"/>
      <c r="AM271" s="181"/>
      <c r="AN271" s="181"/>
      <c r="AO271" s="181"/>
      <c r="AP271" s="181"/>
      <c r="AQ271" s="181"/>
      <c r="AR271" s="181"/>
      <c r="AS271" s="181"/>
      <c r="AT271" s="181"/>
      <c r="AU271" s="181"/>
      <c r="AV271" s="181"/>
      <c r="AW271" s="181"/>
      <c r="AX271" s="181"/>
      <c r="AY271" s="181"/>
      <c r="AZ271" s="181"/>
      <c r="BA271" s="181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32"/>
      <c r="BW271" s="32"/>
      <c r="BX271" s="32"/>
      <c r="BY271" s="32"/>
      <c r="BZ271" s="32"/>
      <c r="CA271" s="32"/>
      <c r="CB271" s="32"/>
      <c r="CC271" s="32"/>
      <c r="CD271" s="32"/>
    </row>
    <row r="272" spans="1:8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81"/>
      <c r="AJ272" s="181"/>
      <c r="AK272" s="181"/>
      <c r="AL272" s="181"/>
      <c r="AM272" s="181"/>
      <c r="AN272" s="181"/>
      <c r="AO272" s="181"/>
      <c r="AP272" s="181"/>
      <c r="AQ272" s="181"/>
      <c r="AR272" s="181"/>
      <c r="AS272" s="181"/>
      <c r="AT272" s="181"/>
      <c r="AU272" s="181"/>
      <c r="AV272" s="181"/>
      <c r="AW272" s="181"/>
      <c r="AX272" s="181"/>
      <c r="AY272" s="181"/>
      <c r="AZ272" s="181"/>
      <c r="BA272" s="181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  <c r="BW272" s="32"/>
      <c r="BX272" s="32"/>
      <c r="BY272" s="32"/>
      <c r="BZ272" s="32"/>
      <c r="CA272" s="32"/>
      <c r="CB272" s="32"/>
      <c r="CC272" s="32"/>
      <c r="CD272" s="32"/>
    </row>
    <row r="273" spans="1:8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81"/>
      <c r="AI273" s="181"/>
      <c r="AJ273" s="181"/>
      <c r="AK273" s="181"/>
      <c r="AL273" s="181"/>
      <c r="AM273" s="181"/>
      <c r="AN273" s="181"/>
      <c r="AO273" s="181"/>
      <c r="AP273" s="181"/>
      <c r="AQ273" s="181"/>
      <c r="AR273" s="181"/>
      <c r="AS273" s="181"/>
      <c r="AT273" s="181"/>
      <c r="AU273" s="181"/>
      <c r="AV273" s="181"/>
      <c r="AW273" s="181"/>
      <c r="AX273" s="181"/>
      <c r="AY273" s="181"/>
      <c r="AZ273" s="181"/>
      <c r="BA273" s="181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  <c r="BP273" s="32"/>
      <c r="BQ273" s="32"/>
      <c r="BR273" s="32"/>
      <c r="BS273" s="32"/>
      <c r="BT273" s="32"/>
      <c r="BU273" s="32"/>
      <c r="BV273" s="32"/>
      <c r="BW273" s="32"/>
      <c r="BX273" s="32"/>
      <c r="BY273" s="32"/>
      <c r="BZ273" s="32"/>
      <c r="CA273" s="32"/>
      <c r="CB273" s="32"/>
      <c r="CC273" s="32"/>
      <c r="CD273" s="32"/>
    </row>
    <row r="274" spans="1:8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181"/>
      <c r="S274" s="181"/>
      <c r="T274" s="181"/>
      <c r="U274" s="181"/>
      <c r="V274" s="181"/>
      <c r="W274" s="181"/>
      <c r="X274" s="181"/>
      <c r="Y274" s="181"/>
      <c r="Z274" s="181"/>
      <c r="AA274" s="181"/>
      <c r="AB274" s="181"/>
      <c r="AC274" s="181"/>
      <c r="AD274" s="181"/>
      <c r="AE274" s="181"/>
      <c r="AF274" s="181"/>
      <c r="AG274" s="181"/>
      <c r="AH274" s="181"/>
      <c r="AI274" s="181"/>
      <c r="AJ274" s="181"/>
      <c r="AK274" s="181"/>
      <c r="AL274" s="181"/>
      <c r="AM274" s="181"/>
      <c r="AN274" s="181"/>
      <c r="AO274" s="181"/>
      <c r="AP274" s="181"/>
      <c r="AQ274" s="181"/>
      <c r="AR274" s="181"/>
      <c r="AS274" s="181"/>
      <c r="AT274" s="181"/>
      <c r="AU274" s="181"/>
      <c r="AV274" s="181"/>
      <c r="AW274" s="181"/>
      <c r="AX274" s="181"/>
      <c r="AY274" s="181"/>
      <c r="AZ274" s="181"/>
      <c r="BA274" s="181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  <c r="BP274" s="32"/>
      <c r="BQ274" s="32"/>
      <c r="BR274" s="32"/>
      <c r="BS274" s="32"/>
      <c r="BT274" s="32"/>
      <c r="BU274" s="32"/>
      <c r="BV274" s="32"/>
      <c r="BW274" s="32"/>
      <c r="BX274" s="32"/>
      <c r="BY274" s="32"/>
      <c r="BZ274" s="32"/>
      <c r="CA274" s="32"/>
      <c r="CB274" s="32"/>
      <c r="CC274" s="32"/>
      <c r="CD274" s="32"/>
    </row>
    <row r="275" spans="1:8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181"/>
      <c r="S275" s="181"/>
      <c r="T275" s="181"/>
      <c r="U275" s="181"/>
      <c r="V275" s="181"/>
      <c r="W275" s="181"/>
      <c r="X275" s="181"/>
      <c r="Y275" s="181"/>
      <c r="Z275" s="181"/>
      <c r="AA275" s="181"/>
      <c r="AB275" s="181"/>
      <c r="AC275" s="181"/>
      <c r="AD275" s="181"/>
      <c r="AE275" s="181"/>
      <c r="AF275" s="181"/>
      <c r="AG275" s="181"/>
      <c r="AH275" s="181"/>
      <c r="AI275" s="181"/>
      <c r="AJ275" s="181"/>
      <c r="AK275" s="181"/>
      <c r="AL275" s="181"/>
      <c r="AM275" s="181"/>
      <c r="AN275" s="181"/>
      <c r="AO275" s="181"/>
      <c r="AP275" s="181"/>
      <c r="AQ275" s="181"/>
      <c r="AR275" s="181"/>
      <c r="AS275" s="181"/>
      <c r="AT275" s="181"/>
      <c r="AU275" s="181"/>
      <c r="AV275" s="181"/>
      <c r="AW275" s="181"/>
      <c r="AX275" s="181"/>
      <c r="AY275" s="181"/>
      <c r="AZ275" s="181"/>
      <c r="BA275" s="181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  <c r="BP275" s="32"/>
      <c r="BQ275" s="32"/>
      <c r="BR275" s="32"/>
      <c r="BS275" s="32"/>
      <c r="BT275" s="32"/>
      <c r="BU275" s="32"/>
      <c r="BV275" s="32"/>
      <c r="BW275" s="32"/>
      <c r="BX275" s="32"/>
      <c r="BY275" s="32"/>
      <c r="BZ275" s="32"/>
      <c r="CA275" s="32"/>
      <c r="CB275" s="32"/>
      <c r="CC275" s="32"/>
      <c r="CD275" s="32"/>
    </row>
    <row r="276" spans="1:8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181"/>
      <c r="S276" s="181"/>
      <c r="T276" s="181"/>
      <c r="U276" s="181"/>
      <c r="V276" s="181"/>
      <c r="W276" s="181"/>
      <c r="X276" s="181"/>
      <c r="Y276" s="181"/>
      <c r="Z276" s="181"/>
      <c r="AA276" s="181"/>
      <c r="AB276" s="181"/>
      <c r="AC276" s="181"/>
      <c r="AD276" s="181"/>
      <c r="AE276" s="181"/>
      <c r="AF276" s="181"/>
      <c r="AG276" s="181"/>
      <c r="AH276" s="181"/>
      <c r="AI276" s="181"/>
      <c r="AJ276" s="181"/>
      <c r="AK276" s="181"/>
      <c r="AL276" s="181"/>
      <c r="AM276" s="181"/>
      <c r="AN276" s="181"/>
      <c r="AO276" s="181"/>
      <c r="AP276" s="181"/>
      <c r="AQ276" s="181"/>
      <c r="AR276" s="181"/>
      <c r="AS276" s="181"/>
      <c r="AT276" s="181"/>
      <c r="AU276" s="181"/>
      <c r="AV276" s="181"/>
      <c r="AW276" s="181"/>
      <c r="AX276" s="181"/>
      <c r="AY276" s="181"/>
      <c r="AZ276" s="181"/>
      <c r="BA276" s="181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  <c r="BP276" s="32"/>
      <c r="BQ276" s="32"/>
      <c r="BR276" s="32"/>
      <c r="BS276" s="32"/>
      <c r="BT276" s="32"/>
      <c r="BU276" s="32"/>
      <c r="BV276" s="32"/>
      <c r="BW276" s="32"/>
      <c r="BX276" s="32"/>
      <c r="BY276" s="32"/>
      <c r="BZ276" s="32"/>
      <c r="CA276" s="32"/>
      <c r="CB276" s="32"/>
      <c r="CC276" s="32"/>
      <c r="CD276" s="32"/>
    </row>
    <row r="277" spans="1:8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181"/>
      <c r="S277" s="181"/>
      <c r="T277" s="181"/>
      <c r="U277" s="181"/>
      <c r="V277" s="181"/>
      <c r="W277" s="181"/>
      <c r="X277" s="181"/>
      <c r="Y277" s="181"/>
      <c r="Z277" s="181"/>
      <c r="AA277" s="181"/>
      <c r="AB277" s="181"/>
      <c r="AC277" s="181"/>
      <c r="AD277" s="181"/>
      <c r="AE277" s="181"/>
      <c r="AF277" s="181"/>
      <c r="AG277" s="181"/>
      <c r="AH277" s="181"/>
      <c r="AI277" s="181"/>
      <c r="AJ277" s="181"/>
      <c r="AK277" s="181"/>
      <c r="AL277" s="181"/>
      <c r="AM277" s="181"/>
      <c r="AN277" s="181"/>
      <c r="AO277" s="181"/>
      <c r="AP277" s="181"/>
      <c r="AQ277" s="181"/>
      <c r="AR277" s="181"/>
      <c r="AS277" s="181"/>
      <c r="AT277" s="181"/>
      <c r="AU277" s="181"/>
      <c r="AV277" s="181"/>
      <c r="AW277" s="181"/>
      <c r="AX277" s="181"/>
      <c r="AY277" s="181"/>
      <c r="AZ277" s="181"/>
      <c r="BA277" s="181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  <c r="BW277" s="32"/>
      <c r="BX277" s="32"/>
      <c r="BY277" s="32"/>
      <c r="BZ277" s="32"/>
      <c r="CA277" s="32"/>
      <c r="CB277" s="32"/>
      <c r="CC277" s="32"/>
      <c r="CD277" s="32"/>
    </row>
    <row r="278" spans="1:8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181"/>
      <c r="S278" s="181"/>
      <c r="T278" s="181"/>
      <c r="U278" s="181"/>
      <c r="V278" s="181"/>
      <c r="W278" s="181"/>
      <c r="X278" s="181"/>
      <c r="Y278" s="181"/>
      <c r="Z278" s="181"/>
      <c r="AA278" s="181"/>
      <c r="AB278" s="181"/>
      <c r="AC278" s="181"/>
      <c r="AD278" s="181"/>
      <c r="AE278" s="181"/>
      <c r="AF278" s="181"/>
      <c r="AG278" s="181"/>
      <c r="AH278" s="181"/>
      <c r="AI278" s="181"/>
      <c r="AJ278" s="181"/>
      <c r="AK278" s="181"/>
      <c r="AL278" s="181"/>
      <c r="AM278" s="181"/>
      <c r="AN278" s="181"/>
      <c r="AO278" s="181"/>
      <c r="AP278" s="181"/>
      <c r="AQ278" s="181"/>
      <c r="AR278" s="181"/>
      <c r="AS278" s="181"/>
      <c r="AT278" s="181"/>
      <c r="AU278" s="181"/>
      <c r="AV278" s="181"/>
      <c r="AW278" s="181"/>
      <c r="AX278" s="181"/>
      <c r="AY278" s="181"/>
      <c r="AZ278" s="181"/>
      <c r="BA278" s="181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2"/>
      <c r="BU278" s="32"/>
      <c r="BV278" s="32"/>
      <c r="BW278" s="32"/>
      <c r="BX278" s="32"/>
      <c r="BY278" s="32"/>
      <c r="BZ278" s="32"/>
      <c r="CA278" s="32"/>
      <c r="CB278" s="32"/>
      <c r="CC278" s="32"/>
      <c r="CD278" s="32"/>
    </row>
    <row r="279" spans="1:8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181"/>
      <c r="S279" s="181"/>
      <c r="T279" s="181"/>
      <c r="U279" s="181"/>
      <c r="V279" s="181"/>
      <c r="W279" s="181"/>
      <c r="X279" s="181"/>
      <c r="Y279" s="181"/>
      <c r="Z279" s="181"/>
      <c r="AA279" s="181"/>
      <c r="AB279" s="181"/>
      <c r="AC279" s="181"/>
      <c r="AD279" s="181"/>
      <c r="AE279" s="181"/>
      <c r="AF279" s="181"/>
      <c r="AG279" s="181"/>
      <c r="AH279" s="181"/>
      <c r="AI279" s="181"/>
      <c r="AJ279" s="181"/>
      <c r="AK279" s="181"/>
      <c r="AL279" s="181"/>
      <c r="AM279" s="181"/>
      <c r="AN279" s="181"/>
      <c r="AO279" s="181"/>
      <c r="AP279" s="181"/>
      <c r="AQ279" s="181"/>
      <c r="AR279" s="181"/>
      <c r="AS279" s="181"/>
      <c r="AT279" s="181"/>
      <c r="AU279" s="181"/>
      <c r="AV279" s="181"/>
      <c r="AW279" s="181"/>
      <c r="AX279" s="181"/>
      <c r="AY279" s="181"/>
      <c r="AZ279" s="181"/>
      <c r="BA279" s="181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  <c r="BP279" s="32"/>
      <c r="BQ279" s="32"/>
      <c r="BR279" s="32"/>
      <c r="BS279" s="32"/>
      <c r="BT279" s="32"/>
      <c r="BU279" s="32"/>
      <c r="BV279" s="32"/>
      <c r="BW279" s="32"/>
      <c r="BX279" s="32"/>
      <c r="BY279" s="32"/>
      <c r="BZ279" s="32"/>
      <c r="CA279" s="32"/>
      <c r="CB279" s="32"/>
      <c r="CC279" s="32"/>
      <c r="CD279" s="32"/>
    </row>
    <row r="280" spans="1:8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181"/>
      <c r="S280" s="181"/>
      <c r="T280" s="181"/>
      <c r="U280" s="181"/>
      <c r="V280" s="181"/>
      <c r="W280" s="181"/>
      <c r="X280" s="181"/>
      <c r="Y280" s="181"/>
      <c r="Z280" s="181"/>
      <c r="AA280" s="181"/>
      <c r="AB280" s="181"/>
      <c r="AC280" s="181"/>
      <c r="AD280" s="181"/>
      <c r="AE280" s="181"/>
      <c r="AF280" s="181"/>
      <c r="AG280" s="181"/>
      <c r="AH280" s="181"/>
      <c r="AI280" s="181"/>
      <c r="AJ280" s="181"/>
      <c r="AK280" s="181"/>
      <c r="AL280" s="181"/>
      <c r="AM280" s="181"/>
      <c r="AN280" s="181"/>
      <c r="AO280" s="181"/>
      <c r="AP280" s="181"/>
      <c r="AQ280" s="181"/>
      <c r="AR280" s="181"/>
      <c r="AS280" s="181"/>
      <c r="AT280" s="181"/>
      <c r="AU280" s="181"/>
      <c r="AV280" s="181"/>
      <c r="AW280" s="181"/>
      <c r="AX280" s="181"/>
      <c r="AY280" s="181"/>
      <c r="AZ280" s="181"/>
      <c r="BA280" s="181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  <c r="BP280" s="32"/>
      <c r="BQ280" s="32"/>
      <c r="BR280" s="32"/>
      <c r="BS280" s="32"/>
      <c r="BT280" s="32"/>
      <c r="BU280" s="32"/>
      <c r="BV280" s="32"/>
      <c r="BW280" s="32"/>
      <c r="BX280" s="32"/>
      <c r="BY280" s="32"/>
      <c r="BZ280" s="32"/>
      <c r="CA280" s="32"/>
      <c r="CB280" s="32"/>
      <c r="CC280" s="32"/>
      <c r="CD280" s="32"/>
    </row>
    <row r="281" spans="1:8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81"/>
      <c r="AJ281" s="181"/>
      <c r="AK281" s="181"/>
      <c r="AL281" s="181"/>
      <c r="AM281" s="181"/>
      <c r="AN281" s="181"/>
      <c r="AO281" s="181"/>
      <c r="AP281" s="181"/>
      <c r="AQ281" s="181"/>
      <c r="AR281" s="181"/>
      <c r="AS281" s="181"/>
      <c r="AT281" s="181"/>
      <c r="AU281" s="181"/>
      <c r="AV281" s="181"/>
      <c r="AW281" s="181"/>
      <c r="AX281" s="181"/>
      <c r="AY281" s="181"/>
      <c r="AZ281" s="181"/>
      <c r="BA281" s="181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2"/>
      <c r="BU281" s="32"/>
      <c r="BV281" s="32"/>
      <c r="BW281" s="32"/>
      <c r="BX281" s="32"/>
      <c r="BY281" s="32"/>
      <c r="BZ281" s="32"/>
      <c r="CA281" s="32"/>
      <c r="CB281" s="32"/>
      <c r="CC281" s="32"/>
      <c r="CD281" s="32"/>
    </row>
    <row r="282" spans="1: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81"/>
      <c r="AJ282" s="181"/>
      <c r="AK282" s="181"/>
      <c r="AL282" s="181"/>
      <c r="AM282" s="181"/>
      <c r="AN282" s="181"/>
      <c r="AO282" s="181"/>
      <c r="AP282" s="181"/>
      <c r="AQ282" s="181"/>
      <c r="AR282" s="181"/>
      <c r="AS282" s="181"/>
      <c r="AT282" s="181"/>
      <c r="AU282" s="181"/>
      <c r="AV282" s="181"/>
      <c r="AW282" s="181"/>
      <c r="AX282" s="181"/>
      <c r="AY282" s="181"/>
      <c r="AZ282" s="181"/>
      <c r="BA282" s="181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2"/>
      <c r="BU282" s="32"/>
      <c r="BV282" s="32"/>
      <c r="BW282" s="32"/>
      <c r="BX282" s="32"/>
      <c r="BY282" s="32"/>
      <c r="BZ282" s="32"/>
      <c r="CA282" s="32"/>
      <c r="CB282" s="32"/>
      <c r="CC282" s="32"/>
      <c r="CD282" s="32"/>
    </row>
    <row r="283" spans="1:8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81"/>
      <c r="AJ283" s="181"/>
      <c r="AK283" s="181"/>
      <c r="AL283" s="181"/>
      <c r="AM283" s="181"/>
      <c r="AN283" s="181"/>
      <c r="AO283" s="181"/>
      <c r="AP283" s="181"/>
      <c r="AQ283" s="181"/>
      <c r="AR283" s="181"/>
      <c r="AS283" s="181"/>
      <c r="AT283" s="181"/>
      <c r="AU283" s="181"/>
      <c r="AV283" s="181"/>
      <c r="AW283" s="181"/>
      <c r="AX283" s="181"/>
      <c r="AY283" s="181"/>
      <c r="AZ283" s="181"/>
      <c r="BA283" s="181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  <c r="BP283" s="32"/>
      <c r="BQ283" s="32"/>
      <c r="BR283" s="32"/>
      <c r="BS283" s="32"/>
      <c r="BT283" s="32"/>
      <c r="BU283" s="32"/>
      <c r="BV283" s="32"/>
      <c r="BW283" s="32"/>
      <c r="BX283" s="32"/>
      <c r="BY283" s="32"/>
      <c r="BZ283" s="32"/>
      <c r="CA283" s="32"/>
      <c r="CB283" s="32"/>
      <c r="CC283" s="32"/>
      <c r="CD283" s="32"/>
    </row>
    <row r="284" spans="1:8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81"/>
      <c r="AJ284" s="181"/>
      <c r="AK284" s="181"/>
      <c r="AL284" s="181"/>
      <c r="AM284" s="181"/>
      <c r="AN284" s="181"/>
      <c r="AO284" s="181"/>
      <c r="AP284" s="181"/>
      <c r="AQ284" s="181"/>
      <c r="AR284" s="181"/>
      <c r="AS284" s="181"/>
      <c r="AT284" s="181"/>
      <c r="AU284" s="181"/>
      <c r="AV284" s="181"/>
      <c r="AW284" s="181"/>
      <c r="AX284" s="181"/>
      <c r="AY284" s="181"/>
      <c r="AZ284" s="181"/>
      <c r="BA284" s="181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2"/>
      <c r="BU284" s="32"/>
      <c r="BV284" s="32"/>
      <c r="BW284" s="32"/>
      <c r="BX284" s="32"/>
      <c r="BY284" s="32"/>
      <c r="BZ284" s="32"/>
      <c r="CA284" s="32"/>
      <c r="CB284" s="32"/>
      <c r="CC284" s="32"/>
      <c r="CD284" s="32"/>
    </row>
    <row r="285" spans="1:8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81"/>
      <c r="AJ285" s="181"/>
      <c r="AK285" s="181"/>
      <c r="AL285" s="181"/>
      <c r="AM285" s="181"/>
      <c r="AN285" s="181"/>
      <c r="AO285" s="181"/>
      <c r="AP285" s="181"/>
      <c r="AQ285" s="181"/>
      <c r="AR285" s="181"/>
      <c r="AS285" s="181"/>
      <c r="AT285" s="181"/>
      <c r="AU285" s="181"/>
      <c r="AV285" s="181"/>
      <c r="AW285" s="181"/>
      <c r="AX285" s="181"/>
      <c r="AY285" s="181"/>
      <c r="AZ285" s="181"/>
      <c r="BA285" s="181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  <c r="BP285" s="32"/>
      <c r="BQ285" s="32"/>
      <c r="BR285" s="32"/>
      <c r="BS285" s="32"/>
      <c r="BT285" s="32"/>
      <c r="BU285" s="32"/>
      <c r="BV285" s="32"/>
      <c r="BW285" s="32"/>
      <c r="BX285" s="32"/>
      <c r="BY285" s="32"/>
      <c r="BZ285" s="32"/>
      <c r="CA285" s="32"/>
      <c r="CB285" s="32"/>
      <c r="CC285" s="32"/>
      <c r="CD285" s="32"/>
    </row>
    <row r="286" spans="1:8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81"/>
      <c r="AJ286" s="181"/>
      <c r="AK286" s="181"/>
      <c r="AL286" s="181"/>
      <c r="AM286" s="181"/>
      <c r="AN286" s="181"/>
      <c r="AO286" s="181"/>
      <c r="AP286" s="181"/>
      <c r="AQ286" s="181"/>
      <c r="AR286" s="181"/>
      <c r="AS286" s="181"/>
      <c r="AT286" s="181"/>
      <c r="AU286" s="181"/>
      <c r="AV286" s="181"/>
      <c r="AW286" s="181"/>
      <c r="AX286" s="181"/>
      <c r="AY286" s="181"/>
      <c r="AZ286" s="181"/>
      <c r="BA286" s="181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  <c r="BP286" s="32"/>
      <c r="BQ286" s="32"/>
      <c r="BR286" s="32"/>
      <c r="BS286" s="32"/>
      <c r="BT286" s="32"/>
      <c r="BU286" s="32"/>
      <c r="BV286" s="32"/>
      <c r="BW286" s="32"/>
      <c r="BX286" s="32"/>
      <c r="BY286" s="32"/>
      <c r="BZ286" s="32"/>
      <c r="CA286" s="32"/>
      <c r="CB286" s="32"/>
      <c r="CC286" s="32"/>
      <c r="CD286" s="32"/>
    </row>
    <row r="287" spans="1:8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81"/>
      <c r="AJ287" s="181"/>
      <c r="AK287" s="181"/>
      <c r="AL287" s="181"/>
      <c r="AM287" s="181"/>
      <c r="AN287" s="181"/>
      <c r="AO287" s="181"/>
      <c r="AP287" s="181"/>
      <c r="AQ287" s="181"/>
      <c r="AR287" s="181"/>
      <c r="AS287" s="181"/>
      <c r="AT287" s="181"/>
      <c r="AU287" s="181"/>
      <c r="AV287" s="181"/>
      <c r="AW287" s="181"/>
      <c r="AX287" s="181"/>
      <c r="AY287" s="181"/>
      <c r="AZ287" s="181"/>
      <c r="BA287" s="181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  <c r="BP287" s="32"/>
      <c r="BQ287" s="32"/>
      <c r="BR287" s="32"/>
      <c r="BS287" s="32"/>
      <c r="BT287" s="32"/>
      <c r="BU287" s="32"/>
      <c r="BV287" s="32"/>
      <c r="BW287" s="32"/>
      <c r="BX287" s="32"/>
      <c r="BY287" s="32"/>
      <c r="BZ287" s="32"/>
      <c r="CA287" s="32"/>
      <c r="CB287" s="32"/>
      <c r="CC287" s="32"/>
      <c r="CD287" s="32"/>
    </row>
    <row r="288" spans="1:8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81"/>
      <c r="AJ288" s="181"/>
      <c r="AK288" s="181"/>
      <c r="AL288" s="181"/>
      <c r="AM288" s="181"/>
      <c r="AN288" s="181"/>
      <c r="AO288" s="181"/>
      <c r="AP288" s="181"/>
      <c r="AQ288" s="181"/>
      <c r="AR288" s="181"/>
      <c r="AS288" s="181"/>
      <c r="AT288" s="181"/>
      <c r="AU288" s="181"/>
      <c r="AV288" s="181"/>
      <c r="AW288" s="181"/>
      <c r="AX288" s="181"/>
      <c r="AY288" s="181"/>
      <c r="AZ288" s="181"/>
      <c r="BA288" s="181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  <c r="BP288" s="32"/>
      <c r="BQ288" s="32"/>
      <c r="BR288" s="32"/>
      <c r="BS288" s="32"/>
      <c r="BT288" s="32"/>
      <c r="BU288" s="32"/>
      <c r="BV288" s="32"/>
      <c r="BW288" s="32"/>
      <c r="BX288" s="32"/>
      <c r="BY288" s="32"/>
      <c r="BZ288" s="32"/>
      <c r="CA288" s="32"/>
      <c r="CB288" s="32"/>
      <c r="CC288" s="32"/>
      <c r="CD288" s="32"/>
    </row>
    <row r="289" spans="1:8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81"/>
      <c r="AJ289" s="181"/>
      <c r="AK289" s="181"/>
      <c r="AL289" s="181"/>
      <c r="AM289" s="181"/>
      <c r="AN289" s="181"/>
      <c r="AO289" s="181"/>
      <c r="AP289" s="181"/>
      <c r="AQ289" s="181"/>
      <c r="AR289" s="181"/>
      <c r="AS289" s="181"/>
      <c r="AT289" s="181"/>
      <c r="AU289" s="181"/>
      <c r="AV289" s="181"/>
      <c r="AW289" s="181"/>
      <c r="AX289" s="181"/>
      <c r="AY289" s="181"/>
      <c r="AZ289" s="181"/>
      <c r="BA289" s="181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  <c r="BQ289" s="32"/>
      <c r="BR289" s="32"/>
      <c r="BS289" s="32"/>
      <c r="BT289" s="32"/>
      <c r="BU289" s="32"/>
      <c r="BV289" s="32"/>
      <c r="BW289" s="32"/>
      <c r="BX289" s="32"/>
      <c r="BY289" s="32"/>
      <c r="BZ289" s="32"/>
      <c r="CA289" s="32"/>
      <c r="CB289" s="32"/>
      <c r="CC289" s="32"/>
      <c r="CD289" s="32"/>
    </row>
    <row r="290" spans="1:8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81"/>
      <c r="AJ290" s="181"/>
      <c r="AK290" s="181"/>
      <c r="AL290" s="181"/>
      <c r="AM290" s="181"/>
      <c r="AN290" s="181"/>
      <c r="AO290" s="181"/>
      <c r="AP290" s="181"/>
      <c r="AQ290" s="181"/>
      <c r="AR290" s="181"/>
      <c r="AS290" s="181"/>
      <c r="AT290" s="181"/>
      <c r="AU290" s="181"/>
      <c r="AV290" s="181"/>
      <c r="AW290" s="181"/>
      <c r="AX290" s="181"/>
      <c r="AY290" s="181"/>
      <c r="AZ290" s="181"/>
      <c r="BA290" s="181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  <c r="BS290" s="32"/>
      <c r="BT290" s="32"/>
      <c r="BU290" s="32"/>
      <c r="BV290" s="32"/>
      <c r="BW290" s="32"/>
      <c r="BX290" s="32"/>
      <c r="BY290" s="32"/>
      <c r="BZ290" s="32"/>
      <c r="CA290" s="32"/>
      <c r="CB290" s="32"/>
      <c r="CC290" s="32"/>
      <c r="CD290" s="32"/>
    </row>
    <row r="291" spans="1:8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81"/>
      <c r="AJ291" s="181"/>
      <c r="AK291" s="181"/>
      <c r="AL291" s="181"/>
      <c r="AM291" s="181"/>
      <c r="AN291" s="181"/>
      <c r="AO291" s="181"/>
      <c r="AP291" s="181"/>
      <c r="AQ291" s="181"/>
      <c r="AR291" s="181"/>
      <c r="AS291" s="181"/>
      <c r="AT291" s="181"/>
      <c r="AU291" s="181"/>
      <c r="AV291" s="181"/>
      <c r="AW291" s="181"/>
      <c r="AX291" s="181"/>
      <c r="AY291" s="181"/>
      <c r="AZ291" s="181"/>
      <c r="BA291" s="181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  <c r="BP291" s="32"/>
      <c r="BQ291" s="32"/>
      <c r="BR291" s="32"/>
      <c r="BS291" s="32"/>
      <c r="BT291" s="32"/>
      <c r="BU291" s="32"/>
      <c r="BV291" s="32"/>
      <c r="BW291" s="32"/>
      <c r="BX291" s="32"/>
      <c r="BY291" s="32"/>
      <c r="BZ291" s="32"/>
      <c r="CA291" s="32"/>
      <c r="CB291" s="32"/>
      <c r="CC291" s="32"/>
      <c r="CD291" s="32"/>
    </row>
    <row r="292" spans="1:8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81"/>
      <c r="AJ292" s="181"/>
      <c r="AK292" s="181"/>
      <c r="AL292" s="181"/>
      <c r="AM292" s="181"/>
      <c r="AN292" s="181"/>
      <c r="AO292" s="181"/>
      <c r="AP292" s="181"/>
      <c r="AQ292" s="181"/>
      <c r="AR292" s="181"/>
      <c r="AS292" s="181"/>
      <c r="AT292" s="181"/>
      <c r="AU292" s="181"/>
      <c r="AV292" s="181"/>
      <c r="AW292" s="181"/>
      <c r="AX292" s="181"/>
      <c r="AY292" s="181"/>
      <c r="AZ292" s="181"/>
      <c r="BA292" s="181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  <c r="BP292" s="32"/>
      <c r="BQ292" s="32"/>
      <c r="BR292" s="32"/>
      <c r="BS292" s="32"/>
      <c r="BT292" s="32"/>
      <c r="BU292" s="32"/>
      <c r="BV292" s="32"/>
      <c r="BW292" s="32"/>
      <c r="BX292" s="32"/>
      <c r="BY292" s="32"/>
      <c r="BZ292" s="32"/>
      <c r="CA292" s="32"/>
      <c r="CB292" s="32"/>
      <c r="CC292" s="32"/>
      <c r="CD292" s="32"/>
    </row>
    <row r="293" spans="1:8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81"/>
      <c r="AJ293" s="181"/>
      <c r="AK293" s="181"/>
      <c r="AL293" s="181"/>
      <c r="AM293" s="181"/>
      <c r="AN293" s="181"/>
      <c r="AO293" s="181"/>
      <c r="AP293" s="181"/>
      <c r="AQ293" s="181"/>
      <c r="AR293" s="181"/>
      <c r="AS293" s="181"/>
      <c r="AT293" s="181"/>
      <c r="AU293" s="181"/>
      <c r="AV293" s="181"/>
      <c r="AW293" s="181"/>
      <c r="AX293" s="181"/>
      <c r="AY293" s="181"/>
      <c r="AZ293" s="181"/>
      <c r="BA293" s="181"/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  <c r="BP293" s="32"/>
      <c r="BQ293" s="32"/>
      <c r="BR293" s="32"/>
      <c r="BS293" s="32"/>
      <c r="BT293" s="32"/>
      <c r="BU293" s="32"/>
      <c r="BV293" s="32"/>
      <c r="BW293" s="32"/>
      <c r="BX293" s="32"/>
      <c r="BY293" s="32"/>
      <c r="BZ293" s="32"/>
      <c r="CA293" s="32"/>
      <c r="CB293" s="32"/>
      <c r="CC293" s="32"/>
      <c r="CD293" s="32"/>
    </row>
    <row r="294" spans="1:8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81"/>
      <c r="AJ294" s="181"/>
      <c r="AK294" s="181"/>
      <c r="AL294" s="181"/>
      <c r="AM294" s="181"/>
      <c r="AN294" s="181"/>
      <c r="AO294" s="181"/>
      <c r="AP294" s="181"/>
      <c r="AQ294" s="181"/>
      <c r="AR294" s="181"/>
      <c r="AS294" s="181"/>
      <c r="AT294" s="181"/>
      <c r="AU294" s="181"/>
      <c r="AV294" s="181"/>
      <c r="AW294" s="181"/>
      <c r="AX294" s="181"/>
      <c r="AY294" s="181"/>
      <c r="AZ294" s="181"/>
      <c r="BA294" s="181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  <c r="BP294" s="32"/>
      <c r="BQ294" s="32"/>
      <c r="BR294" s="32"/>
      <c r="BS294" s="32"/>
      <c r="BT294" s="32"/>
      <c r="BU294" s="32"/>
      <c r="BV294" s="32"/>
      <c r="BW294" s="32"/>
      <c r="BX294" s="32"/>
      <c r="BY294" s="32"/>
      <c r="BZ294" s="32"/>
      <c r="CA294" s="32"/>
      <c r="CB294" s="32"/>
      <c r="CC294" s="32"/>
      <c r="CD294" s="32"/>
    </row>
    <row r="295" spans="1:8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81"/>
      <c r="AJ295" s="181"/>
      <c r="AK295" s="181"/>
      <c r="AL295" s="181"/>
      <c r="AM295" s="181"/>
      <c r="AN295" s="181"/>
      <c r="AO295" s="181"/>
      <c r="AP295" s="181"/>
      <c r="AQ295" s="181"/>
      <c r="AR295" s="181"/>
      <c r="AS295" s="181"/>
      <c r="AT295" s="181"/>
      <c r="AU295" s="181"/>
      <c r="AV295" s="181"/>
      <c r="AW295" s="181"/>
      <c r="AX295" s="181"/>
      <c r="AY295" s="181"/>
      <c r="AZ295" s="181"/>
      <c r="BA295" s="181"/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  <c r="BP295" s="32"/>
      <c r="BQ295" s="32"/>
      <c r="BR295" s="32"/>
      <c r="BS295" s="32"/>
      <c r="BT295" s="32"/>
      <c r="BU295" s="32"/>
      <c r="BV295" s="32"/>
      <c r="BW295" s="32"/>
      <c r="BX295" s="32"/>
      <c r="BY295" s="32"/>
      <c r="BZ295" s="32"/>
      <c r="CA295" s="32"/>
      <c r="CB295" s="32"/>
      <c r="CC295" s="32"/>
      <c r="CD295" s="32"/>
    </row>
    <row r="296" spans="1:8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81"/>
      <c r="AI296" s="181"/>
      <c r="AJ296" s="181"/>
      <c r="AK296" s="181"/>
      <c r="AL296" s="181"/>
      <c r="AM296" s="181"/>
      <c r="AN296" s="181"/>
      <c r="AO296" s="181"/>
      <c r="AP296" s="181"/>
      <c r="AQ296" s="181"/>
      <c r="AR296" s="181"/>
      <c r="AS296" s="181"/>
      <c r="AT296" s="181"/>
      <c r="AU296" s="181"/>
      <c r="AV296" s="181"/>
      <c r="AW296" s="181"/>
      <c r="AX296" s="181"/>
      <c r="AY296" s="181"/>
      <c r="AZ296" s="181"/>
      <c r="BA296" s="181"/>
      <c r="BB296" s="32"/>
      <c r="BC296" s="32"/>
      <c r="BD296" s="32"/>
      <c r="BE296" s="32"/>
      <c r="BF296" s="32"/>
      <c r="BG296" s="32"/>
      <c r="BH296" s="32"/>
      <c r="BI296" s="32"/>
      <c r="BJ296" s="32"/>
      <c r="BK296" s="32"/>
      <c r="BL296" s="32"/>
      <c r="BM296" s="32"/>
      <c r="BN296" s="32"/>
      <c r="BO296" s="32"/>
      <c r="BP296" s="32"/>
      <c r="BQ296" s="32"/>
      <c r="BR296" s="32"/>
      <c r="BS296" s="32"/>
      <c r="BT296" s="32"/>
      <c r="BU296" s="32"/>
      <c r="BV296" s="32"/>
      <c r="BW296" s="32"/>
      <c r="BX296" s="32"/>
      <c r="BY296" s="32"/>
      <c r="BZ296" s="32"/>
      <c r="CA296" s="32"/>
      <c r="CB296" s="32"/>
      <c r="CC296" s="32"/>
      <c r="CD296" s="32"/>
    </row>
    <row r="297" spans="1:8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181"/>
      <c r="S297" s="181"/>
      <c r="T297" s="181"/>
      <c r="U297" s="181"/>
      <c r="V297" s="181"/>
      <c r="W297" s="181"/>
      <c r="X297" s="181"/>
      <c r="Y297" s="181"/>
      <c r="Z297" s="181"/>
      <c r="AA297" s="181"/>
      <c r="AB297" s="181"/>
      <c r="AC297" s="181"/>
      <c r="AD297" s="181"/>
      <c r="AE297" s="181"/>
      <c r="AF297" s="181"/>
      <c r="AG297" s="181"/>
      <c r="AH297" s="181"/>
      <c r="AI297" s="181"/>
      <c r="AJ297" s="181"/>
      <c r="AK297" s="181"/>
      <c r="AL297" s="181"/>
      <c r="AM297" s="181"/>
      <c r="AN297" s="181"/>
      <c r="AO297" s="181"/>
      <c r="AP297" s="181"/>
      <c r="AQ297" s="181"/>
      <c r="AR297" s="181"/>
      <c r="AS297" s="181"/>
      <c r="AT297" s="181"/>
      <c r="AU297" s="181"/>
      <c r="AV297" s="181"/>
      <c r="AW297" s="181"/>
      <c r="AX297" s="181"/>
      <c r="AY297" s="181"/>
      <c r="AZ297" s="181"/>
      <c r="BA297" s="181"/>
      <c r="BB297" s="32"/>
      <c r="BC297" s="32"/>
      <c r="BD297" s="32"/>
      <c r="BE297" s="32"/>
      <c r="BF297" s="32"/>
      <c r="BG297" s="32"/>
      <c r="BH297" s="32"/>
      <c r="BI297" s="32"/>
      <c r="BJ297" s="32"/>
      <c r="BK297" s="32"/>
      <c r="BL297" s="32"/>
      <c r="BM297" s="32"/>
      <c r="BN297" s="32"/>
      <c r="BO297" s="32"/>
      <c r="BP297" s="32"/>
      <c r="BQ297" s="32"/>
      <c r="BR297" s="32"/>
      <c r="BS297" s="32"/>
      <c r="BT297" s="32"/>
      <c r="BU297" s="32"/>
      <c r="BV297" s="32"/>
      <c r="BW297" s="32"/>
      <c r="BX297" s="32"/>
      <c r="BY297" s="32"/>
      <c r="BZ297" s="32"/>
      <c r="CA297" s="32"/>
      <c r="CB297" s="32"/>
      <c r="CC297" s="32"/>
      <c r="CD297" s="32"/>
    </row>
    <row r="298" spans="1:8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181"/>
      <c r="S298" s="181"/>
      <c r="T298" s="181"/>
      <c r="U298" s="181"/>
      <c r="V298" s="181"/>
      <c r="W298" s="181"/>
      <c r="X298" s="181"/>
      <c r="Y298" s="181"/>
      <c r="Z298" s="181"/>
      <c r="AA298" s="181"/>
      <c r="AB298" s="181"/>
      <c r="AC298" s="181"/>
      <c r="AD298" s="181"/>
      <c r="AE298" s="181"/>
      <c r="AF298" s="181"/>
      <c r="AG298" s="181"/>
      <c r="AH298" s="181"/>
      <c r="AI298" s="181"/>
      <c r="AJ298" s="181"/>
      <c r="AK298" s="181"/>
      <c r="AL298" s="181"/>
      <c r="AM298" s="181"/>
      <c r="AN298" s="181"/>
      <c r="AO298" s="181"/>
      <c r="AP298" s="181"/>
      <c r="AQ298" s="181"/>
      <c r="AR298" s="181"/>
      <c r="AS298" s="181"/>
      <c r="AT298" s="181"/>
      <c r="AU298" s="181"/>
      <c r="AV298" s="181"/>
      <c r="AW298" s="181"/>
      <c r="AX298" s="181"/>
      <c r="AY298" s="181"/>
      <c r="AZ298" s="181"/>
      <c r="BA298" s="181"/>
      <c r="BB298" s="32"/>
      <c r="BC298" s="32"/>
      <c r="BD298" s="32"/>
      <c r="BE298" s="32"/>
      <c r="BF298" s="32"/>
      <c r="BG298" s="32"/>
      <c r="BH298" s="32"/>
      <c r="BI298" s="32"/>
      <c r="BJ298" s="32"/>
      <c r="BK298" s="32"/>
      <c r="BL298" s="32"/>
      <c r="BM298" s="32"/>
      <c r="BN298" s="32"/>
      <c r="BO298" s="32"/>
      <c r="BP298" s="32"/>
      <c r="BQ298" s="32"/>
      <c r="BR298" s="32"/>
      <c r="BS298" s="32"/>
      <c r="BT298" s="32"/>
      <c r="BU298" s="32"/>
      <c r="BV298" s="32"/>
      <c r="BW298" s="32"/>
      <c r="BX298" s="32"/>
      <c r="BY298" s="32"/>
      <c r="BZ298" s="32"/>
      <c r="CA298" s="32"/>
      <c r="CB298" s="32"/>
      <c r="CC298" s="32"/>
      <c r="CD298" s="32"/>
    </row>
    <row r="299" spans="1:8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181"/>
      <c r="S299" s="181"/>
      <c r="T299" s="181"/>
      <c r="U299" s="181"/>
      <c r="V299" s="181"/>
      <c r="W299" s="181"/>
      <c r="X299" s="181"/>
      <c r="Y299" s="181"/>
      <c r="Z299" s="181"/>
      <c r="AA299" s="181"/>
      <c r="AB299" s="181"/>
      <c r="AC299" s="181"/>
      <c r="AD299" s="181"/>
      <c r="AE299" s="181"/>
      <c r="AF299" s="181"/>
      <c r="AG299" s="181"/>
      <c r="AH299" s="181"/>
      <c r="AI299" s="181"/>
      <c r="AJ299" s="181"/>
      <c r="AK299" s="181"/>
      <c r="AL299" s="181"/>
      <c r="AM299" s="181"/>
      <c r="AN299" s="181"/>
      <c r="AO299" s="181"/>
      <c r="AP299" s="181"/>
      <c r="AQ299" s="181"/>
      <c r="AR299" s="181"/>
      <c r="AS299" s="181"/>
      <c r="AT299" s="181"/>
      <c r="AU299" s="181"/>
      <c r="AV299" s="181"/>
      <c r="AW299" s="181"/>
      <c r="AX299" s="181"/>
      <c r="AY299" s="181"/>
      <c r="AZ299" s="181"/>
      <c r="BA299" s="181"/>
      <c r="BB299" s="32"/>
      <c r="BC299" s="32"/>
      <c r="BD299" s="32"/>
      <c r="BE299" s="32"/>
      <c r="BF299" s="32"/>
      <c r="BG299" s="32"/>
      <c r="BH299" s="32"/>
      <c r="BI299" s="32"/>
      <c r="BJ299" s="32"/>
      <c r="BK299" s="32"/>
      <c r="BL299" s="32"/>
      <c r="BM299" s="32"/>
      <c r="BN299" s="32"/>
      <c r="BO299" s="32"/>
      <c r="BP299" s="32"/>
      <c r="BQ299" s="32"/>
      <c r="BR299" s="32"/>
      <c r="BS299" s="32"/>
      <c r="BT299" s="32"/>
      <c r="BU299" s="32"/>
      <c r="BV299" s="32"/>
      <c r="BW299" s="32"/>
      <c r="BX299" s="32"/>
      <c r="BY299" s="32"/>
      <c r="BZ299" s="32"/>
      <c r="CA299" s="32"/>
      <c r="CB299" s="32"/>
      <c r="CC299" s="32"/>
      <c r="CD299" s="32"/>
    </row>
    <row r="300" spans="1:8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181"/>
      <c r="S300" s="181"/>
      <c r="T300" s="181"/>
      <c r="U300" s="181"/>
      <c r="V300" s="181"/>
      <c r="W300" s="181"/>
      <c r="X300" s="181"/>
      <c r="Y300" s="181"/>
      <c r="Z300" s="181"/>
      <c r="AA300" s="181"/>
      <c r="AB300" s="181"/>
      <c r="AC300" s="181"/>
      <c r="AD300" s="181"/>
      <c r="AE300" s="181"/>
      <c r="AF300" s="181"/>
      <c r="AG300" s="181"/>
      <c r="AH300" s="181"/>
      <c r="AI300" s="181"/>
      <c r="AJ300" s="181"/>
      <c r="AK300" s="181"/>
      <c r="AL300" s="181"/>
      <c r="AM300" s="181"/>
      <c r="AN300" s="181"/>
      <c r="AO300" s="181"/>
      <c r="AP300" s="181"/>
      <c r="AQ300" s="181"/>
      <c r="AR300" s="181"/>
      <c r="AS300" s="181"/>
      <c r="AT300" s="181"/>
      <c r="AU300" s="181"/>
      <c r="AV300" s="181"/>
      <c r="AW300" s="181"/>
      <c r="AX300" s="181"/>
      <c r="AY300" s="181"/>
      <c r="AZ300" s="181"/>
      <c r="BA300" s="181"/>
      <c r="BB300" s="32"/>
      <c r="BC300" s="32"/>
      <c r="BD300" s="32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/>
      <c r="BO300" s="32"/>
      <c r="BP300" s="32"/>
      <c r="BQ300" s="32"/>
      <c r="BR300" s="32"/>
      <c r="BS300" s="32"/>
      <c r="BT300" s="32"/>
      <c r="BU300" s="32"/>
      <c r="BV300" s="32"/>
      <c r="BW300" s="32"/>
      <c r="BX300" s="32"/>
      <c r="BY300" s="32"/>
      <c r="BZ300" s="32"/>
      <c r="CA300" s="32"/>
      <c r="CB300" s="32"/>
      <c r="CC300" s="32"/>
      <c r="CD300" s="32"/>
    </row>
    <row r="301" spans="1:8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181"/>
      <c r="S301" s="181"/>
      <c r="T301" s="181"/>
      <c r="U301" s="181"/>
      <c r="V301" s="181"/>
      <c r="W301" s="181"/>
      <c r="X301" s="181"/>
      <c r="Y301" s="181"/>
      <c r="Z301" s="181"/>
      <c r="AA301" s="181"/>
      <c r="AB301" s="181"/>
      <c r="AC301" s="181"/>
      <c r="AD301" s="181"/>
      <c r="AE301" s="181"/>
      <c r="AF301" s="181"/>
      <c r="AG301" s="181"/>
      <c r="AH301" s="181"/>
      <c r="AI301" s="181"/>
      <c r="AJ301" s="181"/>
      <c r="AK301" s="181"/>
      <c r="AL301" s="181"/>
      <c r="AM301" s="181"/>
      <c r="AN301" s="181"/>
      <c r="AO301" s="181"/>
      <c r="AP301" s="181"/>
      <c r="AQ301" s="181"/>
      <c r="AR301" s="181"/>
      <c r="AS301" s="181"/>
      <c r="AT301" s="181"/>
      <c r="AU301" s="181"/>
      <c r="AV301" s="181"/>
      <c r="AW301" s="181"/>
      <c r="AX301" s="181"/>
      <c r="AY301" s="181"/>
      <c r="AZ301" s="181"/>
      <c r="BA301" s="181"/>
      <c r="BB301" s="32"/>
      <c r="BC301" s="32"/>
      <c r="BD301" s="32"/>
      <c r="BE301" s="32"/>
      <c r="BF301" s="32"/>
      <c r="BG301" s="32"/>
      <c r="BH301" s="32"/>
      <c r="BI301" s="32"/>
      <c r="BJ301" s="32"/>
      <c r="BK301" s="32"/>
      <c r="BL301" s="32"/>
      <c r="BM301" s="32"/>
      <c r="BN301" s="32"/>
      <c r="BO301" s="32"/>
      <c r="BP301" s="32"/>
      <c r="BQ301" s="32"/>
      <c r="BR301" s="32"/>
      <c r="BS301" s="32"/>
      <c r="BT301" s="32"/>
      <c r="BU301" s="32"/>
      <c r="BV301" s="32"/>
      <c r="BW301" s="32"/>
      <c r="BX301" s="32"/>
      <c r="BY301" s="32"/>
      <c r="BZ301" s="32"/>
      <c r="CA301" s="32"/>
      <c r="CB301" s="32"/>
      <c r="CC301" s="32"/>
      <c r="CD301" s="32"/>
    </row>
    <row r="302" spans="1:8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181"/>
      <c r="S302" s="181"/>
      <c r="T302" s="181"/>
      <c r="U302" s="181"/>
      <c r="V302" s="181"/>
      <c r="W302" s="181"/>
      <c r="X302" s="181"/>
      <c r="Y302" s="181"/>
      <c r="Z302" s="181"/>
      <c r="AA302" s="181"/>
      <c r="AB302" s="181"/>
      <c r="AC302" s="181"/>
      <c r="AD302" s="181"/>
      <c r="AE302" s="181"/>
      <c r="AF302" s="181"/>
      <c r="AG302" s="181"/>
      <c r="AH302" s="181"/>
      <c r="AI302" s="181"/>
      <c r="AJ302" s="181"/>
      <c r="AK302" s="181"/>
      <c r="AL302" s="181"/>
      <c r="AM302" s="181"/>
      <c r="AN302" s="181"/>
      <c r="AO302" s="181"/>
      <c r="AP302" s="181"/>
      <c r="AQ302" s="181"/>
      <c r="AR302" s="181"/>
      <c r="AS302" s="181"/>
      <c r="AT302" s="181"/>
      <c r="AU302" s="181"/>
      <c r="AV302" s="181"/>
      <c r="AW302" s="181"/>
      <c r="AX302" s="181"/>
      <c r="AY302" s="181"/>
      <c r="AZ302" s="181"/>
      <c r="BA302" s="181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  <c r="BP302" s="32"/>
      <c r="BQ302" s="32"/>
      <c r="BR302" s="32"/>
      <c r="BS302" s="32"/>
      <c r="BT302" s="32"/>
      <c r="BU302" s="32"/>
      <c r="BV302" s="32"/>
      <c r="BW302" s="32"/>
      <c r="BX302" s="32"/>
      <c r="BY302" s="32"/>
      <c r="BZ302" s="32"/>
      <c r="CA302" s="32"/>
      <c r="CB302" s="32"/>
      <c r="CC302" s="32"/>
      <c r="CD302" s="32"/>
    </row>
    <row r="303" spans="1:8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181"/>
      <c r="S303" s="181"/>
      <c r="T303" s="181"/>
      <c r="U303" s="181"/>
      <c r="V303" s="181"/>
      <c r="W303" s="181"/>
      <c r="X303" s="181"/>
      <c r="Y303" s="181"/>
      <c r="Z303" s="181"/>
      <c r="AA303" s="181"/>
      <c r="AB303" s="181"/>
      <c r="AC303" s="181"/>
      <c r="AD303" s="181"/>
      <c r="AE303" s="181"/>
      <c r="AF303" s="181"/>
      <c r="AG303" s="181"/>
      <c r="AH303" s="181"/>
      <c r="AI303" s="181"/>
      <c r="AJ303" s="181"/>
      <c r="AK303" s="181"/>
      <c r="AL303" s="181"/>
      <c r="AM303" s="181"/>
      <c r="AN303" s="181"/>
      <c r="AO303" s="181"/>
      <c r="AP303" s="181"/>
      <c r="AQ303" s="181"/>
      <c r="AR303" s="181"/>
      <c r="AS303" s="181"/>
      <c r="AT303" s="181"/>
      <c r="AU303" s="181"/>
      <c r="AV303" s="181"/>
      <c r="AW303" s="181"/>
      <c r="AX303" s="181"/>
      <c r="AY303" s="181"/>
      <c r="AZ303" s="181"/>
      <c r="BA303" s="181"/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  <c r="BN303" s="32"/>
      <c r="BO303" s="32"/>
      <c r="BP303" s="32"/>
      <c r="BQ303" s="32"/>
      <c r="BR303" s="32"/>
      <c r="BS303" s="32"/>
      <c r="BT303" s="32"/>
      <c r="BU303" s="32"/>
      <c r="BV303" s="32"/>
      <c r="BW303" s="32"/>
      <c r="BX303" s="32"/>
      <c r="BY303" s="32"/>
      <c r="BZ303" s="32"/>
      <c r="CA303" s="32"/>
      <c r="CB303" s="32"/>
      <c r="CC303" s="32"/>
      <c r="CD303" s="32"/>
    </row>
    <row r="304" spans="1:8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81"/>
      <c r="AJ304" s="181"/>
      <c r="AK304" s="181"/>
      <c r="AL304" s="181"/>
      <c r="AM304" s="181"/>
      <c r="AN304" s="181"/>
      <c r="AO304" s="181"/>
      <c r="AP304" s="181"/>
      <c r="AQ304" s="181"/>
      <c r="AR304" s="181"/>
      <c r="AS304" s="181"/>
      <c r="AT304" s="181"/>
      <c r="AU304" s="181"/>
      <c r="AV304" s="181"/>
      <c r="AW304" s="181"/>
      <c r="AX304" s="181"/>
      <c r="AY304" s="181"/>
      <c r="AZ304" s="181"/>
      <c r="BA304" s="181"/>
      <c r="BB304" s="32"/>
      <c r="BC304" s="32"/>
      <c r="BD304" s="32"/>
      <c r="BE304" s="32"/>
      <c r="BF304" s="32"/>
      <c r="BG304" s="32"/>
      <c r="BH304" s="32"/>
      <c r="BI304" s="32"/>
      <c r="BJ304" s="32"/>
      <c r="BK304" s="32"/>
      <c r="BL304" s="32"/>
      <c r="BM304" s="32"/>
      <c r="BN304" s="32"/>
      <c r="BO304" s="32"/>
      <c r="BP304" s="32"/>
      <c r="BQ304" s="32"/>
      <c r="BR304" s="32"/>
      <c r="BS304" s="32"/>
      <c r="BT304" s="32"/>
      <c r="BU304" s="32"/>
      <c r="BV304" s="32"/>
      <c r="BW304" s="32"/>
      <c r="BX304" s="32"/>
      <c r="BY304" s="32"/>
      <c r="BZ304" s="32"/>
      <c r="CA304" s="32"/>
      <c r="CB304" s="32"/>
      <c r="CC304" s="32"/>
      <c r="CD304" s="32"/>
    </row>
    <row r="305" spans="1:8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81"/>
      <c r="AJ305" s="181"/>
      <c r="AK305" s="181"/>
      <c r="AL305" s="181"/>
      <c r="AM305" s="181"/>
      <c r="AN305" s="181"/>
      <c r="AO305" s="181"/>
      <c r="AP305" s="181"/>
      <c r="AQ305" s="181"/>
      <c r="AR305" s="181"/>
      <c r="AS305" s="181"/>
      <c r="AT305" s="181"/>
      <c r="AU305" s="181"/>
      <c r="AV305" s="181"/>
      <c r="AW305" s="181"/>
      <c r="AX305" s="181"/>
      <c r="AY305" s="181"/>
      <c r="AZ305" s="181"/>
      <c r="BA305" s="181"/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  <c r="BN305" s="32"/>
      <c r="BO305" s="32"/>
      <c r="BP305" s="32"/>
      <c r="BQ305" s="32"/>
      <c r="BR305" s="32"/>
      <c r="BS305" s="32"/>
      <c r="BT305" s="32"/>
      <c r="BU305" s="32"/>
      <c r="BV305" s="32"/>
      <c r="BW305" s="32"/>
      <c r="BX305" s="32"/>
      <c r="BY305" s="32"/>
      <c r="BZ305" s="32"/>
      <c r="CA305" s="32"/>
      <c r="CB305" s="32"/>
      <c r="CC305" s="32"/>
      <c r="CD305" s="32"/>
    </row>
    <row r="306" spans="1:8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81"/>
      <c r="AJ306" s="181"/>
      <c r="AK306" s="181"/>
      <c r="AL306" s="181"/>
      <c r="AM306" s="181"/>
      <c r="AN306" s="181"/>
      <c r="AO306" s="181"/>
      <c r="AP306" s="181"/>
      <c r="AQ306" s="181"/>
      <c r="AR306" s="181"/>
      <c r="AS306" s="181"/>
      <c r="AT306" s="181"/>
      <c r="AU306" s="181"/>
      <c r="AV306" s="181"/>
      <c r="AW306" s="181"/>
      <c r="AX306" s="181"/>
      <c r="AY306" s="181"/>
      <c r="AZ306" s="181"/>
      <c r="BA306" s="181"/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/>
      <c r="BM306" s="32"/>
      <c r="BN306" s="32"/>
      <c r="BO306" s="32"/>
      <c r="BP306" s="32"/>
      <c r="BQ306" s="32"/>
      <c r="BR306" s="32"/>
      <c r="BS306" s="32"/>
      <c r="BT306" s="32"/>
      <c r="BU306" s="32"/>
      <c r="BV306" s="32"/>
      <c r="BW306" s="32"/>
      <c r="BX306" s="32"/>
      <c r="BY306" s="32"/>
      <c r="BZ306" s="32"/>
      <c r="CA306" s="32"/>
      <c r="CB306" s="32"/>
      <c r="CC306" s="32"/>
      <c r="CD306" s="32"/>
    </row>
    <row r="307" spans="1:8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81"/>
      <c r="AJ307" s="181"/>
      <c r="AK307" s="181"/>
      <c r="AL307" s="181"/>
      <c r="AM307" s="181"/>
      <c r="AN307" s="181"/>
      <c r="AO307" s="181"/>
      <c r="AP307" s="181"/>
      <c r="AQ307" s="181"/>
      <c r="AR307" s="181"/>
      <c r="AS307" s="181"/>
      <c r="AT307" s="181"/>
      <c r="AU307" s="181"/>
      <c r="AV307" s="181"/>
      <c r="AW307" s="181"/>
      <c r="AX307" s="181"/>
      <c r="AY307" s="181"/>
      <c r="AZ307" s="181"/>
      <c r="BA307" s="181"/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  <c r="BN307" s="32"/>
      <c r="BO307" s="32"/>
      <c r="BP307" s="32"/>
      <c r="BQ307" s="32"/>
      <c r="BR307" s="32"/>
      <c r="BS307" s="32"/>
      <c r="BT307" s="32"/>
      <c r="BU307" s="32"/>
      <c r="BV307" s="32"/>
      <c r="BW307" s="32"/>
      <c r="BX307" s="32"/>
      <c r="BY307" s="32"/>
      <c r="BZ307" s="32"/>
      <c r="CA307" s="32"/>
      <c r="CB307" s="32"/>
      <c r="CC307" s="32"/>
      <c r="CD307" s="32"/>
    </row>
    <row r="308" spans="1:8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81"/>
      <c r="AJ308" s="181"/>
      <c r="AK308" s="181"/>
      <c r="AL308" s="181"/>
      <c r="AM308" s="181"/>
      <c r="AN308" s="181"/>
      <c r="AO308" s="181"/>
      <c r="AP308" s="181"/>
      <c r="AQ308" s="181"/>
      <c r="AR308" s="181"/>
      <c r="AS308" s="181"/>
      <c r="AT308" s="181"/>
      <c r="AU308" s="181"/>
      <c r="AV308" s="181"/>
      <c r="AW308" s="181"/>
      <c r="AX308" s="181"/>
      <c r="AY308" s="181"/>
      <c r="AZ308" s="181"/>
      <c r="BA308" s="181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  <c r="BP308" s="32"/>
      <c r="BQ308" s="32"/>
      <c r="BR308" s="32"/>
      <c r="BS308" s="32"/>
      <c r="BT308" s="32"/>
      <c r="BU308" s="32"/>
      <c r="BV308" s="32"/>
      <c r="BW308" s="32"/>
      <c r="BX308" s="32"/>
      <c r="BY308" s="32"/>
      <c r="BZ308" s="32"/>
      <c r="CA308" s="32"/>
      <c r="CB308" s="32"/>
      <c r="CC308" s="32"/>
      <c r="CD308" s="32"/>
    </row>
    <row r="309" spans="1:8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81"/>
      <c r="AJ309" s="181"/>
      <c r="AK309" s="181"/>
      <c r="AL309" s="181"/>
      <c r="AM309" s="181"/>
      <c r="AN309" s="181"/>
      <c r="AO309" s="181"/>
      <c r="AP309" s="181"/>
      <c r="AQ309" s="181"/>
      <c r="AR309" s="181"/>
      <c r="AS309" s="181"/>
      <c r="AT309" s="181"/>
      <c r="AU309" s="181"/>
      <c r="AV309" s="181"/>
      <c r="AW309" s="181"/>
      <c r="AX309" s="181"/>
      <c r="AY309" s="181"/>
      <c r="AZ309" s="181"/>
      <c r="BA309" s="181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  <c r="BP309" s="32"/>
      <c r="BQ309" s="32"/>
      <c r="BR309" s="32"/>
      <c r="BS309" s="32"/>
      <c r="BT309" s="32"/>
      <c r="BU309" s="32"/>
      <c r="BV309" s="32"/>
      <c r="BW309" s="32"/>
      <c r="BX309" s="32"/>
      <c r="BY309" s="32"/>
      <c r="BZ309" s="32"/>
      <c r="CA309" s="32"/>
      <c r="CB309" s="32"/>
      <c r="CC309" s="32"/>
      <c r="CD309" s="32"/>
    </row>
    <row r="310" spans="1:8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81"/>
      <c r="AJ310" s="181"/>
      <c r="AK310" s="181"/>
      <c r="AL310" s="181"/>
      <c r="AM310" s="181"/>
      <c r="AN310" s="181"/>
      <c r="AO310" s="181"/>
      <c r="AP310" s="181"/>
      <c r="AQ310" s="181"/>
      <c r="AR310" s="181"/>
      <c r="AS310" s="181"/>
      <c r="AT310" s="181"/>
      <c r="AU310" s="181"/>
      <c r="AV310" s="181"/>
      <c r="AW310" s="181"/>
      <c r="AX310" s="181"/>
      <c r="AY310" s="181"/>
      <c r="AZ310" s="181"/>
      <c r="BA310" s="181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  <c r="BP310" s="32"/>
      <c r="BQ310" s="32"/>
      <c r="BR310" s="32"/>
      <c r="BS310" s="32"/>
      <c r="BT310" s="32"/>
      <c r="BU310" s="32"/>
      <c r="BV310" s="32"/>
      <c r="BW310" s="32"/>
      <c r="BX310" s="32"/>
      <c r="BY310" s="32"/>
      <c r="BZ310" s="32"/>
      <c r="CA310" s="32"/>
      <c r="CB310" s="32"/>
      <c r="CC310" s="32"/>
      <c r="CD310" s="32"/>
    </row>
    <row r="311" spans="1:8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81"/>
      <c r="AJ311" s="181"/>
      <c r="AK311" s="181"/>
      <c r="AL311" s="181"/>
      <c r="AM311" s="181"/>
      <c r="AN311" s="181"/>
      <c r="AO311" s="181"/>
      <c r="AP311" s="181"/>
      <c r="AQ311" s="181"/>
      <c r="AR311" s="181"/>
      <c r="AS311" s="181"/>
      <c r="AT311" s="181"/>
      <c r="AU311" s="181"/>
      <c r="AV311" s="181"/>
      <c r="AW311" s="181"/>
      <c r="AX311" s="181"/>
      <c r="AY311" s="181"/>
      <c r="AZ311" s="181"/>
      <c r="BA311" s="181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  <c r="BP311" s="32"/>
      <c r="BQ311" s="32"/>
      <c r="BR311" s="32"/>
      <c r="BS311" s="32"/>
      <c r="BT311" s="32"/>
      <c r="BU311" s="32"/>
      <c r="BV311" s="32"/>
      <c r="BW311" s="32"/>
      <c r="BX311" s="32"/>
      <c r="BY311" s="32"/>
      <c r="BZ311" s="32"/>
      <c r="CA311" s="32"/>
      <c r="CB311" s="32"/>
      <c r="CC311" s="32"/>
      <c r="CD311" s="32"/>
    </row>
    <row r="312" spans="1:8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81"/>
      <c r="AJ312" s="181"/>
      <c r="AK312" s="181"/>
      <c r="AL312" s="181"/>
      <c r="AM312" s="181"/>
      <c r="AN312" s="181"/>
      <c r="AO312" s="181"/>
      <c r="AP312" s="181"/>
      <c r="AQ312" s="181"/>
      <c r="AR312" s="181"/>
      <c r="AS312" s="181"/>
      <c r="AT312" s="181"/>
      <c r="AU312" s="181"/>
      <c r="AV312" s="181"/>
      <c r="AW312" s="181"/>
      <c r="AX312" s="181"/>
      <c r="AY312" s="181"/>
      <c r="AZ312" s="181"/>
      <c r="BA312" s="181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  <c r="BP312" s="32"/>
      <c r="BQ312" s="32"/>
      <c r="BR312" s="32"/>
      <c r="BS312" s="32"/>
      <c r="BT312" s="32"/>
      <c r="BU312" s="32"/>
      <c r="BV312" s="32"/>
      <c r="BW312" s="32"/>
      <c r="BX312" s="32"/>
      <c r="BY312" s="32"/>
      <c r="BZ312" s="32"/>
      <c r="CA312" s="32"/>
      <c r="CB312" s="32"/>
      <c r="CC312" s="32"/>
      <c r="CD312" s="32"/>
    </row>
    <row r="313" spans="1:8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81"/>
      <c r="AJ313" s="181"/>
      <c r="AK313" s="181"/>
      <c r="AL313" s="181"/>
      <c r="AM313" s="181"/>
      <c r="AN313" s="181"/>
      <c r="AO313" s="181"/>
      <c r="AP313" s="181"/>
      <c r="AQ313" s="181"/>
      <c r="AR313" s="181"/>
      <c r="AS313" s="181"/>
      <c r="AT313" s="181"/>
      <c r="AU313" s="181"/>
      <c r="AV313" s="181"/>
      <c r="AW313" s="181"/>
      <c r="AX313" s="181"/>
      <c r="AY313" s="181"/>
      <c r="AZ313" s="181"/>
      <c r="BA313" s="181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  <c r="BP313" s="32"/>
      <c r="BQ313" s="32"/>
      <c r="BR313" s="32"/>
      <c r="BS313" s="32"/>
      <c r="BT313" s="32"/>
      <c r="BU313" s="32"/>
      <c r="BV313" s="32"/>
      <c r="BW313" s="32"/>
      <c r="BX313" s="32"/>
      <c r="BY313" s="32"/>
      <c r="BZ313" s="32"/>
      <c r="CA313" s="32"/>
      <c r="CB313" s="32"/>
      <c r="CC313" s="32"/>
      <c r="CD313" s="32"/>
    </row>
    <row r="314" spans="1:8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81"/>
      <c r="AJ314" s="181"/>
      <c r="AK314" s="181"/>
      <c r="AL314" s="181"/>
      <c r="AM314" s="181"/>
      <c r="AN314" s="181"/>
      <c r="AO314" s="181"/>
      <c r="AP314" s="181"/>
      <c r="AQ314" s="181"/>
      <c r="AR314" s="181"/>
      <c r="AS314" s="181"/>
      <c r="AT314" s="181"/>
      <c r="AU314" s="181"/>
      <c r="AV314" s="181"/>
      <c r="AW314" s="181"/>
      <c r="AX314" s="181"/>
      <c r="AY314" s="181"/>
      <c r="AZ314" s="181"/>
      <c r="BA314" s="181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  <c r="BP314" s="32"/>
      <c r="BQ314" s="32"/>
      <c r="BR314" s="32"/>
      <c r="BS314" s="32"/>
      <c r="BT314" s="32"/>
      <c r="BU314" s="32"/>
      <c r="BV314" s="32"/>
      <c r="BW314" s="32"/>
      <c r="BX314" s="32"/>
      <c r="BY314" s="32"/>
      <c r="BZ314" s="32"/>
      <c r="CA314" s="32"/>
      <c r="CB314" s="32"/>
      <c r="CC314" s="32"/>
      <c r="CD314" s="32"/>
    </row>
    <row r="315" spans="1:8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81"/>
      <c r="AJ315" s="181"/>
      <c r="AK315" s="181"/>
      <c r="AL315" s="181"/>
      <c r="AM315" s="181"/>
      <c r="AN315" s="181"/>
      <c r="AO315" s="181"/>
      <c r="AP315" s="181"/>
      <c r="AQ315" s="181"/>
      <c r="AR315" s="181"/>
      <c r="AS315" s="181"/>
      <c r="AT315" s="181"/>
      <c r="AU315" s="181"/>
      <c r="AV315" s="181"/>
      <c r="AW315" s="181"/>
      <c r="AX315" s="181"/>
      <c r="AY315" s="181"/>
      <c r="AZ315" s="181"/>
      <c r="BA315" s="181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  <c r="BP315" s="32"/>
      <c r="BQ315" s="32"/>
      <c r="BR315" s="32"/>
      <c r="BS315" s="32"/>
      <c r="BT315" s="32"/>
      <c r="BU315" s="32"/>
      <c r="BV315" s="32"/>
      <c r="BW315" s="32"/>
      <c r="BX315" s="32"/>
      <c r="BY315" s="32"/>
      <c r="BZ315" s="32"/>
      <c r="CA315" s="32"/>
      <c r="CB315" s="32"/>
      <c r="CC315" s="32"/>
      <c r="CD315" s="32"/>
    </row>
    <row r="316" spans="1:8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81"/>
      <c r="AJ316" s="181"/>
      <c r="AK316" s="181"/>
      <c r="AL316" s="181"/>
      <c r="AM316" s="181"/>
      <c r="AN316" s="181"/>
      <c r="AO316" s="181"/>
      <c r="AP316" s="181"/>
      <c r="AQ316" s="181"/>
      <c r="AR316" s="181"/>
      <c r="AS316" s="181"/>
      <c r="AT316" s="181"/>
      <c r="AU316" s="181"/>
      <c r="AV316" s="181"/>
      <c r="AW316" s="181"/>
      <c r="AX316" s="181"/>
      <c r="AY316" s="181"/>
      <c r="AZ316" s="181"/>
      <c r="BA316" s="181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  <c r="BP316" s="32"/>
      <c r="BQ316" s="32"/>
      <c r="BR316" s="32"/>
      <c r="BS316" s="32"/>
      <c r="BT316" s="32"/>
      <c r="BU316" s="32"/>
      <c r="BV316" s="32"/>
      <c r="BW316" s="32"/>
      <c r="BX316" s="32"/>
      <c r="BY316" s="32"/>
      <c r="BZ316" s="32"/>
      <c r="CA316" s="32"/>
      <c r="CB316" s="32"/>
      <c r="CC316" s="32"/>
      <c r="CD316" s="32"/>
    </row>
    <row r="317" spans="1:8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81"/>
      <c r="AJ317" s="181"/>
      <c r="AK317" s="181"/>
      <c r="AL317" s="181"/>
      <c r="AM317" s="181"/>
      <c r="AN317" s="181"/>
      <c r="AO317" s="181"/>
      <c r="AP317" s="181"/>
      <c r="AQ317" s="181"/>
      <c r="AR317" s="181"/>
      <c r="AS317" s="181"/>
      <c r="AT317" s="181"/>
      <c r="AU317" s="181"/>
      <c r="AV317" s="181"/>
      <c r="AW317" s="181"/>
      <c r="AX317" s="181"/>
      <c r="AY317" s="181"/>
      <c r="AZ317" s="181"/>
      <c r="BA317" s="181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  <c r="BP317" s="32"/>
      <c r="BQ317" s="32"/>
      <c r="BR317" s="32"/>
      <c r="BS317" s="32"/>
      <c r="BT317" s="32"/>
      <c r="BU317" s="32"/>
      <c r="BV317" s="32"/>
      <c r="BW317" s="32"/>
      <c r="BX317" s="32"/>
      <c r="BY317" s="32"/>
      <c r="BZ317" s="32"/>
      <c r="CA317" s="32"/>
      <c r="CB317" s="32"/>
      <c r="CC317" s="32"/>
      <c r="CD317" s="32"/>
    </row>
    <row r="318" spans="1:8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81"/>
      <c r="AJ318" s="181"/>
      <c r="AK318" s="181"/>
      <c r="AL318" s="181"/>
      <c r="AM318" s="181"/>
      <c r="AN318" s="181"/>
      <c r="AO318" s="181"/>
      <c r="AP318" s="181"/>
      <c r="AQ318" s="181"/>
      <c r="AR318" s="181"/>
      <c r="AS318" s="181"/>
      <c r="AT318" s="181"/>
      <c r="AU318" s="181"/>
      <c r="AV318" s="181"/>
      <c r="AW318" s="181"/>
      <c r="AX318" s="181"/>
      <c r="AY318" s="181"/>
      <c r="AZ318" s="181"/>
      <c r="BA318" s="181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  <c r="BQ318" s="32"/>
      <c r="BR318" s="32"/>
      <c r="BS318" s="32"/>
      <c r="BT318" s="32"/>
      <c r="BU318" s="32"/>
      <c r="BV318" s="32"/>
      <c r="BW318" s="32"/>
      <c r="BX318" s="32"/>
      <c r="BY318" s="32"/>
      <c r="BZ318" s="32"/>
      <c r="CA318" s="32"/>
      <c r="CB318" s="32"/>
      <c r="CC318" s="32"/>
      <c r="CD318" s="32"/>
    </row>
    <row r="319" spans="1:8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81"/>
      <c r="AI319" s="181"/>
      <c r="AJ319" s="181"/>
      <c r="AK319" s="181"/>
      <c r="AL319" s="181"/>
      <c r="AM319" s="181"/>
      <c r="AN319" s="181"/>
      <c r="AO319" s="181"/>
      <c r="AP319" s="181"/>
      <c r="AQ319" s="181"/>
      <c r="AR319" s="181"/>
      <c r="AS319" s="181"/>
      <c r="AT319" s="181"/>
      <c r="AU319" s="181"/>
      <c r="AV319" s="181"/>
      <c r="AW319" s="181"/>
      <c r="AX319" s="181"/>
      <c r="AY319" s="181"/>
      <c r="AZ319" s="181"/>
      <c r="BA319" s="181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  <c r="BP319" s="32"/>
      <c r="BQ319" s="32"/>
      <c r="BR319" s="32"/>
      <c r="BS319" s="32"/>
      <c r="BT319" s="32"/>
      <c r="BU319" s="32"/>
      <c r="BV319" s="32"/>
      <c r="BW319" s="32"/>
      <c r="BX319" s="32"/>
      <c r="BY319" s="32"/>
      <c r="BZ319" s="32"/>
      <c r="CA319" s="32"/>
      <c r="CB319" s="32"/>
      <c r="CC319" s="32"/>
      <c r="CD319" s="32"/>
    </row>
    <row r="320" spans="1:8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181"/>
      <c r="S320" s="181"/>
      <c r="T320" s="181"/>
      <c r="U320" s="181"/>
      <c r="V320" s="181"/>
      <c r="W320" s="181"/>
      <c r="X320" s="181"/>
      <c r="Y320" s="181"/>
      <c r="Z320" s="181"/>
      <c r="AA320" s="181"/>
      <c r="AB320" s="181"/>
      <c r="AC320" s="181"/>
      <c r="AD320" s="181"/>
      <c r="AE320" s="181"/>
      <c r="AF320" s="181"/>
      <c r="AG320" s="181"/>
      <c r="AH320" s="181"/>
      <c r="AI320" s="181"/>
      <c r="AJ320" s="181"/>
      <c r="AK320" s="181"/>
      <c r="AL320" s="181"/>
      <c r="AM320" s="181"/>
      <c r="AN320" s="181"/>
      <c r="AO320" s="181"/>
      <c r="AP320" s="181"/>
      <c r="AQ320" s="181"/>
      <c r="AR320" s="181"/>
      <c r="AS320" s="181"/>
      <c r="AT320" s="181"/>
      <c r="AU320" s="181"/>
      <c r="AV320" s="181"/>
      <c r="AW320" s="181"/>
      <c r="AX320" s="181"/>
      <c r="AY320" s="181"/>
      <c r="AZ320" s="181"/>
      <c r="BA320" s="181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  <c r="BP320" s="32"/>
      <c r="BQ320" s="32"/>
      <c r="BR320" s="32"/>
      <c r="BS320" s="32"/>
      <c r="BT320" s="32"/>
      <c r="BU320" s="32"/>
      <c r="BV320" s="32"/>
      <c r="BW320" s="32"/>
      <c r="BX320" s="32"/>
      <c r="BY320" s="32"/>
      <c r="BZ320" s="32"/>
      <c r="CA320" s="32"/>
      <c r="CB320" s="32"/>
      <c r="CC320" s="32"/>
      <c r="CD320" s="32"/>
    </row>
    <row r="321" spans="1:8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181"/>
      <c r="S321" s="181"/>
      <c r="T321" s="181"/>
      <c r="U321" s="181"/>
      <c r="V321" s="181"/>
      <c r="W321" s="181"/>
      <c r="X321" s="181"/>
      <c r="Y321" s="181"/>
      <c r="Z321" s="181"/>
      <c r="AA321" s="181"/>
      <c r="AB321" s="181"/>
      <c r="AC321" s="181"/>
      <c r="AD321" s="181"/>
      <c r="AE321" s="181"/>
      <c r="AF321" s="181"/>
      <c r="AG321" s="181"/>
      <c r="AH321" s="181"/>
      <c r="AI321" s="181"/>
      <c r="AJ321" s="181"/>
      <c r="AK321" s="181"/>
      <c r="AL321" s="181"/>
      <c r="AM321" s="181"/>
      <c r="AN321" s="181"/>
      <c r="AO321" s="181"/>
      <c r="AP321" s="181"/>
      <c r="AQ321" s="181"/>
      <c r="AR321" s="181"/>
      <c r="AS321" s="181"/>
      <c r="AT321" s="181"/>
      <c r="AU321" s="181"/>
      <c r="AV321" s="181"/>
      <c r="AW321" s="181"/>
      <c r="AX321" s="181"/>
      <c r="AY321" s="181"/>
      <c r="AZ321" s="181"/>
      <c r="BA321" s="181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/>
      <c r="BO321" s="32"/>
      <c r="BP321" s="32"/>
      <c r="BQ321" s="32"/>
      <c r="BR321" s="32"/>
      <c r="BS321" s="32"/>
      <c r="BT321" s="32"/>
      <c r="BU321" s="32"/>
      <c r="BV321" s="32"/>
      <c r="BW321" s="32"/>
      <c r="BX321" s="32"/>
      <c r="BY321" s="32"/>
      <c r="BZ321" s="32"/>
      <c r="CA321" s="32"/>
      <c r="CB321" s="32"/>
      <c r="CC321" s="32"/>
      <c r="CD321" s="32"/>
    </row>
    <row r="322" spans="1:8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181"/>
      <c r="S322" s="181"/>
      <c r="T322" s="181"/>
      <c r="U322" s="181"/>
      <c r="V322" s="181"/>
      <c r="W322" s="181"/>
      <c r="X322" s="181"/>
      <c r="Y322" s="181"/>
      <c r="Z322" s="181"/>
      <c r="AA322" s="181"/>
      <c r="AB322" s="181"/>
      <c r="AC322" s="181"/>
      <c r="AD322" s="181"/>
      <c r="AE322" s="181"/>
      <c r="AF322" s="181"/>
      <c r="AG322" s="181"/>
      <c r="AH322" s="181"/>
      <c r="AI322" s="181"/>
      <c r="AJ322" s="181"/>
      <c r="AK322" s="181"/>
      <c r="AL322" s="181"/>
      <c r="AM322" s="181"/>
      <c r="AN322" s="181"/>
      <c r="AO322" s="181"/>
      <c r="AP322" s="181"/>
      <c r="AQ322" s="181"/>
      <c r="AR322" s="181"/>
      <c r="AS322" s="181"/>
      <c r="AT322" s="181"/>
      <c r="AU322" s="181"/>
      <c r="AV322" s="181"/>
      <c r="AW322" s="181"/>
      <c r="AX322" s="181"/>
      <c r="AY322" s="181"/>
      <c r="AZ322" s="181"/>
      <c r="BA322" s="181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  <c r="BP322" s="32"/>
      <c r="BQ322" s="32"/>
      <c r="BR322" s="32"/>
      <c r="BS322" s="32"/>
      <c r="BT322" s="32"/>
      <c r="BU322" s="32"/>
      <c r="BV322" s="32"/>
      <c r="BW322" s="32"/>
      <c r="BX322" s="32"/>
      <c r="BY322" s="32"/>
      <c r="BZ322" s="32"/>
      <c r="CA322" s="32"/>
      <c r="CB322" s="32"/>
      <c r="CC322" s="32"/>
      <c r="CD322" s="32"/>
    </row>
    <row r="323" spans="1:8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181"/>
      <c r="S323" s="181"/>
      <c r="T323" s="181"/>
      <c r="U323" s="181"/>
      <c r="V323" s="181"/>
      <c r="W323" s="181"/>
      <c r="X323" s="181"/>
      <c r="Y323" s="181"/>
      <c r="Z323" s="181"/>
      <c r="AA323" s="181"/>
      <c r="AB323" s="181"/>
      <c r="AC323" s="181"/>
      <c r="AD323" s="181"/>
      <c r="AE323" s="181"/>
      <c r="AF323" s="181"/>
      <c r="AG323" s="181"/>
      <c r="AH323" s="181"/>
      <c r="AI323" s="181"/>
      <c r="AJ323" s="181"/>
      <c r="AK323" s="181"/>
      <c r="AL323" s="181"/>
      <c r="AM323" s="181"/>
      <c r="AN323" s="181"/>
      <c r="AO323" s="181"/>
      <c r="AP323" s="181"/>
      <c r="AQ323" s="181"/>
      <c r="AR323" s="181"/>
      <c r="AS323" s="181"/>
      <c r="AT323" s="181"/>
      <c r="AU323" s="181"/>
      <c r="AV323" s="181"/>
      <c r="AW323" s="181"/>
      <c r="AX323" s="181"/>
      <c r="AY323" s="181"/>
      <c r="AZ323" s="181"/>
      <c r="BA323" s="181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/>
      <c r="BP323" s="32"/>
      <c r="BQ323" s="32"/>
      <c r="BR323" s="32"/>
      <c r="BS323" s="32"/>
      <c r="BT323" s="32"/>
      <c r="BU323" s="32"/>
      <c r="BV323" s="32"/>
      <c r="BW323" s="32"/>
      <c r="BX323" s="32"/>
      <c r="BY323" s="32"/>
      <c r="BZ323" s="32"/>
      <c r="CA323" s="32"/>
      <c r="CB323" s="32"/>
      <c r="CC323" s="32"/>
      <c r="CD323" s="32"/>
    </row>
    <row r="324" spans="1:8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181"/>
      <c r="S324" s="181"/>
      <c r="T324" s="181"/>
      <c r="U324" s="181"/>
      <c r="V324" s="181"/>
      <c r="W324" s="181"/>
      <c r="X324" s="181"/>
      <c r="Y324" s="181"/>
      <c r="Z324" s="181"/>
      <c r="AA324" s="181"/>
      <c r="AB324" s="181"/>
      <c r="AC324" s="181"/>
      <c r="AD324" s="181"/>
      <c r="AE324" s="181"/>
      <c r="AF324" s="181"/>
      <c r="AG324" s="181"/>
      <c r="AH324" s="181"/>
      <c r="AI324" s="181"/>
      <c r="AJ324" s="181"/>
      <c r="AK324" s="181"/>
      <c r="AL324" s="181"/>
      <c r="AM324" s="181"/>
      <c r="AN324" s="181"/>
      <c r="AO324" s="181"/>
      <c r="AP324" s="181"/>
      <c r="AQ324" s="181"/>
      <c r="AR324" s="181"/>
      <c r="AS324" s="181"/>
      <c r="AT324" s="181"/>
      <c r="AU324" s="181"/>
      <c r="AV324" s="181"/>
      <c r="AW324" s="181"/>
      <c r="AX324" s="181"/>
      <c r="AY324" s="181"/>
      <c r="AZ324" s="181"/>
      <c r="BA324" s="181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  <c r="BP324" s="32"/>
      <c r="BQ324" s="32"/>
      <c r="BR324" s="32"/>
      <c r="BS324" s="32"/>
      <c r="BT324" s="32"/>
      <c r="BU324" s="32"/>
      <c r="BV324" s="32"/>
      <c r="BW324" s="32"/>
      <c r="BX324" s="32"/>
      <c r="BY324" s="32"/>
      <c r="BZ324" s="32"/>
      <c r="CA324" s="32"/>
      <c r="CB324" s="32"/>
      <c r="CC324" s="32"/>
      <c r="CD324" s="32"/>
    </row>
    <row r="325" spans="1:8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181"/>
      <c r="S325" s="181"/>
      <c r="T325" s="181"/>
      <c r="U325" s="181"/>
      <c r="V325" s="181"/>
      <c r="W325" s="181"/>
      <c r="X325" s="181"/>
      <c r="Y325" s="181"/>
      <c r="Z325" s="181"/>
      <c r="AA325" s="181"/>
      <c r="AB325" s="181"/>
      <c r="AC325" s="181"/>
      <c r="AD325" s="181"/>
      <c r="AE325" s="181"/>
      <c r="AF325" s="181"/>
      <c r="AG325" s="181"/>
      <c r="AH325" s="181"/>
      <c r="AI325" s="181"/>
      <c r="AJ325" s="181"/>
      <c r="AK325" s="181"/>
      <c r="AL325" s="181"/>
      <c r="AM325" s="181"/>
      <c r="AN325" s="181"/>
      <c r="AO325" s="181"/>
      <c r="AP325" s="181"/>
      <c r="AQ325" s="181"/>
      <c r="AR325" s="181"/>
      <c r="AS325" s="181"/>
      <c r="AT325" s="181"/>
      <c r="AU325" s="181"/>
      <c r="AV325" s="181"/>
      <c r="AW325" s="181"/>
      <c r="AX325" s="181"/>
      <c r="AY325" s="181"/>
      <c r="AZ325" s="181"/>
      <c r="BA325" s="181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  <c r="BP325" s="32"/>
      <c r="BQ325" s="32"/>
      <c r="BR325" s="32"/>
      <c r="BS325" s="32"/>
      <c r="BT325" s="32"/>
      <c r="BU325" s="32"/>
      <c r="BV325" s="32"/>
      <c r="BW325" s="32"/>
      <c r="BX325" s="32"/>
      <c r="BY325" s="32"/>
      <c r="BZ325" s="32"/>
      <c r="CA325" s="32"/>
      <c r="CB325" s="32"/>
      <c r="CC325" s="32"/>
      <c r="CD325" s="32"/>
    </row>
    <row r="326" spans="1:8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181"/>
      <c r="S326" s="181"/>
      <c r="T326" s="181"/>
      <c r="U326" s="181"/>
      <c r="V326" s="181"/>
      <c r="W326" s="181"/>
      <c r="X326" s="181"/>
      <c r="Y326" s="181"/>
      <c r="Z326" s="181"/>
      <c r="AA326" s="181"/>
      <c r="AB326" s="181"/>
      <c r="AC326" s="181"/>
      <c r="AD326" s="181"/>
      <c r="AE326" s="181"/>
      <c r="AF326" s="181"/>
      <c r="AG326" s="181"/>
      <c r="AH326" s="181"/>
      <c r="AI326" s="181"/>
      <c r="AJ326" s="181"/>
      <c r="AK326" s="181"/>
      <c r="AL326" s="181"/>
      <c r="AM326" s="181"/>
      <c r="AN326" s="181"/>
      <c r="AO326" s="181"/>
      <c r="AP326" s="181"/>
      <c r="AQ326" s="181"/>
      <c r="AR326" s="181"/>
      <c r="AS326" s="181"/>
      <c r="AT326" s="181"/>
      <c r="AU326" s="181"/>
      <c r="AV326" s="181"/>
      <c r="AW326" s="181"/>
      <c r="AX326" s="181"/>
      <c r="AY326" s="181"/>
      <c r="AZ326" s="181"/>
      <c r="BA326" s="181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  <c r="BP326" s="32"/>
      <c r="BQ326" s="32"/>
      <c r="BR326" s="32"/>
      <c r="BS326" s="32"/>
      <c r="BT326" s="32"/>
      <c r="BU326" s="32"/>
      <c r="BV326" s="32"/>
      <c r="BW326" s="32"/>
      <c r="BX326" s="32"/>
      <c r="BY326" s="32"/>
      <c r="BZ326" s="32"/>
      <c r="CA326" s="32"/>
      <c r="CB326" s="32"/>
      <c r="CC326" s="32"/>
      <c r="CD326" s="32"/>
    </row>
    <row r="327" spans="1:8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81"/>
      <c r="AJ327" s="181"/>
      <c r="AK327" s="181"/>
      <c r="AL327" s="181"/>
      <c r="AM327" s="181"/>
      <c r="AN327" s="181"/>
      <c r="AO327" s="181"/>
      <c r="AP327" s="181"/>
      <c r="AQ327" s="181"/>
      <c r="AR327" s="181"/>
      <c r="AS327" s="181"/>
      <c r="AT327" s="181"/>
      <c r="AU327" s="181"/>
      <c r="AV327" s="181"/>
      <c r="AW327" s="181"/>
      <c r="AX327" s="181"/>
      <c r="AY327" s="181"/>
      <c r="AZ327" s="181"/>
      <c r="BA327" s="181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  <c r="BP327" s="32"/>
      <c r="BQ327" s="32"/>
      <c r="BR327" s="32"/>
      <c r="BS327" s="32"/>
      <c r="BT327" s="32"/>
      <c r="BU327" s="32"/>
      <c r="BV327" s="32"/>
      <c r="BW327" s="32"/>
      <c r="BX327" s="32"/>
      <c r="BY327" s="32"/>
      <c r="BZ327" s="32"/>
      <c r="CA327" s="32"/>
      <c r="CB327" s="32"/>
      <c r="CC327" s="32"/>
      <c r="CD327" s="32"/>
    </row>
    <row r="328" spans="1:8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81"/>
      <c r="AJ328" s="181"/>
      <c r="AK328" s="181"/>
      <c r="AL328" s="181"/>
      <c r="AM328" s="181"/>
      <c r="AN328" s="181"/>
      <c r="AO328" s="181"/>
      <c r="AP328" s="181"/>
      <c r="AQ328" s="181"/>
      <c r="AR328" s="181"/>
      <c r="AS328" s="181"/>
      <c r="AT328" s="181"/>
      <c r="AU328" s="181"/>
      <c r="AV328" s="181"/>
      <c r="AW328" s="181"/>
      <c r="AX328" s="181"/>
      <c r="AY328" s="181"/>
      <c r="AZ328" s="181"/>
      <c r="BA328" s="181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  <c r="BP328" s="32"/>
      <c r="BQ328" s="32"/>
      <c r="BR328" s="32"/>
      <c r="BS328" s="32"/>
      <c r="BT328" s="32"/>
      <c r="BU328" s="32"/>
      <c r="BV328" s="32"/>
      <c r="BW328" s="32"/>
      <c r="BX328" s="32"/>
      <c r="BY328" s="32"/>
      <c r="BZ328" s="32"/>
      <c r="CA328" s="32"/>
      <c r="CB328" s="32"/>
      <c r="CC328" s="32"/>
      <c r="CD328" s="32"/>
    </row>
    <row r="329" spans="1:8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81"/>
      <c r="AJ329" s="181"/>
      <c r="AK329" s="181"/>
      <c r="AL329" s="181"/>
      <c r="AM329" s="181"/>
      <c r="AN329" s="181"/>
      <c r="AO329" s="181"/>
      <c r="AP329" s="181"/>
      <c r="AQ329" s="181"/>
      <c r="AR329" s="181"/>
      <c r="AS329" s="181"/>
      <c r="AT329" s="181"/>
      <c r="AU329" s="181"/>
      <c r="AV329" s="181"/>
      <c r="AW329" s="181"/>
      <c r="AX329" s="181"/>
      <c r="AY329" s="181"/>
      <c r="AZ329" s="181"/>
      <c r="BA329" s="181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  <c r="BP329" s="32"/>
      <c r="BQ329" s="32"/>
      <c r="BR329" s="32"/>
      <c r="BS329" s="32"/>
      <c r="BT329" s="32"/>
      <c r="BU329" s="32"/>
      <c r="BV329" s="32"/>
      <c r="BW329" s="32"/>
      <c r="BX329" s="32"/>
      <c r="BY329" s="32"/>
      <c r="BZ329" s="32"/>
      <c r="CA329" s="32"/>
      <c r="CB329" s="32"/>
      <c r="CC329" s="32"/>
      <c r="CD329" s="32"/>
    </row>
    <row r="330" spans="1:8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81"/>
      <c r="AJ330" s="181"/>
      <c r="AK330" s="181"/>
      <c r="AL330" s="181"/>
      <c r="AM330" s="181"/>
      <c r="AN330" s="181"/>
      <c r="AO330" s="181"/>
      <c r="AP330" s="181"/>
      <c r="AQ330" s="181"/>
      <c r="AR330" s="181"/>
      <c r="AS330" s="181"/>
      <c r="AT330" s="181"/>
      <c r="AU330" s="181"/>
      <c r="AV330" s="181"/>
      <c r="AW330" s="181"/>
      <c r="AX330" s="181"/>
      <c r="AY330" s="181"/>
      <c r="AZ330" s="181"/>
      <c r="BA330" s="181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  <c r="BP330" s="32"/>
      <c r="BQ330" s="32"/>
      <c r="BR330" s="32"/>
      <c r="BS330" s="32"/>
      <c r="BT330" s="32"/>
      <c r="BU330" s="32"/>
      <c r="BV330" s="32"/>
      <c r="BW330" s="32"/>
      <c r="BX330" s="32"/>
      <c r="BY330" s="32"/>
      <c r="BZ330" s="32"/>
      <c r="CA330" s="32"/>
      <c r="CB330" s="32"/>
      <c r="CC330" s="32"/>
      <c r="CD330" s="32"/>
    </row>
    <row r="331" spans="1:8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81"/>
      <c r="AJ331" s="181"/>
      <c r="AK331" s="181"/>
      <c r="AL331" s="181"/>
      <c r="AM331" s="181"/>
      <c r="AN331" s="181"/>
      <c r="AO331" s="181"/>
      <c r="AP331" s="181"/>
      <c r="AQ331" s="181"/>
      <c r="AR331" s="181"/>
      <c r="AS331" s="181"/>
      <c r="AT331" s="181"/>
      <c r="AU331" s="181"/>
      <c r="AV331" s="181"/>
      <c r="AW331" s="181"/>
      <c r="AX331" s="181"/>
      <c r="AY331" s="181"/>
      <c r="AZ331" s="181"/>
      <c r="BA331" s="181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  <c r="BP331" s="32"/>
      <c r="BQ331" s="32"/>
      <c r="BR331" s="32"/>
      <c r="BS331" s="32"/>
      <c r="BT331" s="32"/>
      <c r="BU331" s="32"/>
      <c r="BV331" s="32"/>
      <c r="BW331" s="32"/>
      <c r="BX331" s="32"/>
      <c r="BY331" s="32"/>
      <c r="BZ331" s="32"/>
      <c r="CA331" s="32"/>
      <c r="CB331" s="32"/>
      <c r="CC331" s="32"/>
      <c r="CD331" s="32"/>
    </row>
    <row r="332" spans="1:8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81"/>
      <c r="AJ332" s="181"/>
      <c r="AK332" s="181"/>
      <c r="AL332" s="181"/>
      <c r="AM332" s="181"/>
      <c r="AN332" s="181"/>
      <c r="AO332" s="181"/>
      <c r="AP332" s="181"/>
      <c r="AQ332" s="181"/>
      <c r="AR332" s="181"/>
      <c r="AS332" s="181"/>
      <c r="AT332" s="181"/>
      <c r="AU332" s="181"/>
      <c r="AV332" s="181"/>
      <c r="AW332" s="181"/>
      <c r="AX332" s="181"/>
      <c r="AY332" s="181"/>
      <c r="AZ332" s="181"/>
      <c r="BA332" s="181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  <c r="BP332" s="32"/>
      <c r="BQ332" s="32"/>
      <c r="BR332" s="32"/>
      <c r="BS332" s="32"/>
      <c r="BT332" s="32"/>
      <c r="BU332" s="32"/>
      <c r="BV332" s="32"/>
      <c r="BW332" s="32"/>
      <c r="BX332" s="32"/>
      <c r="BY332" s="32"/>
      <c r="BZ332" s="32"/>
      <c r="CA332" s="32"/>
      <c r="CB332" s="32"/>
      <c r="CC332" s="32"/>
      <c r="CD332" s="32"/>
    </row>
    <row r="333" spans="1:8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81"/>
      <c r="AJ333" s="181"/>
      <c r="AK333" s="181"/>
      <c r="AL333" s="181"/>
      <c r="AM333" s="181"/>
      <c r="AN333" s="181"/>
      <c r="AO333" s="181"/>
      <c r="AP333" s="181"/>
      <c r="AQ333" s="181"/>
      <c r="AR333" s="181"/>
      <c r="AS333" s="181"/>
      <c r="AT333" s="181"/>
      <c r="AU333" s="181"/>
      <c r="AV333" s="181"/>
      <c r="AW333" s="181"/>
      <c r="AX333" s="181"/>
      <c r="AY333" s="181"/>
      <c r="AZ333" s="181"/>
      <c r="BA333" s="181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  <c r="BP333" s="32"/>
      <c r="BQ333" s="32"/>
      <c r="BR333" s="32"/>
      <c r="BS333" s="32"/>
      <c r="BT333" s="32"/>
      <c r="BU333" s="32"/>
      <c r="BV333" s="32"/>
      <c r="BW333" s="32"/>
      <c r="BX333" s="32"/>
      <c r="BY333" s="32"/>
      <c r="BZ333" s="32"/>
      <c r="CA333" s="32"/>
      <c r="CB333" s="32"/>
      <c r="CC333" s="32"/>
      <c r="CD333" s="32"/>
    </row>
    <row r="334" spans="1:8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81"/>
      <c r="AJ334" s="181"/>
      <c r="AK334" s="181"/>
      <c r="AL334" s="181"/>
      <c r="AM334" s="181"/>
      <c r="AN334" s="181"/>
      <c r="AO334" s="181"/>
      <c r="AP334" s="181"/>
      <c r="AQ334" s="181"/>
      <c r="AR334" s="181"/>
      <c r="AS334" s="181"/>
      <c r="AT334" s="181"/>
      <c r="AU334" s="181"/>
      <c r="AV334" s="181"/>
      <c r="AW334" s="181"/>
      <c r="AX334" s="181"/>
      <c r="AY334" s="181"/>
      <c r="AZ334" s="181"/>
      <c r="BA334" s="181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  <c r="BP334" s="32"/>
      <c r="BQ334" s="32"/>
      <c r="BR334" s="32"/>
      <c r="BS334" s="32"/>
      <c r="BT334" s="32"/>
      <c r="BU334" s="32"/>
      <c r="BV334" s="32"/>
      <c r="BW334" s="32"/>
      <c r="BX334" s="32"/>
      <c r="BY334" s="32"/>
      <c r="BZ334" s="32"/>
      <c r="CA334" s="32"/>
      <c r="CB334" s="32"/>
      <c r="CC334" s="32"/>
      <c r="CD334" s="32"/>
    </row>
    <row r="335" spans="1:8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81"/>
      <c r="AJ335" s="181"/>
      <c r="AK335" s="181"/>
      <c r="AL335" s="181"/>
      <c r="AM335" s="181"/>
      <c r="AN335" s="181"/>
      <c r="AO335" s="181"/>
      <c r="AP335" s="181"/>
      <c r="AQ335" s="181"/>
      <c r="AR335" s="181"/>
      <c r="AS335" s="181"/>
      <c r="AT335" s="181"/>
      <c r="AU335" s="181"/>
      <c r="AV335" s="181"/>
      <c r="AW335" s="181"/>
      <c r="AX335" s="181"/>
      <c r="AY335" s="181"/>
      <c r="AZ335" s="181"/>
      <c r="BA335" s="181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  <c r="BP335" s="32"/>
      <c r="BQ335" s="32"/>
      <c r="BR335" s="32"/>
      <c r="BS335" s="32"/>
      <c r="BT335" s="32"/>
      <c r="BU335" s="32"/>
      <c r="BV335" s="32"/>
      <c r="BW335" s="32"/>
      <c r="BX335" s="32"/>
      <c r="BY335" s="32"/>
      <c r="BZ335" s="32"/>
      <c r="CA335" s="32"/>
      <c r="CB335" s="32"/>
      <c r="CC335" s="32"/>
      <c r="CD335" s="32"/>
    </row>
    <row r="336" spans="1:8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81"/>
      <c r="AJ336" s="181"/>
      <c r="AK336" s="181"/>
      <c r="AL336" s="181"/>
      <c r="AM336" s="181"/>
      <c r="AN336" s="181"/>
      <c r="AO336" s="181"/>
      <c r="AP336" s="181"/>
      <c r="AQ336" s="181"/>
      <c r="AR336" s="181"/>
      <c r="AS336" s="181"/>
      <c r="AT336" s="181"/>
      <c r="AU336" s="181"/>
      <c r="AV336" s="181"/>
      <c r="AW336" s="181"/>
      <c r="AX336" s="181"/>
      <c r="AY336" s="181"/>
      <c r="AZ336" s="181"/>
      <c r="BA336" s="181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  <c r="BP336" s="32"/>
      <c r="BQ336" s="32"/>
      <c r="BR336" s="32"/>
      <c r="BS336" s="32"/>
      <c r="BT336" s="32"/>
      <c r="BU336" s="32"/>
      <c r="BV336" s="32"/>
      <c r="BW336" s="32"/>
      <c r="BX336" s="32"/>
      <c r="BY336" s="32"/>
      <c r="BZ336" s="32"/>
      <c r="CA336" s="32"/>
      <c r="CB336" s="32"/>
      <c r="CC336" s="32"/>
      <c r="CD336" s="32"/>
    </row>
    <row r="337" spans="1:8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81"/>
      <c r="AJ337" s="181"/>
      <c r="AK337" s="181"/>
      <c r="AL337" s="181"/>
      <c r="AM337" s="181"/>
      <c r="AN337" s="181"/>
      <c r="AO337" s="181"/>
      <c r="AP337" s="181"/>
      <c r="AQ337" s="181"/>
      <c r="AR337" s="181"/>
      <c r="AS337" s="181"/>
      <c r="AT337" s="181"/>
      <c r="AU337" s="181"/>
      <c r="AV337" s="181"/>
      <c r="AW337" s="181"/>
      <c r="AX337" s="181"/>
      <c r="AY337" s="181"/>
      <c r="AZ337" s="181"/>
      <c r="BA337" s="181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  <c r="BP337" s="32"/>
      <c r="BQ337" s="32"/>
      <c r="BR337" s="32"/>
      <c r="BS337" s="32"/>
      <c r="BT337" s="32"/>
      <c r="BU337" s="32"/>
      <c r="BV337" s="32"/>
      <c r="BW337" s="32"/>
      <c r="BX337" s="32"/>
      <c r="BY337" s="32"/>
      <c r="BZ337" s="32"/>
      <c r="CA337" s="32"/>
      <c r="CB337" s="32"/>
      <c r="CC337" s="32"/>
      <c r="CD337" s="32"/>
    </row>
    <row r="338" spans="1:8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81"/>
      <c r="AJ338" s="181"/>
      <c r="AK338" s="181"/>
      <c r="AL338" s="181"/>
      <c r="AM338" s="181"/>
      <c r="AN338" s="181"/>
      <c r="AO338" s="181"/>
      <c r="AP338" s="181"/>
      <c r="AQ338" s="181"/>
      <c r="AR338" s="181"/>
      <c r="AS338" s="181"/>
      <c r="AT338" s="181"/>
      <c r="AU338" s="181"/>
      <c r="AV338" s="181"/>
      <c r="AW338" s="181"/>
      <c r="AX338" s="181"/>
      <c r="AY338" s="181"/>
      <c r="AZ338" s="181"/>
      <c r="BA338" s="181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  <c r="BQ338" s="32"/>
      <c r="BR338" s="32"/>
      <c r="BS338" s="32"/>
      <c r="BT338" s="32"/>
      <c r="BU338" s="32"/>
      <c r="BV338" s="32"/>
      <c r="BW338" s="32"/>
      <c r="BX338" s="32"/>
      <c r="BY338" s="32"/>
      <c r="BZ338" s="32"/>
      <c r="CA338" s="32"/>
      <c r="CB338" s="32"/>
      <c r="CC338" s="32"/>
      <c r="CD338" s="32"/>
    </row>
    <row r="339" spans="1:8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81"/>
      <c r="AJ339" s="181"/>
      <c r="AK339" s="181"/>
      <c r="AL339" s="181"/>
      <c r="AM339" s="181"/>
      <c r="AN339" s="181"/>
      <c r="AO339" s="181"/>
      <c r="AP339" s="181"/>
      <c r="AQ339" s="181"/>
      <c r="AR339" s="181"/>
      <c r="AS339" s="181"/>
      <c r="AT339" s="181"/>
      <c r="AU339" s="181"/>
      <c r="AV339" s="181"/>
      <c r="AW339" s="181"/>
      <c r="AX339" s="181"/>
      <c r="AY339" s="181"/>
      <c r="AZ339" s="181"/>
      <c r="BA339" s="181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  <c r="BP339" s="32"/>
      <c r="BQ339" s="32"/>
      <c r="BR339" s="32"/>
      <c r="BS339" s="32"/>
      <c r="BT339" s="32"/>
      <c r="BU339" s="32"/>
      <c r="BV339" s="32"/>
      <c r="BW339" s="32"/>
      <c r="BX339" s="32"/>
      <c r="BY339" s="32"/>
      <c r="BZ339" s="32"/>
      <c r="CA339" s="32"/>
      <c r="CB339" s="32"/>
      <c r="CC339" s="32"/>
      <c r="CD339" s="32"/>
    </row>
    <row r="340" spans="1:8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81"/>
      <c r="AJ340" s="181"/>
      <c r="AK340" s="181"/>
      <c r="AL340" s="181"/>
      <c r="AM340" s="181"/>
      <c r="AN340" s="181"/>
      <c r="AO340" s="181"/>
      <c r="AP340" s="181"/>
      <c r="AQ340" s="181"/>
      <c r="AR340" s="181"/>
      <c r="AS340" s="181"/>
      <c r="AT340" s="181"/>
      <c r="AU340" s="181"/>
      <c r="AV340" s="181"/>
      <c r="AW340" s="181"/>
      <c r="AX340" s="181"/>
      <c r="AY340" s="181"/>
      <c r="AZ340" s="181"/>
      <c r="BA340" s="181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  <c r="BP340" s="32"/>
      <c r="BQ340" s="32"/>
      <c r="BR340" s="32"/>
      <c r="BS340" s="32"/>
      <c r="BT340" s="32"/>
      <c r="BU340" s="32"/>
      <c r="BV340" s="32"/>
      <c r="BW340" s="32"/>
      <c r="BX340" s="32"/>
      <c r="BY340" s="32"/>
      <c r="BZ340" s="32"/>
      <c r="CA340" s="32"/>
      <c r="CB340" s="32"/>
      <c r="CC340" s="32"/>
      <c r="CD340" s="32"/>
    </row>
    <row r="341" spans="1:8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81"/>
      <c r="AJ341" s="181"/>
      <c r="AK341" s="181"/>
      <c r="AL341" s="181"/>
      <c r="AM341" s="181"/>
      <c r="AN341" s="181"/>
      <c r="AO341" s="181"/>
      <c r="AP341" s="181"/>
      <c r="AQ341" s="181"/>
      <c r="AR341" s="181"/>
      <c r="AS341" s="181"/>
      <c r="AT341" s="181"/>
      <c r="AU341" s="181"/>
      <c r="AV341" s="181"/>
      <c r="AW341" s="181"/>
      <c r="AX341" s="181"/>
      <c r="AY341" s="181"/>
      <c r="AZ341" s="181"/>
      <c r="BA341" s="181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  <c r="BP341" s="32"/>
      <c r="BQ341" s="32"/>
      <c r="BR341" s="32"/>
      <c r="BS341" s="32"/>
      <c r="BT341" s="32"/>
      <c r="BU341" s="32"/>
      <c r="BV341" s="32"/>
      <c r="BW341" s="32"/>
      <c r="BX341" s="32"/>
      <c r="BY341" s="32"/>
      <c r="BZ341" s="32"/>
      <c r="CA341" s="32"/>
      <c r="CB341" s="32"/>
      <c r="CC341" s="32"/>
      <c r="CD341" s="32"/>
    </row>
    <row r="342" spans="1:8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81"/>
      <c r="AI342" s="181"/>
      <c r="AJ342" s="181"/>
      <c r="AK342" s="181"/>
      <c r="AL342" s="181"/>
      <c r="AM342" s="181"/>
      <c r="AN342" s="181"/>
      <c r="AO342" s="181"/>
      <c r="AP342" s="181"/>
      <c r="AQ342" s="181"/>
      <c r="AR342" s="181"/>
      <c r="AS342" s="181"/>
      <c r="AT342" s="181"/>
      <c r="AU342" s="181"/>
      <c r="AV342" s="181"/>
      <c r="AW342" s="181"/>
      <c r="AX342" s="181"/>
      <c r="AY342" s="181"/>
      <c r="AZ342" s="181"/>
      <c r="BA342" s="181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  <c r="BP342" s="32"/>
      <c r="BQ342" s="32"/>
      <c r="BR342" s="32"/>
      <c r="BS342" s="32"/>
      <c r="BT342" s="32"/>
      <c r="BU342" s="32"/>
      <c r="BV342" s="32"/>
      <c r="BW342" s="32"/>
      <c r="BX342" s="32"/>
      <c r="BY342" s="32"/>
      <c r="BZ342" s="32"/>
      <c r="CA342" s="32"/>
      <c r="CB342" s="32"/>
      <c r="CC342" s="32"/>
      <c r="CD342" s="32"/>
    </row>
    <row r="343" spans="1:8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181"/>
      <c r="S343" s="181"/>
      <c r="T343" s="181"/>
      <c r="U343" s="181"/>
      <c r="V343" s="181"/>
      <c r="W343" s="181"/>
      <c r="X343" s="181"/>
      <c r="Y343" s="181"/>
      <c r="Z343" s="181"/>
      <c r="AA343" s="181"/>
      <c r="AB343" s="181"/>
      <c r="AC343" s="181"/>
      <c r="AD343" s="181"/>
      <c r="AE343" s="181"/>
      <c r="AF343" s="181"/>
      <c r="AG343" s="181"/>
      <c r="AH343" s="181"/>
      <c r="AI343" s="181"/>
      <c r="AJ343" s="181"/>
      <c r="AK343" s="181"/>
      <c r="AL343" s="181"/>
      <c r="AM343" s="181"/>
      <c r="AN343" s="181"/>
      <c r="AO343" s="181"/>
      <c r="AP343" s="181"/>
      <c r="AQ343" s="181"/>
      <c r="AR343" s="181"/>
      <c r="AS343" s="181"/>
      <c r="AT343" s="181"/>
      <c r="AU343" s="181"/>
      <c r="AV343" s="181"/>
      <c r="AW343" s="181"/>
      <c r="AX343" s="181"/>
      <c r="AY343" s="181"/>
      <c r="AZ343" s="181"/>
      <c r="BA343" s="181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  <c r="BP343" s="32"/>
      <c r="BQ343" s="32"/>
      <c r="BR343" s="32"/>
      <c r="BS343" s="32"/>
      <c r="BT343" s="32"/>
      <c r="BU343" s="32"/>
      <c r="BV343" s="32"/>
      <c r="BW343" s="32"/>
      <c r="BX343" s="32"/>
      <c r="BY343" s="32"/>
      <c r="BZ343" s="32"/>
      <c r="CA343" s="32"/>
      <c r="CB343" s="32"/>
      <c r="CC343" s="32"/>
      <c r="CD343" s="32"/>
    </row>
    <row r="344" spans="1:8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181"/>
      <c r="S344" s="181"/>
      <c r="T344" s="181"/>
      <c r="U344" s="181"/>
      <c r="V344" s="181"/>
      <c r="W344" s="181"/>
      <c r="X344" s="181"/>
      <c r="Y344" s="181"/>
      <c r="Z344" s="181"/>
      <c r="AA344" s="181"/>
      <c r="AB344" s="181"/>
      <c r="AC344" s="181"/>
      <c r="AD344" s="181"/>
      <c r="AE344" s="181"/>
      <c r="AF344" s="181"/>
      <c r="AG344" s="181"/>
      <c r="AH344" s="181"/>
      <c r="AI344" s="181"/>
      <c r="AJ344" s="181"/>
      <c r="AK344" s="181"/>
      <c r="AL344" s="181"/>
      <c r="AM344" s="181"/>
      <c r="AN344" s="181"/>
      <c r="AO344" s="181"/>
      <c r="AP344" s="181"/>
      <c r="AQ344" s="181"/>
      <c r="AR344" s="181"/>
      <c r="AS344" s="181"/>
      <c r="AT344" s="181"/>
      <c r="AU344" s="181"/>
      <c r="AV344" s="181"/>
      <c r="AW344" s="181"/>
      <c r="AX344" s="181"/>
      <c r="AY344" s="181"/>
      <c r="AZ344" s="181"/>
      <c r="BA344" s="181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  <c r="BP344" s="32"/>
      <c r="BQ344" s="32"/>
      <c r="BR344" s="32"/>
      <c r="BS344" s="32"/>
      <c r="BT344" s="32"/>
      <c r="BU344" s="32"/>
      <c r="BV344" s="32"/>
      <c r="BW344" s="32"/>
      <c r="BX344" s="32"/>
      <c r="BY344" s="32"/>
      <c r="BZ344" s="32"/>
      <c r="CA344" s="32"/>
      <c r="CB344" s="32"/>
      <c r="CC344" s="32"/>
      <c r="CD344" s="32"/>
    </row>
    <row r="345" spans="1:8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181"/>
      <c r="S345" s="181"/>
      <c r="T345" s="181"/>
      <c r="U345" s="181"/>
      <c r="V345" s="181"/>
      <c r="W345" s="181"/>
      <c r="X345" s="181"/>
      <c r="Y345" s="181"/>
      <c r="Z345" s="181"/>
      <c r="AA345" s="181"/>
      <c r="AB345" s="181"/>
      <c r="AC345" s="181"/>
      <c r="AD345" s="181"/>
      <c r="AE345" s="181"/>
      <c r="AF345" s="181"/>
      <c r="AG345" s="181"/>
      <c r="AH345" s="181"/>
      <c r="AI345" s="181"/>
      <c r="AJ345" s="181"/>
      <c r="AK345" s="181"/>
      <c r="AL345" s="181"/>
      <c r="AM345" s="181"/>
      <c r="AN345" s="181"/>
      <c r="AO345" s="181"/>
      <c r="AP345" s="181"/>
      <c r="AQ345" s="181"/>
      <c r="AR345" s="181"/>
      <c r="AS345" s="181"/>
      <c r="AT345" s="181"/>
      <c r="AU345" s="181"/>
      <c r="AV345" s="181"/>
      <c r="AW345" s="181"/>
      <c r="AX345" s="181"/>
      <c r="AY345" s="181"/>
      <c r="AZ345" s="181"/>
      <c r="BA345" s="181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  <c r="BP345" s="32"/>
      <c r="BQ345" s="32"/>
      <c r="BR345" s="32"/>
      <c r="BS345" s="32"/>
      <c r="BT345" s="32"/>
      <c r="BU345" s="32"/>
      <c r="BV345" s="32"/>
      <c r="BW345" s="32"/>
      <c r="BX345" s="32"/>
      <c r="BY345" s="32"/>
      <c r="BZ345" s="32"/>
      <c r="CA345" s="32"/>
      <c r="CB345" s="32"/>
      <c r="CC345" s="32"/>
      <c r="CD345" s="32"/>
    </row>
    <row r="346" spans="1:8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181"/>
      <c r="S346" s="181"/>
      <c r="T346" s="181"/>
      <c r="U346" s="181"/>
      <c r="V346" s="181"/>
      <c r="W346" s="181"/>
      <c r="X346" s="181"/>
      <c r="Y346" s="181"/>
      <c r="Z346" s="181"/>
      <c r="AA346" s="181"/>
      <c r="AB346" s="181"/>
      <c r="AC346" s="181"/>
      <c r="AD346" s="181"/>
      <c r="AE346" s="181"/>
      <c r="AF346" s="181"/>
      <c r="AG346" s="181"/>
      <c r="AH346" s="181"/>
      <c r="AI346" s="181"/>
      <c r="AJ346" s="181"/>
      <c r="AK346" s="181"/>
      <c r="AL346" s="181"/>
      <c r="AM346" s="181"/>
      <c r="AN346" s="181"/>
      <c r="AO346" s="181"/>
      <c r="AP346" s="181"/>
      <c r="AQ346" s="181"/>
      <c r="AR346" s="181"/>
      <c r="AS346" s="181"/>
      <c r="AT346" s="181"/>
      <c r="AU346" s="181"/>
      <c r="AV346" s="181"/>
      <c r="AW346" s="181"/>
      <c r="AX346" s="181"/>
      <c r="AY346" s="181"/>
      <c r="AZ346" s="181"/>
      <c r="BA346" s="181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  <c r="BP346" s="32"/>
      <c r="BQ346" s="32"/>
      <c r="BR346" s="32"/>
      <c r="BS346" s="32"/>
      <c r="BT346" s="32"/>
      <c r="BU346" s="32"/>
      <c r="BV346" s="32"/>
      <c r="BW346" s="32"/>
      <c r="BX346" s="32"/>
      <c r="BY346" s="32"/>
      <c r="BZ346" s="32"/>
      <c r="CA346" s="32"/>
      <c r="CB346" s="32"/>
      <c r="CC346" s="32"/>
      <c r="CD346" s="32"/>
    </row>
    <row r="347" spans="1:8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181"/>
      <c r="S347" s="181"/>
      <c r="T347" s="181"/>
      <c r="U347" s="181"/>
      <c r="V347" s="181"/>
      <c r="W347" s="181"/>
      <c r="X347" s="181"/>
      <c r="Y347" s="181"/>
      <c r="Z347" s="181"/>
      <c r="AA347" s="181"/>
      <c r="AB347" s="181"/>
      <c r="AC347" s="181"/>
      <c r="AD347" s="181"/>
      <c r="AE347" s="181"/>
      <c r="AF347" s="181"/>
      <c r="AG347" s="181"/>
      <c r="AH347" s="181"/>
      <c r="AI347" s="181"/>
      <c r="AJ347" s="181"/>
      <c r="AK347" s="181"/>
      <c r="AL347" s="181"/>
      <c r="AM347" s="181"/>
      <c r="AN347" s="181"/>
      <c r="AO347" s="181"/>
      <c r="AP347" s="181"/>
      <c r="AQ347" s="181"/>
      <c r="AR347" s="181"/>
      <c r="AS347" s="181"/>
      <c r="AT347" s="181"/>
      <c r="AU347" s="181"/>
      <c r="AV347" s="181"/>
      <c r="AW347" s="181"/>
      <c r="AX347" s="181"/>
      <c r="AY347" s="181"/>
      <c r="AZ347" s="181"/>
      <c r="BA347" s="181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  <c r="BP347" s="32"/>
      <c r="BQ347" s="32"/>
      <c r="BR347" s="32"/>
      <c r="BS347" s="32"/>
      <c r="BT347" s="32"/>
      <c r="BU347" s="32"/>
      <c r="BV347" s="32"/>
      <c r="BW347" s="32"/>
      <c r="BX347" s="32"/>
      <c r="BY347" s="32"/>
      <c r="BZ347" s="32"/>
      <c r="CA347" s="32"/>
      <c r="CB347" s="32"/>
      <c r="CC347" s="32"/>
      <c r="CD347" s="32"/>
    </row>
    <row r="348" spans="1:8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181"/>
      <c r="S348" s="181"/>
      <c r="T348" s="181"/>
      <c r="U348" s="181"/>
      <c r="V348" s="181"/>
      <c r="W348" s="181"/>
      <c r="X348" s="181"/>
      <c r="Y348" s="181"/>
      <c r="Z348" s="181"/>
      <c r="AA348" s="181"/>
      <c r="AB348" s="181"/>
      <c r="AC348" s="181"/>
      <c r="AD348" s="181"/>
      <c r="AE348" s="181"/>
      <c r="AF348" s="181"/>
      <c r="AG348" s="181"/>
      <c r="AH348" s="181"/>
      <c r="AI348" s="181"/>
      <c r="AJ348" s="181"/>
      <c r="AK348" s="181"/>
      <c r="AL348" s="181"/>
      <c r="AM348" s="181"/>
      <c r="AN348" s="181"/>
      <c r="AO348" s="181"/>
      <c r="AP348" s="181"/>
      <c r="AQ348" s="181"/>
      <c r="AR348" s="181"/>
      <c r="AS348" s="181"/>
      <c r="AT348" s="181"/>
      <c r="AU348" s="181"/>
      <c r="AV348" s="181"/>
      <c r="AW348" s="181"/>
      <c r="AX348" s="181"/>
      <c r="AY348" s="181"/>
      <c r="AZ348" s="181"/>
      <c r="BA348" s="181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  <c r="BP348" s="32"/>
      <c r="BQ348" s="32"/>
      <c r="BR348" s="32"/>
      <c r="BS348" s="32"/>
      <c r="BT348" s="32"/>
      <c r="BU348" s="32"/>
      <c r="BV348" s="32"/>
      <c r="BW348" s="32"/>
      <c r="BX348" s="32"/>
      <c r="BY348" s="32"/>
      <c r="BZ348" s="32"/>
      <c r="CA348" s="32"/>
      <c r="CB348" s="32"/>
      <c r="CC348" s="32"/>
      <c r="CD348" s="32"/>
    </row>
    <row r="349" spans="1:8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181"/>
      <c r="S349" s="181"/>
      <c r="T349" s="181"/>
      <c r="U349" s="181"/>
      <c r="V349" s="181"/>
      <c r="W349" s="181"/>
      <c r="X349" s="181"/>
      <c r="Y349" s="181"/>
      <c r="Z349" s="181"/>
      <c r="AA349" s="181"/>
      <c r="AB349" s="181"/>
      <c r="AC349" s="181"/>
      <c r="AD349" s="181"/>
      <c r="AE349" s="181"/>
      <c r="AF349" s="181"/>
      <c r="AG349" s="181"/>
      <c r="AH349" s="181"/>
      <c r="AI349" s="181"/>
      <c r="AJ349" s="181"/>
      <c r="AK349" s="181"/>
      <c r="AL349" s="181"/>
      <c r="AM349" s="181"/>
      <c r="AN349" s="181"/>
      <c r="AO349" s="181"/>
      <c r="AP349" s="181"/>
      <c r="AQ349" s="181"/>
      <c r="AR349" s="181"/>
      <c r="AS349" s="181"/>
      <c r="AT349" s="181"/>
      <c r="AU349" s="181"/>
      <c r="AV349" s="181"/>
      <c r="AW349" s="181"/>
      <c r="AX349" s="181"/>
      <c r="AY349" s="181"/>
      <c r="AZ349" s="181"/>
      <c r="BA349" s="181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  <c r="BP349" s="32"/>
      <c r="BQ349" s="32"/>
      <c r="BR349" s="32"/>
      <c r="BS349" s="32"/>
      <c r="BT349" s="32"/>
      <c r="BU349" s="32"/>
      <c r="BV349" s="32"/>
      <c r="BW349" s="32"/>
      <c r="BX349" s="32"/>
      <c r="BY349" s="32"/>
      <c r="BZ349" s="32"/>
      <c r="CA349" s="32"/>
      <c r="CB349" s="32"/>
      <c r="CC349" s="32"/>
      <c r="CD349" s="32"/>
    </row>
    <row r="350" spans="1:8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81"/>
      <c r="AJ350" s="181"/>
      <c r="AK350" s="181"/>
      <c r="AL350" s="181"/>
      <c r="AM350" s="181"/>
      <c r="AN350" s="181"/>
      <c r="AO350" s="181"/>
      <c r="AP350" s="181"/>
      <c r="AQ350" s="181"/>
      <c r="AR350" s="181"/>
      <c r="AS350" s="181"/>
      <c r="AT350" s="181"/>
      <c r="AU350" s="181"/>
      <c r="AV350" s="181"/>
      <c r="AW350" s="181"/>
      <c r="AX350" s="181"/>
      <c r="AY350" s="181"/>
      <c r="AZ350" s="181"/>
      <c r="BA350" s="181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  <c r="BP350" s="32"/>
      <c r="BQ350" s="32"/>
      <c r="BR350" s="32"/>
      <c r="BS350" s="32"/>
      <c r="BT350" s="32"/>
      <c r="BU350" s="32"/>
      <c r="BV350" s="32"/>
      <c r="BW350" s="32"/>
      <c r="BX350" s="32"/>
      <c r="BY350" s="32"/>
      <c r="BZ350" s="32"/>
      <c r="CA350" s="32"/>
      <c r="CB350" s="32"/>
      <c r="CC350" s="32"/>
      <c r="CD350" s="32"/>
    </row>
    <row r="351" spans="1:8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81"/>
      <c r="AJ351" s="181"/>
      <c r="AK351" s="181"/>
      <c r="AL351" s="181"/>
      <c r="AM351" s="181"/>
      <c r="AN351" s="181"/>
      <c r="AO351" s="181"/>
      <c r="AP351" s="181"/>
      <c r="AQ351" s="181"/>
      <c r="AR351" s="181"/>
      <c r="AS351" s="181"/>
      <c r="AT351" s="181"/>
      <c r="AU351" s="181"/>
      <c r="AV351" s="181"/>
      <c r="AW351" s="181"/>
      <c r="AX351" s="181"/>
      <c r="AY351" s="181"/>
      <c r="AZ351" s="181"/>
      <c r="BA351" s="181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  <c r="BN351" s="32"/>
      <c r="BO351" s="32"/>
      <c r="BP351" s="32"/>
      <c r="BQ351" s="32"/>
      <c r="BR351" s="32"/>
      <c r="BS351" s="32"/>
      <c r="BT351" s="32"/>
      <c r="BU351" s="32"/>
      <c r="BV351" s="32"/>
      <c r="BW351" s="32"/>
      <c r="BX351" s="32"/>
      <c r="BY351" s="32"/>
      <c r="BZ351" s="32"/>
      <c r="CA351" s="32"/>
      <c r="CB351" s="32"/>
      <c r="CC351" s="32"/>
      <c r="CD351" s="32"/>
    </row>
    <row r="352" spans="1:8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81"/>
      <c r="AJ352" s="181"/>
      <c r="AK352" s="181"/>
      <c r="AL352" s="181"/>
      <c r="AM352" s="181"/>
      <c r="AN352" s="181"/>
      <c r="AO352" s="181"/>
      <c r="AP352" s="181"/>
      <c r="AQ352" s="181"/>
      <c r="AR352" s="181"/>
      <c r="AS352" s="181"/>
      <c r="AT352" s="181"/>
      <c r="AU352" s="181"/>
      <c r="AV352" s="181"/>
      <c r="AW352" s="181"/>
      <c r="AX352" s="181"/>
      <c r="AY352" s="181"/>
      <c r="AZ352" s="181"/>
      <c r="BA352" s="181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32"/>
      <c r="BN352" s="32"/>
      <c r="BO352" s="32"/>
      <c r="BP352" s="32"/>
      <c r="BQ352" s="32"/>
      <c r="BR352" s="32"/>
      <c r="BS352" s="32"/>
      <c r="BT352" s="32"/>
      <c r="BU352" s="32"/>
      <c r="BV352" s="32"/>
      <c r="BW352" s="32"/>
      <c r="BX352" s="32"/>
      <c r="BY352" s="32"/>
      <c r="BZ352" s="32"/>
      <c r="CA352" s="32"/>
      <c r="CB352" s="32"/>
      <c r="CC352" s="32"/>
      <c r="CD352" s="32"/>
    </row>
    <row r="353" spans="1:8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81"/>
      <c r="AJ353" s="181"/>
      <c r="AK353" s="181"/>
      <c r="AL353" s="181"/>
      <c r="AM353" s="181"/>
      <c r="AN353" s="181"/>
      <c r="AO353" s="181"/>
      <c r="AP353" s="181"/>
      <c r="AQ353" s="181"/>
      <c r="AR353" s="181"/>
      <c r="AS353" s="181"/>
      <c r="AT353" s="181"/>
      <c r="AU353" s="181"/>
      <c r="AV353" s="181"/>
      <c r="AW353" s="181"/>
      <c r="AX353" s="181"/>
      <c r="AY353" s="181"/>
      <c r="AZ353" s="181"/>
      <c r="BA353" s="181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32"/>
      <c r="BN353" s="32"/>
      <c r="BO353" s="32"/>
      <c r="BP353" s="32"/>
      <c r="BQ353" s="32"/>
      <c r="BR353" s="32"/>
      <c r="BS353" s="32"/>
      <c r="BT353" s="32"/>
      <c r="BU353" s="32"/>
      <c r="BV353" s="32"/>
      <c r="BW353" s="32"/>
      <c r="BX353" s="32"/>
      <c r="BY353" s="32"/>
      <c r="BZ353" s="32"/>
      <c r="CA353" s="32"/>
      <c r="CB353" s="32"/>
      <c r="CC353" s="32"/>
      <c r="CD353" s="32"/>
    </row>
    <row r="354" spans="1:8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81"/>
      <c r="AJ354" s="181"/>
      <c r="AK354" s="181"/>
      <c r="AL354" s="181"/>
      <c r="AM354" s="181"/>
      <c r="AN354" s="181"/>
      <c r="AO354" s="181"/>
      <c r="AP354" s="181"/>
      <c r="AQ354" s="181"/>
      <c r="AR354" s="181"/>
      <c r="AS354" s="181"/>
      <c r="AT354" s="181"/>
      <c r="AU354" s="181"/>
      <c r="AV354" s="181"/>
      <c r="AW354" s="181"/>
      <c r="AX354" s="181"/>
      <c r="AY354" s="181"/>
      <c r="AZ354" s="181"/>
      <c r="BA354" s="181"/>
      <c r="BB354" s="32"/>
      <c r="BC354" s="32"/>
      <c r="BD354" s="32"/>
      <c r="BE354" s="32"/>
      <c r="BF354" s="32"/>
      <c r="BG354" s="32"/>
      <c r="BH354" s="32"/>
      <c r="BI354" s="32"/>
      <c r="BJ354" s="32"/>
      <c r="BK354" s="32"/>
      <c r="BL354" s="32"/>
      <c r="BM354" s="32"/>
      <c r="BN354" s="32"/>
      <c r="BO354" s="32"/>
      <c r="BP354" s="32"/>
      <c r="BQ354" s="32"/>
      <c r="BR354" s="32"/>
      <c r="BS354" s="32"/>
      <c r="BT354" s="32"/>
      <c r="BU354" s="32"/>
      <c r="BV354" s="32"/>
      <c r="BW354" s="32"/>
      <c r="BX354" s="32"/>
      <c r="BY354" s="32"/>
      <c r="BZ354" s="32"/>
      <c r="CA354" s="32"/>
      <c r="CB354" s="32"/>
      <c r="CC354" s="32"/>
      <c r="CD354" s="32"/>
    </row>
    <row r="355" spans="1:8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81"/>
      <c r="AJ355" s="181"/>
      <c r="AK355" s="181"/>
      <c r="AL355" s="181"/>
      <c r="AM355" s="181"/>
      <c r="AN355" s="181"/>
      <c r="AO355" s="181"/>
      <c r="AP355" s="181"/>
      <c r="AQ355" s="181"/>
      <c r="AR355" s="181"/>
      <c r="AS355" s="181"/>
      <c r="AT355" s="181"/>
      <c r="AU355" s="181"/>
      <c r="AV355" s="181"/>
      <c r="AW355" s="181"/>
      <c r="AX355" s="181"/>
      <c r="AY355" s="181"/>
      <c r="AZ355" s="181"/>
      <c r="BA355" s="181"/>
      <c r="BB355" s="32"/>
      <c r="BC355" s="32"/>
      <c r="BD355" s="32"/>
      <c r="BE355" s="32"/>
      <c r="BF355" s="32"/>
      <c r="BG355" s="32"/>
      <c r="BH355" s="32"/>
      <c r="BI355" s="32"/>
      <c r="BJ355" s="32"/>
      <c r="BK355" s="32"/>
      <c r="BL355" s="32"/>
      <c r="BM355" s="32"/>
      <c r="BN355" s="32"/>
      <c r="BO355" s="32"/>
      <c r="BP355" s="32"/>
      <c r="BQ355" s="32"/>
      <c r="BR355" s="32"/>
      <c r="BS355" s="32"/>
      <c r="BT355" s="32"/>
      <c r="BU355" s="32"/>
      <c r="BV355" s="32"/>
      <c r="BW355" s="32"/>
      <c r="BX355" s="32"/>
      <c r="BY355" s="32"/>
      <c r="BZ355" s="32"/>
      <c r="CA355" s="32"/>
      <c r="CB355" s="32"/>
      <c r="CC355" s="32"/>
      <c r="CD355" s="32"/>
    </row>
    <row r="356" spans="1:8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81"/>
      <c r="AJ356" s="181"/>
      <c r="AK356" s="181"/>
      <c r="AL356" s="181"/>
      <c r="AM356" s="181"/>
      <c r="AN356" s="181"/>
      <c r="AO356" s="181"/>
      <c r="AP356" s="181"/>
      <c r="AQ356" s="181"/>
      <c r="AR356" s="181"/>
      <c r="AS356" s="181"/>
      <c r="AT356" s="181"/>
      <c r="AU356" s="181"/>
      <c r="AV356" s="181"/>
      <c r="AW356" s="181"/>
      <c r="AX356" s="181"/>
      <c r="AY356" s="181"/>
      <c r="AZ356" s="181"/>
      <c r="BA356" s="181"/>
      <c r="BB356" s="32"/>
      <c r="BC356" s="32"/>
      <c r="BD356" s="32"/>
      <c r="BE356" s="32"/>
      <c r="BF356" s="32"/>
      <c r="BG356" s="32"/>
      <c r="BH356" s="32"/>
      <c r="BI356" s="32"/>
      <c r="BJ356" s="32"/>
      <c r="BK356" s="32"/>
      <c r="BL356" s="32"/>
      <c r="BM356" s="32"/>
      <c r="BN356" s="32"/>
      <c r="BO356" s="32"/>
      <c r="BP356" s="32"/>
      <c r="BQ356" s="32"/>
      <c r="BR356" s="32"/>
      <c r="BS356" s="32"/>
      <c r="BT356" s="32"/>
      <c r="BU356" s="32"/>
      <c r="BV356" s="32"/>
      <c r="BW356" s="32"/>
      <c r="BX356" s="32"/>
      <c r="BY356" s="32"/>
      <c r="BZ356" s="32"/>
      <c r="CA356" s="32"/>
      <c r="CB356" s="32"/>
      <c r="CC356" s="32"/>
      <c r="CD356" s="32"/>
    </row>
    <row r="357" spans="1:8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81"/>
      <c r="AJ357" s="181"/>
      <c r="AK357" s="181"/>
      <c r="AL357" s="181"/>
      <c r="AM357" s="181"/>
      <c r="AN357" s="181"/>
      <c r="AO357" s="181"/>
      <c r="AP357" s="181"/>
      <c r="AQ357" s="181"/>
      <c r="AR357" s="181"/>
      <c r="AS357" s="181"/>
      <c r="AT357" s="181"/>
      <c r="AU357" s="181"/>
      <c r="AV357" s="181"/>
      <c r="AW357" s="181"/>
      <c r="AX357" s="181"/>
      <c r="AY357" s="181"/>
      <c r="AZ357" s="181"/>
      <c r="BA357" s="181"/>
      <c r="BB357" s="32"/>
      <c r="BC357" s="32"/>
      <c r="BD357" s="32"/>
      <c r="BE357" s="32"/>
      <c r="BF357" s="32"/>
      <c r="BG357" s="32"/>
      <c r="BH357" s="32"/>
      <c r="BI357" s="32"/>
      <c r="BJ357" s="32"/>
      <c r="BK357" s="32"/>
      <c r="BL357" s="32"/>
      <c r="BM357" s="32"/>
      <c r="BN357" s="32"/>
      <c r="BO357" s="32"/>
      <c r="BP357" s="32"/>
      <c r="BQ357" s="32"/>
      <c r="BR357" s="32"/>
      <c r="BS357" s="32"/>
      <c r="BT357" s="32"/>
      <c r="BU357" s="32"/>
      <c r="BV357" s="32"/>
      <c r="BW357" s="32"/>
      <c r="BX357" s="32"/>
      <c r="BY357" s="32"/>
      <c r="BZ357" s="32"/>
      <c r="CA357" s="32"/>
      <c r="CB357" s="32"/>
      <c r="CC357" s="32"/>
      <c r="CD357" s="32"/>
    </row>
    <row r="358" spans="1:8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81"/>
      <c r="AJ358" s="181"/>
      <c r="AK358" s="181"/>
      <c r="AL358" s="181"/>
      <c r="AM358" s="181"/>
      <c r="AN358" s="181"/>
      <c r="AO358" s="181"/>
      <c r="AP358" s="181"/>
      <c r="AQ358" s="181"/>
      <c r="AR358" s="181"/>
      <c r="AS358" s="181"/>
      <c r="AT358" s="181"/>
      <c r="AU358" s="181"/>
      <c r="AV358" s="181"/>
      <c r="AW358" s="181"/>
      <c r="AX358" s="181"/>
      <c r="AY358" s="181"/>
      <c r="AZ358" s="181"/>
      <c r="BA358" s="181"/>
      <c r="BB358" s="32"/>
      <c r="BC358" s="32"/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  <c r="BN358" s="32"/>
      <c r="BO358" s="32"/>
      <c r="BP358" s="32"/>
      <c r="BQ358" s="32"/>
      <c r="BR358" s="32"/>
      <c r="BS358" s="32"/>
      <c r="BT358" s="32"/>
      <c r="BU358" s="32"/>
      <c r="BV358" s="32"/>
      <c r="BW358" s="32"/>
      <c r="BX358" s="32"/>
      <c r="BY358" s="32"/>
      <c r="BZ358" s="32"/>
      <c r="CA358" s="32"/>
      <c r="CB358" s="32"/>
      <c r="CC358" s="32"/>
      <c r="CD358" s="32"/>
    </row>
    <row r="359" spans="1:8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81"/>
      <c r="AJ359" s="181"/>
      <c r="AK359" s="181"/>
      <c r="AL359" s="181"/>
      <c r="AM359" s="181"/>
      <c r="AN359" s="181"/>
      <c r="AO359" s="181"/>
      <c r="AP359" s="181"/>
      <c r="AQ359" s="181"/>
      <c r="AR359" s="181"/>
      <c r="AS359" s="181"/>
      <c r="AT359" s="181"/>
      <c r="AU359" s="181"/>
      <c r="AV359" s="181"/>
      <c r="AW359" s="181"/>
      <c r="AX359" s="181"/>
      <c r="AY359" s="181"/>
      <c r="AZ359" s="181"/>
      <c r="BA359" s="181"/>
      <c r="BB359" s="32"/>
      <c r="BC359" s="32"/>
      <c r="BD359" s="32"/>
      <c r="BE359" s="32"/>
      <c r="BF359" s="32"/>
      <c r="BG359" s="32"/>
      <c r="BH359" s="32"/>
      <c r="BI359" s="32"/>
      <c r="BJ359" s="32"/>
      <c r="BK359" s="32"/>
      <c r="BL359" s="32"/>
      <c r="BM359" s="32"/>
      <c r="BN359" s="32"/>
      <c r="BO359" s="32"/>
      <c r="BP359" s="32"/>
      <c r="BQ359" s="32"/>
      <c r="BR359" s="32"/>
      <c r="BS359" s="32"/>
      <c r="BT359" s="32"/>
      <c r="BU359" s="32"/>
      <c r="BV359" s="32"/>
      <c r="BW359" s="32"/>
      <c r="BX359" s="32"/>
      <c r="BY359" s="32"/>
      <c r="BZ359" s="32"/>
      <c r="CA359" s="32"/>
      <c r="CB359" s="32"/>
      <c r="CC359" s="32"/>
      <c r="CD359" s="32"/>
    </row>
    <row r="360" spans="1:8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81"/>
      <c r="AJ360" s="181"/>
      <c r="AK360" s="181"/>
      <c r="AL360" s="181"/>
      <c r="AM360" s="181"/>
      <c r="AN360" s="181"/>
      <c r="AO360" s="181"/>
      <c r="AP360" s="181"/>
      <c r="AQ360" s="181"/>
      <c r="AR360" s="181"/>
      <c r="AS360" s="181"/>
      <c r="AT360" s="181"/>
      <c r="AU360" s="181"/>
      <c r="AV360" s="181"/>
      <c r="AW360" s="181"/>
      <c r="AX360" s="181"/>
      <c r="AY360" s="181"/>
      <c r="AZ360" s="181"/>
      <c r="BA360" s="181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  <c r="BN360" s="32"/>
      <c r="BO360" s="32"/>
      <c r="BP360" s="32"/>
      <c r="BQ360" s="32"/>
      <c r="BR360" s="32"/>
      <c r="BS360" s="32"/>
      <c r="BT360" s="32"/>
      <c r="BU360" s="32"/>
      <c r="BV360" s="32"/>
      <c r="BW360" s="32"/>
      <c r="BX360" s="32"/>
      <c r="BY360" s="32"/>
      <c r="BZ360" s="32"/>
      <c r="CA360" s="32"/>
      <c r="CB360" s="32"/>
      <c r="CC360" s="32"/>
      <c r="CD360" s="32"/>
    </row>
    <row r="361" spans="1:8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81"/>
      <c r="AJ361" s="181"/>
      <c r="AK361" s="181"/>
      <c r="AL361" s="181"/>
      <c r="AM361" s="181"/>
      <c r="AN361" s="181"/>
      <c r="AO361" s="181"/>
      <c r="AP361" s="181"/>
      <c r="AQ361" s="181"/>
      <c r="AR361" s="181"/>
      <c r="AS361" s="181"/>
      <c r="AT361" s="181"/>
      <c r="AU361" s="181"/>
      <c r="AV361" s="181"/>
      <c r="AW361" s="181"/>
      <c r="AX361" s="181"/>
      <c r="AY361" s="181"/>
      <c r="AZ361" s="181"/>
      <c r="BA361" s="181"/>
      <c r="BB361" s="32"/>
      <c r="BC361" s="32"/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  <c r="BN361" s="32"/>
      <c r="BO361" s="32"/>
      <c r="BP361" s="32"/>
      <c r="BQ361" s="32"/>
      <c r="BR361" s="32"/>
      <c r="BS361" s="32"/>
      <c r="BT361" s="32"/>
      <c r="BU361" s="32"/>
      <c r="BV361" s="32"/>
      <c r="BW361" s="32"/>
      <c r="BX361" s="32"/>
      <c r="BY361" s="32"/>
      <c r="BZ361" s="32"/>
      <c r="CA361" s="32"/>
      <c r="CB361" s="32"/>
      <c r="CC361" s="32"/>
      <c r="CD361" s="32"/>
    </row>
    <row r="362" spans="1:8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81"/>
      <c r="AJ362" s="181"/>
      <c r="AK362" s="181"/>
      <c r="AL362" s="181"/>
      <c r="AM362" s="181"/>
      <c r="AN362" s="181"/>
      <c r="AO362" s="181"/>
      <c r="AP362" s="181"/>
      <c r="AQ362" s="181"/>
      <c r="AR362" s="181"/>
      <c r="AS362" s="181"/>
      <c r="AT362" s="181"/>
      <c r="AU362" s="181"/>
      <c r="AV362" s="181"/>
      <c r="AW362" s="181"/>
      <c r="AX362" s="181"/>
      <c r="AY362" s="181"/>
      <c r="AZ362" s="181"/>
      <c r="BA362" s="181"/>
      <c r="BB362" s="32"/>
      <c r="BC362" s="32"/>
      <c r="BD362" s="32"/>
      <c r="BE362" s="32"/>
      <c r="BF362" s="32"/>
      <c r="BG362" s="32"/>
      <c r="BH362" s="32"/>
      <c r="BI362" s="32"/>
      <c r="BJ362" s="32"/>
      <c r="BK362" s="32"/>
      <c r="BL362" s="32"/>
      <c r="BM362" s="32"/>
      <c r="BN362" s="32"/>
      <c r="BO362" s="32"/>
      <c r="BP362" s="32"/>
      <c r="BQ362" s="32"/>
      <c r="BR362" s="32"/>
      <c r="BS362" s="32"/>
      <c r="BT362" s="32"/>
      <c r="BU362" s="32"/>
      <c r="BV362" s="32"/>
      <c r="BW362" s="32"/>
      <c r="BX362" s="32"/>
      <c r="BY362" s="32"/>
      <c r="BZ362" s="32"/>
      <c r="CA362" s="32"/>
      <c r="CB362" s="32"/>
      <c r="CC362" s="32"/>
      <c r="CD362" s="32"/>
    </row>
    <row r="363" spans="1:8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81"/>
      <c r="AJ363" s="181"/>
      <c r="AK363" s="181"/>
      <c r="AL363" s="181"/>
      <c r="AM363" s="181"/>
      <c r="AN363" s="181"/>
      <c r="AO363" s="181"/>
      <c r="AP363" s="181"/>
      <c r="AQ363" s="181"/>
      <c r="AR363" s="181"/>
      <c r="AS363" s="181"/>
      <c r="AT363" s="181"/>
      <c r="AU363" s="181"/>
      <c r="AV363" s="181"/>
      <c r="AW363" s="181"/>
      <c r="AX363" s="181"/>
      <c r="AY363" s="181"/>
      <c r="AZ363" s="181"/>
      <c r="BA363" s="181"/>
      <c r="BB363" s="32"/>
      <c r="BC363" s="32"/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  <c r="BN363" s="32"/>
      <c r="BO363" s="32"/>
      <c r="BP363" s="32"/>
      <c r="BQ363" s="32"/>
      <c r="BR363" s="32"/>
      <c r="BS363" s="32"/>
      <c r="BT363" s="32"/>
      <c r="BU363" s="32"/>
      <c r="BV363" s="32"/>
      <c r="BW363" s="32"/>
      <c r="BX363" s="32"/>
      <c r="BY363" s="32"/>
      <c r="BZ363" s="32"/>
      <c r="CA363" s="32"/>
      <c r="CB363" s="32"/>
      <c r="CC363" s="32"/>
      <c r="CD363" s="32"/>
    </row>
    <row r="364" spans="1:8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81"/>
      <c r="AJ364" s="181"/>
      <c r="AK364" s="181"/>
      <c r="AL364" s="181"/>
      <c r="AM364" s="181"/>
      <c r="AN364" s="181"/>
      <c r="AO364" s="181"/>
      <c r="AP364" s="181"/>
      <c r="AQ364" s="181"/>
      <c r="AR364" s="181"/>
      <c r="AS364" s="181"/>
      <c r="AT364" s="181"/>
      <c r="AU364" s="181"/>
      <c r="AV364" s="181"/>
      <c r="AW364" s="181"/>
      <c r="AX364" s="181"/>
      <c r="AY364" s="181"/>
      <c r="AZ364" s="181"/>
      <c r="BA364" s="181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  <c r="BM364" s="32"/>
      <c r="BN364" s="32"/>
      <c r="BO364" s="32"/>
      <c r="BP364" s="32"/>
      <c r="BQ364" s="32"/>
      <c r="BR364" s="32"/>
      <c r="BS364" s="32"/>
      <c r="BT364" s="32"/>
      <c r="BU364" s="32"/>
      <c r="BV364" s="32"/>
      <c r="BW364" s="32"/>
      <c r="BX364" s="32"/>
      <c r="BY364" s="32"/>
      <c r="BZ364" s="32"/>
      <c r="CA364" s="32"/>
      <c r="CB364" s="32"/>
      <c r="CC364" s="32"/>
      <c r="CD364" s="32"/>
    </row>
    <row r="365" spans="1:8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81"/>
      <c r="AI365" s="181"/>
      <c r="AJ365" s="181"/>
      <c r="AK365" s="181"/>
      <c r="AL365" s="181"/>
      <c r="AM365" s="181"/>
      <c r="AN365" s="181"/>
      <c r="AO365" s="181"/>
      <c r="AP365" s="181"/>
      <c r="AQ365" s="181"/>
      <c r="AR365" s="181"/>
      <c r="AS365" s="181"/>
      <c r="AT365" s="181"/>
      <c r="AU365" s="181"/>
      <c r="AV365" s="181"/>
      <c r="AW365" s="181"/>
      <c r="AX365" s="181"/>
      <c r="AY365" s="181"/>
      <c r="AZ365" s="181"/>
      <c r="BA365" s="181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  <c r="BM365" s="32"/>
      <c r="BN365" s="32"/>
      <c r="BO365" s="32"/>
      <c r="BP365" s="32"/>
      <c r="BQ365" s="32"/>
      <c r="BR365" s="32"/>
      <c r="BS365" s="32"/>
      <c r="BT365" s="32"/>
      <c r="BU365" s="32"/>
      <c r="BV365" s="32"/>
      <c r="BW365" s="32"/>
      <c r="BX365" s="32"/>
      <c r="BY365" s="32"/>
      <c r="BZ365" s="32"/>
      <c r="CA365" s="32"/>
      <c r="CB365" s="32"/>
      <c r="CC365" s="32"/>
      <c r="CD365" s="32"/>
    </row>
    <row r="366" spans="1:8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181"/>
      <c r="S366" s="181"/>
      <c r="T366" s="181"/>
      <c r="U366" s="181"/>
      <c r="V366" s="181"/>
      <c r="W366" s="181"/>
      <c r="X366" s="181"/>
      <c r="Y366" s="181"/>
      <c r="Z366" s="181"/>
      <c r="AA366" s="181"/>
      <c r="AB366" s="181"/>
      <c r="AC366" s="181"/>
      <c r="AD366" s="181"/>
      <c r="AE366" s="181"/>
      <c r="AF366" s="181"/>
      <c r="AG366" s="181"/>
      <c r="AH366" s="181"/>
      <c r="AI366" s="181"/>
      <c r="AJ366" s="181"/>
      <c r="AK366" s="181"/>
      <c r="AL366" s="181"/>
      <c r="AM366" s="181"/>
      <c r="AN366" s="181"/>
      <c r="AO366" s="181"/>
      <c r="AP366" s="181"/>
      <c r="AQ366" s="181"/>
      <c r="AR366" s="181"/>
      <c r="AS366" s="181"/>
      <c r="AT366" s="181"/>
      <c r="AU366" s="181"/>
      <c r="AV366" s="181"/>
      <c r="AW366" s="181"/>
      <c r="AX366" s="181"/>
      <c r="AY366" s="181"/>
      <c r="AZ366" s="181"/>
      <c r="BA366" s="181"/>
      <c r="BB366" s="32"/>
      <c r="BC366" s="32"/>
      <c r="BD366" s="32"/>
      <c r="BE366" s="32"/>
      <c r="BF366" s="32"/>
      <c r="BG366" s="32"/>
      <c r="BH366" s="32"/>
      <c r="BI366" s="32"/>
      <c r="BJ366" s="32"/>
      <c r="BK366" s="32"/>
      <c r="BL366" s="32"/>
      <c r="BM366" s="32"/>
      <c r="BN366" s="32"/>
      <c r="BO366" s="32"/>
      <c r="BP366" s="32"/>
      <c r="BQ366" s="32"/>
      <c r="BR366" s="32"/>
      <c r="BS366" s="32"/>
      <c r="BT366" s="32"/>
      <c r="BU366" s="32"/>
      <c r="BV366" s="32"/>
      <c r="BW366" s="32"/>
      <c r="BX366" s="32"/>
      <c r="BY366" s="32"/>
      <c r="BZ366" s="32"/>
      <c r="CA366" s="32"/>
      <c r="CB366" s="32"/>
      <c r="CC366" s="32"/>
      <c r="CD366" s="32"/>
    </row>
    <row r="367" spans="1:8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181"/>
      <c r="S367" s="181"/>
      <c r="T367" s="181"/>
      <c r="U367" s="181"/>
      <c r="V367" s="181"/>
      <c r="W367" s="181"/>
      <c r="X367" s="181"/>
      <c r="Y367" s="181"/>
      <c r="Z367" s="181"/>
      <c r="AA367" s="181"/>
      <c r="AB367" s="181"/>
      <c r="AC367" s="181"/>
      <c r="AD367" s="181"/>
      <c r="AE367" s="181"/>
      <c r="AF367" s="181"/>
      <c r="AG367" s="181"/>
      <c r="AH367" s="181"/>
      <c r="AI367" s="181"/>
      <c r="AJ367" s="181"/>
      <c r="AK367" s="181"/>
      <c r="AL367" s="181"/>
      <c r="AM367" s="181"/>
      <c r="AN367" s="181"/>
      <c r="AO367" s="181"/>
      <c r="AP367" s="181"/>
      <c r="AQ367" s="181"/>
      <c r="AR367" s="181"/>
      <c r="AS367" s="181"/>
      <c r="AT367" s="181"/>
      <c r="AU367" s="181"/>
      <c r="AV367" s="181"/>
      <c r="AW367" s="181"/>
      <c r="AX367" s="181"/>
      <c r="AY367" s="181"/>
      <c r="AZ367" s="181"/>
      <c r="BA367" s="181"/>
      <c r="BB367" s="32"/>
      <c r="BC367" s="32"/>
      <c r="BD367" s="32"/>
      <c r="BE367" s="32"/>
      <c r="BF367" s="32"/>
      <c r="BG367" s="32"/>
      <c r="BH367" s="32"/>
      <c r="BI367" s="32"/>
      <c r="BJ367" s="32"/>
      <c r="BK367" s="32"/>
      <c r="BL367" s="32"/>
      <c r="BM367" s="32"/>
      <c r="BN367" s="32"/>
      <c r="BO367" s="32"/>
      <c r="BP367" s="32"/>
      <c r="BQ367" s="32"/>
      <c r="BR367" s="32"/>
      <c r="BS367" s="32"/>
      <c r="BT367" s="32"/>
      <c r="BU367" s="32"/>
      <c r="BV367" s="32"/>
      <c r="BW367" s="32"/>
      <c r="BX367" s="32"/>
      <c r="BY367" s="32"/>
      <c r="BZ367" s="32"/>
      <c r="CA367" s="32"/>
      <c r="CB367" s="32"/>
      <c r="CC367" s="32"/>
      <c r="CD367" s="32"/>
    </row>
    <row r="368" spans="1:8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181"/>
      <c r="S368" s="181"/>
      <c r="T368" s="181"/>
      <c r="U368" s="181"/>
      <c r="V368" s="181"/>
      <c r="W368" s="181"/>
      <c r="X368" s="181"/>
      <c r="Y368" s="181"/>
      <c r="Z368" s="181"/>
      <c r="AA368" s="181"/>
      <c r="AB368" s="181"/>
      <c r="AC368" s="181"/>
      <c r="AD368" s="181"/>
      <c r="AE368" s="181"/>
      <c r="AF368" s="181"/>
      <c r="AG368" s="181"/>
      <c r="AH368" s="181"/>
      <c r="AI368" s="181"/>
      <c r="AJ368" s="181"/>
      <c r="AK368" s="181"/>
      <c r="AL368" s="181"/>
      <c r="AM368" s="181"/>
      <c r="AN368" s="181"/>
      <c r="AO368" s="181"/>
      <c r="AP368" s="181"/>
      <c r="AQ368" s="181"/>
      <c r="AR368" s="181"/>
      <c r="AS368" s="181"/>
      <c r="AT368" s="181"/>
      <c r="AU368" s="181"/>
      <c r="AV368" s="181"/>
      <c r="AW368" s="181"/>
      <c r="AX368" s="181"/>
      <c r="AY368" s="181"/>
      <c r="AZ368" s="181"/>
      <c r="BA368" s="181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  <c r="BM368" s="32"/>
      <c r="BN368" s="32"/>
      <c r="BO368" s="32"/>
      <c r="BP368" s="32"/>
      <c r="BQ368" s="32"/>
      <c r="BR368" s="32"/>
      <c r="BS368" s="32"/>
      <c r="BT368" s="32"/>
      <c r="BU368" s="32"/>
      <c r="BV368" s="32"/>
      <c r="BW368" s="32"/>
      <c r="BX368" s="32"/>
      <c r="BY368" s="32"/>
      <c r="BZ368" s="32"/>
      <c r="CA368" s="32"/>
      <c r="CB368" s="32"/>
      <c r="CC368" s="32"/>
      <c r="CD368" s="32"/>
    </row>
    <row r="369" spans="1:8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181"/>
      <c r="S369" s="181"/>
      <c r="T369" s="181"/>
      <c r="U369" s="181"/>
      <c r="V369" s="181"/>
      <c r="W369" s="181"/>
      <c r="X369" s="181"/>
      <c r="Y369" s="181"/>
      <c r="Z369" s="181"/>
      <c r="AA369" s="181"/>
      <c r="AB369" s="181"/>
      <c r="AC369" s="181"/>
      <c r="AD369" s="181"/>
      <c r="AE369" s="181"/>
      <c r="AF369" s="181"/>
      <c r="AG369" s="181"/>
      <c r="AH369" s="181"/>
      <c r="AI369" s="181"/>
      <c r="AJ369" s="181"/>
      <c r="AK369" s="181"/>
      <c r="AL369" s="181"/>
      <c r="AM369" s="181"/>
      <c r="AN369" s="181"/>
      <c r="AO369" s="181"/>
      <c r="AP369" s="181"/>
      <c r="AQ369" s="181"/>
      <c r="AR369" s="181"/>
      <c r="AS369" s="181"/>
      <c r="AT369" s="181"/>
      <c r="AU369" s="181"/>
      <c r="AV369" s="181"/>
      <c r="AW369" s="181"/>
      <c r="AX369" s="181"/>
      <c r="AY369" s="181"/>
      <c r="AZ369" s="181"/>
      <c r="BA369" s="181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  <c r="BN369" s="32"/>
      <c r="BO369" s="32"/>
      <c r="BP369" s="32"/>
      <c r="BQ369" s="32"/>
      <c r="BR369" s="32"/>
      <c r="BS369" s="32"/>
      <c r="BT369" s="32"/>
      <c r="BU369" s="32"/>
      <c r="BV369" s="32"/>
      <c r="BW369" s="32"/>
      <c r="BX369" s="32"/>
      <c r="BY369" s="32"/>
      <c r="BZ369" s="32"/>
      <c r="CA369" s="32"/>
      <c r="CB369" s="32"/>
      <c r="CC369" s="32"/>
      <c r="CD369" s="32"/>
    </row>
    <row r="370" spans="1:8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181"/>
      <c r="S370" s="181"/>
      <c r="T370" s="181"/>
      <c r="U370" s="181"/>
      <c r="V370" s="181"/>
      <c r="W370" s="181"/>
      <c r="X370" s="181"/>
      <c r="Y370" s="181"/>
      <c r="Z370" s="181"/>
      <c r="AA370" s="181"/>
      <c r="AB370" s="181"/>
      <c r="AC370" s="181"/>
      <c r="AD370" s="181"/>
      <c r="AE370" s="181"/>
      <c r="AF370" s="181"/>
      <c r="AG370" s="181"/>
      <c r="AH370" s="181"/>
      <c r="AI370" s="181"/>
      <c r="AJ370" s="181"/>
      <c r="AK370" s="181"/>
      <c r="AL370" s="181"/>
      <c r="AM370" s="181"/>
      <c r="AN370" s="181"/>
      <c r="AO370" s="181"/>
      <c r="AP370" s="181"/>
      <c r="AQ370" s="181"/>
      <c r="AR370" s="181"/>
      <c r="AS370" s="181"/>
      <c r="AT370" s="181"/>
      <c r="AU370" s="181"/>
      <c r="AV370" s="181"/>
      <c r="AW370" s="181"/>
      <c r="AX370" s="181"/>
      <c r="AY370" s="181"/>
      <c r="AZ370" s="181"/>
      <c r="BA370" s="181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  <c r="BN370" s="32"/>
      <c r="BO370" s="32"/>
      <c r="BP370" s="32"/>
      <c r="BQ370" s="32"/>
      <c r="BR370" s="32"/>
      <c r="BS370" s="32"/>
      <c r="BT370" s="32"/>
      <c r="BU370" s="32"/>
      <c r="BV370" s="32"/>
      <c r="BW370" s="32"/>
      <c r="BX370" s="32"/>
      <c r="BY370" s="32"/>
      <c r="BZ370" s="32"/>
      <c r="CA370" s="32"/>
      <c r="CB370" s="32"/>
      <c r="CC370" s="32"/>
      <c r="CD370" s="32"/>
    </row>
    <row r="371" spans="1:8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181"/>
      <c r="S371" s="181"/>
      <c r="T371" s="181"/>
      <c r="U371" s="181"/>
      <c r="V371" s="181"/>
      <c r="W371" s="181"/>
      <c r="X371" s="181"/>
      <c r="Y371" s="181"/>
      <c r="Z371" s="181"/>
      <c r="AA371" s="181"/>
      <c r="AB371" s="181"/>
      <c r="AC371" s="181"/>
      <c r="AD371" s="181"/>
      <c r="AE371" s="181"/>
      <c r="AF371" s="181"/>
      <c r="AG371" s="181"/>
      <c r="AH371" s="181"/>
      <c r="AI371" s="181"/>
      <c r="AJ371" s="181"/>
      <c r="AK371" s="181"/>
      <c r="AL371" s="181"/>
      <c r="AM371" s="181"/>
      <c r="AN371" s="181"/>
      <c r="AO371" s="181"/>
      <c r="AP371" s="181"/>
      <c r="AQ371" s="181"/>
      <c r="AR371" s="181"/>
      <c r="AS371" s="181"/>
      <c r="AT371" s="181"/>
      <c r="AU371" s="181"/>
      <c r="AV371" s="181"/>
      <c r="AW371" s="181"/>
      <c r="AX371" s="181"/>
      <c r="AY371" s="181"/>
      <c r="AZ371" s="181"/>
      <c r="BA371" s="181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  <c r="BN371" s="32"/>
      <c r="BO371" s="32"/>
      <c r="BP371" s="32"/>
      <c r="BQ371" s="32"/>
      <c r="BR371" s="32"/>
      <c r="BS371" s="32"/>
      <c r="BT371" s="32"/>
      <c r="BU371" s="32"/>
      <c r="BV371" s="32"/>
      <c r="BW371" s="32"/>
      <c r="BX371" s="32"/>
      <c r="BY371" s="32"/>
      <c r="BZ371" s="32"/>
      <c r="CA371" s="32"/>
      <c r="CB371" s="32"/>
      <c r="CC371" s="32"/>
      <c r="CD371" s="32"/>
    </row>
    <row r="372" spans="1:8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181"/>
      <c r="S372" s="181"/>
      <c r="T372" s="181"/>
      <c r="U372" s="181"/>
      <c r="V372" s="181"/>
      <c r="W372" s="181"/>
      <c r="X372" s="181"/>
      <c r="Y372" s="181"/>
      <c r="Z372" s="181"/>
      <c r="AA372" s="181"/>
      <c r="AB372" s="181"/>
      <c r="AC372" s="181"/>
      <c r="AD372" s="181"/>
      <c r="AE372" s="181"/>
      <c r="AF372" s="181"/>
      <c r="AG372" s="181"/>
      <c r="AH372" s="181"/>
      <c r="AI372" s="181"/>
      <c r="AJ372" s="181"/>
      <c r="AK372" s="181"/>
      <c r="AL372" s="181"/>
      <c r="AM372" s="181"/>
      <c r="AN372" s="181"/>
      <c r="AO372" s="181"/>
      <c r="AP372" s="181"/>
      <c r="AQ372" s="181"/>
      <c r="AR372" s="181"/>
      <c r="AS372" s="181"/>
      <c r="AT372" s="181"/>
      <c r="AU372" s="181"/>
      <c r="AV372" s="181"/>
      <c r="AW372" s="181"/>
      <c r="AX372" s="181"/>
      <c r="AY372" s="181"/>
      <c r="AZ372" s="181"/>
      <c r="BA372" s="181"/>
      <c r="BB372" s="32"/>
      <c r="BC372" s="32"/>
      <c r="BD372" s="32"/>
      <c r="BE372" s="32"/>
      <c r="BF372" s="32"/>
      <c r="BG372" s="32"/>
      <c r="BH372" s="32"/>
      <c r="BI372" s="32"/>
      <c r="BJ372" s="32"/>
      <c r="BK372" s="32"/>
      <c r="BL372" s="32"/>
      <c r="BM372" s="32"/>
      <c r="BN372" s="32"/>
      <c r="BO372" s="32"/>
      <c r="BP372" s="32"/>
      <c r="BQ372" s="32"/>
      <c r="BR372" s="32"/>
      <c r="BS372" s="32"/>
      <c r="BT372" s="32"/>
      <c r="BU372" s="32"/>
      <c r="BV372" s="32"/>
      <c r="BW372" s="32"/>
      <c r="BX372" s="32"/>
      <c r="BY372" s="32"/>
      <c r="BZ372" s="32"/>
      <c r="CA372" s="32"/>
      <c r="CB372" s="32"/>
      <c r="CC372" s="32"/>
      <c r="CD372" s="32"/>
    </row>
    <row r="373" spans="1:8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81"/>
      <c r="AJ373" s="181"/>
      <c r="AK373" s="181"/>
      <c r="AL373" s="181"/>
      <c r="AM373" s="181"/>
      <c r="AN373" s="181"/>
      <c r="AO373" s="181"/>
      <c r="AP373" s="181"/>
      <c r="AQ373" s="181"/>
      <c r="AR373" s="181"/>
      <c r="AS373" s="181"/>
      <c r="AT373" s="181"/>
      <c r="AU373" s="181"/>
      <c r="AV373" s="181"/>
      <c r="AW373" s="181"/>
      <c r="AX373" s="181"/>
      <c r="AY373" s="181"/>
      <c r="AZ373" s="181"/>
      <c r="BA373" s="181"/>
      <c r="BB373" s="32"/>
      <c r="BC373" s="32"/>
      <c r="BD373" s="32"/>
      <c r="BE373" s="32"/>
      <c r="BF373" s="32"/>
      <c r="BG373" s="32"/>
      <c r="BH373" s="32"/>
      <c r="BI373" s="32"/>
      <c r="BJ373" s="32"/>
      <c r="BK373" s="32"/>
      <c r="BL373" s="32"/>
      <c r="BM373" s="32"/>
      <c r="BN373" s="32"/>
      <c r="BO373" s="32"/>
      <c r="BP373" s="32"/>
      <c r="BQ373" s="32"/>
      <c r="BR373" s="32"/>
      <c r="BS373" s="32"/>
      <c r="BT373" s="32"/>
      <c r="BU373" s="32"/>
      <c r="BV373" s="32"/>
      <c r="BW373" s="32"/>
      <c r="BX373" s="32"/>
      <c r="BY373" s="32"/>
      <c r="BZ373" s="32"/>
      <c r="CA373" s="32"/>
      <c r="CB373" s="32"/>
      <c r="CC373" s="32"/>
      <c r="CD373" s="32"/>
    </row>
    <row r="374" spans="1:8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81"/>
      <c r="AJ374" s="181"/>
      <c r="AK374" s="181"/>
      <c r="AL374" s="181"/>
      <c r="AM374" s="181"/>
      <c r="AN374" s="181"/>
      <c r="AO374" s="181"/>
      <c r="AP374" s="181"/>
      <c r="AQ374" s="181"/>
      <c r="AR374" s="181"/>
      <c r="AS374" s="181"/>
      <c r="AT374" s="181"/>
      <c r="AU374" s="181"/>
      <c r="AV374" s="181"/>
      <c r="AW374" s="181"/>
      <c r="AX374" s="181"/>
      <c r="AY374" s="181"/>
      <c r="AZ374" s="181"/>
      <c r="BA374" s="181"/>
      <c r="BB374" s="32"/>
      <c r="BC374" s="32"/>
      <c r="BD374" s="32"/>
      <c r="BE374" s="32"/>
      <c r="BF374" s="32"/>
      <c r="BG374" s="32"/>
      <c r="BH374" s="32"/>
      <c r="BI374" s="32"/>
      <c r="BJ374" s="32"/>
      <c r="BK374" s="32"/>
      <c r="BL374" s="32"/>
      <c r="BM374" s="32"/>
      <c r="BN374" s="32"/>
      <c r="BO374" s="32"/>
      <c r="BP374" s="32"/>
      <c r="BQ374" s="32"/>
      <c r="BR374" s="32"/>
      <c r="BS374" s="32"/>
      <c r="BT374" s="32"/>
      <c r="BU374" s="32"/>
      <c r="BV374" s="32"/>
      <c r="BW374" s="32"/>
      <c r="BX374" s="32"/>
      <c r="BY374" s="32"/>
      <c r="BZ374" s="32"/>
      <c r="CA374" s="32"/>
      <c r="CB374" s="32"/>
      <c r="CC374" s="32"/>
      <c r="CD374" s="32"/>
    </row>
    <row r="375" spans="1:8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81"/>
      <c r="AJ375" s="181"/>
      <c r="AK375" s="181"/>
      <c r="AL375" s="181"/>
      <c r="AM375" s="181"/>
      <c r="AN375" s="181"/>
      <c r="AO375" s="181"/>
      <c r="AP375" s="181"/>
      <c r="AQ375" s="181"/>
      <c r="AR375" s="181"/>
      <c r="AS375" s="181"/>
      <c r="AT375" s="181"/>
      <c r="AU375" s="181"/>
      <c r="AV375" s="181"/>
      <c r="AW375" s="181"/>
      <c r="AX375" s="181"/>
      <c r="AY375" s="181"/>
      <c r="AZ375" s="181"/>
      <c r="BA375" s="181"/>
      <c r="BB375" s="32"/>
      <c r="BC375" s="32"/>
      <c r="BD375" s="32"/>
      <c r="BE375" s="32"/>
      <c r="BF375" s="32"/>
      <c r="BG375" s="32"/>
      <c r="BH375" s="32"/>
      <c r="BI375" s="32"/>
      <c r="BJ375" s="32"/>
      <c r="BK375" s="32"/>
      <c r="BL375" s="32"/>
      <c r="BM375" s="32"/>
      <c r="BN375" s="32"/>
      <c r="BO375" s="32"/>
      <c r="BP375" s="32"/>
      <c r="BQ375" s="32"/>
      <c r="BR375" s="32"/>
      <c r="BS375" s="32"/>
      <c r="BT375" s="32"/>
      <c r="BU375" s="32"/>
      <c r="BV375" s="32"/>
      <c r="BW375" s="32"/>
      <c r="BX375" s="32"/>
      <c r="BY375" s="32"/>
      <c r="BZ375" s="32"/>
      <c r="CA375" s="32"/>
      <c r="CB375" s="32"/>
      <c r="CC375" s="32"/>
      <c r="CD375" s="32"/>
    </row>
    <row r="376" spans="1:8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81"/>
      <c r="AJ376" s="181"/>
      <c r="AK376" s="181"/>
      <c r="AL376" s="181"/>
      <c r="AM376" s="181"/>
      <c r="AN376" s="181"/>
      <c r="AO376" s="181"/>
      <c r="AP376" s="181"/>
      <c r="AQ376" s="181"/>
      <c r="AR376" s="181"/>
      <c r="AS376" s="181"/>
      <c r="AT376" s="181"/>
      <c r="AU376" s="181"/>
      <c r="AV376" s="181"/>
      <c r="AW376" s="181"/>
      <c r="AX376" s="181"/>
      <c r="AY376" s="181"/>
      <c r="AZ376" s="181"/>
      <c r="BA376" s="181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  <c r="BP376" s="32"/>
      <c r="BQ376" s="32"/>
      <c r="BR376" s="32"/>
      <c r="BS376" s="32"/>
      <c r="BT376" s="32"/>
      <c r="BU376" s="32"/>
      <c r="BV376" s="32"/>
      <c r="BW376" s="32"/>
      <c r="BX376" s="32"/>
      <c r="BY376" s="32"/>
      <c r="BZ376" s="32"/>
      <c r="CA376" s="32"/>
      <c r="CB376" s="32"/>
      <c r="CC376" s="32"/>
      <c r="CD376" s="32"/>
    </row>
    <row r="377" spans="1:8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81"/>
      <c r="AJ377" s="181"/>
      <c r="AK377" s="181"/>
      <c r="AL377" s="181"/>
      <c r="AM377" s="181"/>
      <c r="AN377" s="181"/>
      <c r="AO377" s="181"/>
      <c r="AP377" s="181"/>
      <c r="AQ377" s="181"/>
      <c r="AR377" s="181"/>
      <c r="AS377" s="181"/>
      <c r="AT377" s="181"/>
      <c r="AU377" s="181"/>
      <c r="AV377" s="181"/>
      <c r="AW377" s="181"/>
      <c r="AX377" s="181"/>
      <c r="AY377" s="181"/>
      <c r="AZ377" s="181"/>
      <c r="BA377" s="181"/>
      <c r="BB377" s="32"/>
      <c r="BC377" s="32"/>
      <c r="BD377" s="32"/>
      <c r="BE377" s="32"/>
      <c r="BF377" s="32"/>
      <c r="BG377" s="32"/>
      <c r="BH377" s="32"/>
      <c r="BI377" s="32"/>
      <c r="BJ377" s="32"/>
      <c r="BK377" s="32"/>
      <c r="BL377" s="32"/>
      <c r="BM377" s="32"/>
      <c r="BN377" s="32"/>
      <c r="BO377" s="32"/>
      <c r="BP377" s="32"/>
      <c r="BQ377" s="32"/>
      <c r="BR377" s="32"/>
      <c r="BS377" s="32"/>
      <c r="BT377" s="32"/>
      <c r="BU377" s="32"/>
      <c r="BV377" s="32"/>
      <c r="BW377" s="32"/>
      <c r="BX377" s="32"/>
      <c r="BY377" s="32"/>
      <c r="BZ377" s="32"/>
      <c r="CA377" s="32"/>
      <c r="CB377" s="32"/>
      <c r="CC377" s="32"/>
      <c r="CD377" s="32"/>
    </row>
    <row r="378" spans="1:8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81"/>
      <c r="AJ378" s="181"/>
      <c r="AK378" s="181"/>
      <c r="AL378" s="181"/>
      <c r="AM378" s="181"/>
      <c r="AN378" s="181"/>
      <c r="AO378" s="181"/>
      <c r="AP378" s="181"/>
      <c r="AQ378" s="181"/>
      <c r="AR378" s="181"/>
      <c r="AS378" s="181"/>
      <c r="AT378" s="181"/>
      <c r="AU378" s="181"/>
      <c r="AV378" s="181"/>
      <c r="AW378" s="181"/>
      <c r="AX378" s="181"/>
      <c r="AY378" s="181"/>
      <c r="AZ378" s="181"/>
      <c r="BA378" s="181"/>
      <c r="BB378" s="32"/>
      <c r="BC378" s="32"/>
      <c r="BD378" s="32"/>
      <c r="BE378" s="32"/>
      <c r="BF378" s="32"/>
      <c r="BG378" s="32"/>
      <c r="BH378" s="32"/>
      <c r="BI378" s="32"/>
      <c r="BJ378" s="32"/>
      <c r="BK378" s="32"/>
      <c r="BL378" s="32"/>
      <c r="BM378" s="32"/>
      <c r="BN378" s="32"/>
      <c r="BO378" s="32"/>
      <c r="BP378" s="32"/>
      <c r="BQ378" s="32"/>
      <c r="BR378" s="32"/>
      <c r="BS378" s="32"/>
      <c r="BT378" s="32"/>
      <c r="BU378" s="32"/>
      <c r="BV378" s="32"/>
      <c r="BW378" s="32"/>
      <c r="BX378" s="32"/>
      <c r="BY378" s="32"/>
      <c r="BZ378" s="32"/>
      <c r="CA378" s="32"/>
      <c r="CB378" s="32"/>
      <c r="CC378" s="32"/>
      <c r="CD378" s="32"/>
    </row>
    <row r="379" spans="1:8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81"/>
      <c r="AJ379" s="181"/>
      <c r="AK379" s="181"/>
      <c r="AL379" s="181"/>
      <c r="AM379" s="181"/>
      <c r="AN379" s="181"/>
      <c r="AO379" s="181"/>
      <c r="AP379" s="181"/>
      <c r="AQ379" s="181"/>
      <c r="AR379" s="181"/>
      <c r="AS379" s="181"/>
      <c r="AT379" s="181"/>
      <c r="AU379" s="181"/>
      <c r="AV379" s="181"/>
      <c r="AW379" s="181"/>
      <c r="AX379" s="181"/>
      <c r="AY379" s="181"/>
      <c r="AZ379" s="181"/>
      <c r="BA379" s="181"/>
      <c r="BB379" s="32"/>
      <c r="BC379" s="32"/>
      <c r="BD379" s="32"/>
      <c r="BE379" s="32"/>
      <c r="BF379" s="32"/>
      <c r="BG379" s="32"/>
      <c r="BH379" s="32"/>
      <c r="BI379" s="32"/>
      <c r="BJ379" s="32"/>
      <c r="BK379" s="32"/>
      <c r="BL379" s="32"/>
      <c r="BM379" s="32"/>
      <c r="BN379" s="32"/>
      <c r="BO379" s="32"/>
      <c r="BP379" s="32"/>
      <c r="BQ379" s="32"/>
      <c r="BR379" s="32"/>
      <c r="BS379" s="32"/>
      <c r="BT379" s="32"/>
      <c r="BU379" s="32"/>
      <c r="BV379" s="32"/>
      <c r="BW379" s="32"/>
      <c r="BX379" s="32"/>
      <c r="BY379" s="32"/>
      <c r="BZ379" s="32"/>
      <c r="CA379" s="32"/>
      <c r="CB379" s="32"/>
      <c r="CC379" s="32"/>
      <c r="CD379" s="32"/>
    </row>
    <row r="380" spans="1:8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81"/>
      <c r="AJ380" s="181"/>
      <c r="AK380" s="181"/>
      <c r="AL380" s="181"/>
      <c r="AM380" s="181"/>
      <c r="AN380" s="181"/>
      <c r="AO380" s="181"/>
      <c r="AP380" s="181"/>
      <c r="AQ380" s="181"/>
      <c r="AR380" s="181"/>
      <c r="AS380" s="181"/>
      <c r="AT380" s="181"/>
      <c r="AU380" s="181"/>
      <c r="AV380" s="181"/>
      <c r="AW380" s="181"/>
      <c r="AX380" s="181"/>
      <c r="AY380" s="181"/>
      <c r="AZ380" s="181"/>
      <c r="BA380" s="181"/>
      <c r="BB380" s="32"/>
      <c r="BC380" s="32"/>
      <c r="BD380" s="32"/>
      <c r="BE380" s="32"/>
      <c r="BF380" s="32"/>
      <c r="BG380" s="32"/>
      <c r="BH380" s="32"/>
      <c r="BI380" s="32"/>
      <c r="BJ380" s="32"/>
      <c r="BK380" s="32"/>
      <c r="BL380" s="32"/>
      <c r="BM380" s="32"/>
      <c r="BN380" s="32"/>
      <c r="BO380" s="32"/>
      <c r="BP380" s="32"/>
      <c r="BQ380" s="32"/>
      <c r="BR380" s="32"/>
      <c r="BS380" s="32"/>
      <c r="BT380" s="32"/>
      <c r="BU380" s="32"/>
      <c r="BV380" s="32"/>
      <c r="BW380" s="32"/>
      <c r="BX380" s="32"/>
      <c r="BY380" s="32"/>
      <c r="BZ380" s="32"/>
      <c r="CA380" s="32"/>
      <c r="CB380" s="32"/>
      <c r="CC380" s="32"/>
      <c r="CD380" s="32"/>
    </row>
    <row r="381" spans="1:8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81"/>
      <c r="AJ381" s="181"/>
      <c r="AK381" s="181"/>
      <c r="AL381" s="181"/>
      <c r="AM381" s="181"/>
      <c r="AN381" s="181"/>
      <c r="AO381" s="181"/>
      <c r="AP381" s="181"/>
      <c r="AQ381" s="181"/>
      <c r="AR381" s="181"/>
      <c r="AS381" s="181"/>
      <c r="AT381" s="181"/>
      <c r="AU381" s="181"/>
      <c r="AV381" s="181"/>
      <c r="AW381" s="181"/>
      <c r="AX381" s="181"/>
      <c r="AY381" s="181"/>
      <c r="AZ381" s="181"/>
      <c r="BA381" s="181"/>
      <c r="BB381" s="32"/>
      <c r="BC381" s="32"/>
      <c r="BD381" s="32"/>
      <c r="BE381" s="32"/>
      <c r="BF381" s="32"/>
      <c r="BG381" s="32"/>
      <c r="BH381" s="32"/>
      <c r="BI381" s="32"/>
      <c r="BJ381" s="32"/>
      <c r="BK381" s="32"/>
      <c r="BL381" s="32"/>
      <c r="BM381" s="32"/>
      <c r="BN381" s="32"/>
      <c r="BO381" s="32"/>
      <c r="BP381" s="32"/>
      <c r="BQ381" s="32"/>
      <c r="BR381" s="32"/>
      <c r="BS381" s="32"/>
      <c r="BT381" s="32"/>
      <c r="BU381" s="32"/>
      <c r="BV381" s="32"/>
      <c r="BW381" s="32"/>
      <c r="BX381" s="32"/>
      <c r="BY381" s="32"/>
      <c r="BZ381" s="32"/>
      <c r="CA381" s="32"/>
      <c r="CB381" s="32"/>
      <c r="CC381" s="32"/>
      <c r="CD381" s="32"/>
    </row>
    <row r="382" spans="1: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81"/>
      <c r="AJ382" s="181"/>
      <c r="AK382" s="181"/>
      <c r="AL382" s="181"/>
      <c r="AM382" s="181"/>
      <c r="AN382" s="181"/>
      <c r="AO382" s="181"/>
      <c r="AP382" s="181"/>
      <c r="AQ382" s="181"/>
      <c r="AR382" s="181"/>
      <c r="AS382" s="181"/>
      <c r="AT382" s="181"/>
      <c r="AU382" s="181"/>
      <c r="AV382" s="181"/>
      <c r="AW382" s="181"/>
      <c r="AX382" s="181"/>
      <c r="AY382" s="181"/>
      <c r="AZ382" s="181"/>
      <c r="BA382" s="181"/>
      <c r="BB382" s="32"/>
      <c r="BC382" s="32"/>
      <c r="BD382" s="32"/>
      <c r="BE382" s="32"/>
      <c r="BF382" s="32"/>
      <c r="BG382" s="32"/>
      <c r="BH382" s="32"/>
      <c r="BI382" s="32"/>
      <c r="BJ382" s="32"/>
      <c r="BK382" s="32"/>
      <c r="BL382" s="32"/>
      <c r="BM382" s="32"/>
      <c r="BN382" s="32"/>
      <c r="BO382" s="32"/>
      <c r="BP382" s="32"/>
      <c r="BQ382" s="32"/>
      <c r="BR382" s="32"/>
      <c r="BS382" s="32"/>
      <c r="BT382" s="32"/>
      <c r="BU382" s="32"/>
      <c r="BV382" s="32"/>
      <c r="BW382" s="32"/>
      <c r="BX382" s="32"/>
      <c r="BY382" s="32"/>
      <c r="BZ382" s="32"/>
      <c r="CA382" s="32"/>
      <c r="CB382" s="32"/>
      <c r="CC382" s="32"/>
      <c r="CD382" s="32"/>
    </row>
    <row r="383" spans="1:8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81"/>
      <c r="AJ383" s="181"/>
      <c r="AK383" s="181"/>
      <c r="AL383" s="181"/>
      <c r="AM383" s="181"/>
      <c r="AN383" s="181"/>
      <c r="AO383" s="181"/>
      <c r="AP383" s="181"/>
      <c r="AQ383" s="181"/>
      <c r="AR383" s="181"/>
      <c r="AS383" s="181"/>
      <c r="AT383" s="181"/>
      <c r="AU383" s="181"/>
      <c r="AV383" s="181"/>
      <c r="AW383" s="181"/>
      <c r="AX383" s="181"/>
      <c r="AY383" s="181"/>
      <c r="AZ383" s="181"/>
      <c r="BA383" s="181"/>
      <c r="BB383" s="32"/>
      <c r="BC383" s="32"/>
      <c r="BD383" s="32"/>
      <c r="BE383" s="32"/>
      <c r="BF383" s="32"/>
      <c r="BG383" s="32"/>
      <c r="BH383" s="32"/>
      <c r="BI383" s="32"/>
      <c r="BJ383" s="32"/>
      <c r="BK383" s="32"/>
      <c r="BL383" s="32"/>
      <c r="BM383" s="32"/>
      <c r="BN383" s="32"/>
      <c r="BO383" s="32"/>
      <c r="BP383" s="32"/>
      <c r="BQ383" s="32"/>
      <c r="BR383" s="32"/>
      <c r="BS383" s="32"/>
      <c r="BT383" s="32"/>
      <c r="BU383" s="32"/>
      <c r="BV383" s="32"/>
      <c r="BW383" s="32"/>
      <c r="BX383" s="32"/>
      <c r="BY383" s="32"/>
      <c r="BZ383" s="32"/>
      <c r="CA383" s="32"/>
      <c r="CB383" s="32"/>
      <c r="CC383" s="32"/>
      <c r="CD383" s="32"/>
    </row>
    <row r="384" spans="1:8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81"/>
      <c r="AJ384" s="181"/>
      <c r="AK384" s="181"/>
      <c r="AL384" s="181"/>
      <c r="AM384" s="181"/>
      <c r="AN384" s="181"/>
      <c r="AO384" s="181"/>
      <c r="AP384" s="181"/>
      <c r="AQ384" s="181"/>
      <c r="AR384" s="181"/>
      <c r="AS384" s="181"/>
      <c r="AT384" s="181"/>
      <c r="AU384" s="181"/>
      <c r="AV384" s="181"/>
      <c r="AW384" s="181"/>
      <c r="AX384" s="181"/>
      <c r="AY384" s="181"/>
      <c r="AZ384" s="181"/>
      <c r="BA384" s="181"/>
      <c r="BB384" s="32"/>
      <c r="BC384" s="32"/>
      <c r="BD384" s="32"/>
      <c r="BE384" s="32"/>
      <c r="BF384" s="32"/>
      <c r="BG384" s="32"/>
      <c r="BH384" s="32"/>
      <c r="BI384" s="32"/>
      <c r="BJ384" s="32"/>
      <c r="BK384" s="32"/>
      <c r="BL384" s="32"/>
      <c r="BM384" s="32"/>
      <c r="BN384" s="32"/>
      <c r="BO384" s="32"/>
      <c r="BP384" s="32"/>
      <c r="BQ384" s="32"/>
      <c r="BR384" s="32"/>
      <c r="BS384" s="32"/>
      <c r="BT384" s="32"/>
      <c r="BU384" s="32"/>
      <c r="BV384" s="32"/>
      <c r="BW384" s="32"/>
      <c r="BX384" s="32"/>
      <c r="BY384" s="32"/>
      <c r="BZ384" s="32"/>
      <c r="CA384" s="32"/>
      <c r="CB384" s="32"/>
      <c r="CC384" s="32"/>
      <c r="CD384" s="32"/>
    </row>
    <row r="385" spans="1:8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81"/>
      <c r="AJ385" s="181"/>
      <c r="AK385" s="181"/>
      <c r="AL385" s="181"/>
      <c r="AM385" s="181"/>
      <c r="AN385" s="181"/>
      <c r="AO385" s="181"/>
      <c r="AP385" s="181"/>
      <c r="AQ385" s="181"/>
      <c r="AR385" s="181"/>
      <c r="AS385" s="181"/>
      <c r="AT385" s="181"/>
      <c r="AU385" s="181"/>
      <c r="AV385" s="181"/>
      <c r="AW385" s="181"/>
      <c r="AX385" s="181"/>
      <c r="AY385" s="181"/>
      <c r="AZ385" s="181"/>
      <c r="BA385" s="181"/>
      <c r="BB385" s="32"/>
      <c r="BC385" s="32"/>
      <c r="BD385" s="32"/>
      <c r="BE385" s="32"/>
      <c r="BF385" s="32"/>
      <c r="BG385" s="32"/>
      <c r="BH385" s="32"/>
      <c r="BI385" s="32"/>
      <c r="BJ385" s="32"/>
      <c r="BK385" s="32"/>
      <c r="BL385" s="32"/>
      <c r="BM385" s="32"/>
      <c r="BN385" s="32"/>
      <c r="BO385" s="32"/>
      <c r="BP385" s="32"/>
      <c r="BQ385" s="32"/>
      <c r="BR385" s="32"/>
      <c r="BS385" s="32"/>
      <c r="BT385" s="32"/>
      <c r="BU385" s="32"/>
      <c r="BV385" s="32"/>
      <c r="BW385" s="32"/>
      <c r="BX385" s="32"/>
      <c r="BY385" s="32"/>
      <c r="BZ385" s="32"/>
      <c r="CA385" s="32"/>
      <c r="CB385" s="32"/>
      <c r="CC385" s="32"/>
      <c r="CD385" s="32"/>
    </row>
    <row r="386" spans="1:8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81"/>
      <c r="AJ386" s="181"/>
      <c r="AK386" s="181"/>
      <c r="AL386" s="181"/>
      <c r="AM386" s="181"/>
      <c r="AN386" s="181"/>
      <c r="AO386" s="181"/>
      <c r="AP386" s="181"/>
      <c r="AQ386" s="181"/>
      <c r="AR386" s="181"/>
      <c r="AS386" s="181"/>
      <c r="AT386" s="181"/>
      <c r="AU386" s="181"/>
      <c r="AV386" s="181"/>
      <c r="AW386" s="181"/>
      <c r="AX386" s="181"/>
      <c r="AY386" s="181"/>
      <c r="AZ386" s="181"/>
      <c r="BA386" s="181"/>
      <c r="BB386" s="32"/>
      <c r="BC386" s="32"/>
      <c r="BD386" s="32"/>
      <c r="BE386" s="32"/>
      <c r="BF386" s="32"/>
      <c r="BG386" s="32"/>
      <c r="BH386" s="32"/>
      <c r="BI386" s="32"/>
      <c r="BJ386" s="32"/>
      <c r="BK386" s="32"/>
      <c r="BL386" s="32"/>
      <c r="BM386" s="32"/>
      <c r="BN386" s="32"/>
      <c r="BO386" s="32"/>
      <c r="BP386" s="32"/>
      <c r="BQ386" s="32"/>
      <c r="BR386" s="32"/>
      <c r="BS386" s="32"/>
      <c r="BT386" s="32"/>
      <c r="BU386" s="32"/>
      <c r="BV386" s="32"/>
      <c r="BW386" s="32"/>
      <c r="BX386" s="32"/>
      <c r="BY386" s="32"/>
      <c r="BZ386" s="32"/>
      <c r="CA386" s="32"/>
      <c r="CB386" s="32"/>
      <c r="CC386" s="32"/>
      <c r="CD386" s="32"/>
    </row>
    <row r="387" spans="1:8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81"/>
      <c r="AJ387" s="181"/>
      <c r="AK387" s="181"/>
      <c r="AL387" s="181"/>
      <c r="AM387" s="181"/>
      <c r="AN387" s="181"/>
      <c r="AO387" s="181"/>
      <c r="AP387" s="181"/>
      <c r="AQ387" s="181"/>
      <c r="AR387" s="181"/>
      <c r="AS387" s="181"/>
      <c r="AT387" s="181"/>
      <c r="AU387" s="181"/>
      <c r="AV387" s="181"/>
      <c r="AW387" s="181"/>
      <c r="AX387" s="181"/>
      <c r="AY387" s="181"/>
      <c r="AZ387" s="181"/>
      <c r="BA387" s="181"/>
      <c r="BB387" s="32"/>
      <c r="BC387" s="32"/>
      <c r="BD387" s="32"/>
      <c r="BE387" s="32"/>
      <c r="BF387" s="32"/>
      <c r="BG387" s="32"/>
      <c r="BH387" s="32"/>
      <c r="BI387" s="32"/>
      <c r="BJ387" s="32"/>
      <c r="BK387" s="32"/>
      <c r="BL387" s="32"/>
      <c r="BM387" s="32"/>
      <c r="BN387" s="32"/>
      <c r="BO387" s="32"/>
      <c r="BP387" s="32"/>
      <c r="BQ387" s="32"/>
      <c r="BR387" s="32"/>
      <c r="BS387" s="32"/>
      <c r="BT387" s="32"/>
      <c r="BU387" s="32"/>
      <c r="BV387" s="32"/>
      <c r="BW387" s="32"/>
      <c r="BX387" s="32"/>
      <c r="BY387" s="32"/>
      <c r="BZ387" s="32"/>
      <c r="CA387" s="32"/>
      <c r="CB387" s="32"/>
      <c r="CC387" s="32"/>
      <c r="CD387" s="32"/>
    </row>
    <row r="388" spans="1:8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81"/>
      <c r="AI388" s="181"/>
      <c r="AJ388" s="181"/>
      <c r="AK388" s="181"/>
      <c r="AL388" s="181"/>
      <c r="AM388" s="181"/>
      <c r="AN388" s="181"/>
      <c r="AO388" s="181"/>
      <c r="AP388" s="181"/>
      <c r="AQ388" s="181"/>
      <c r="AR388" s="181"/>
      <c r="AS388" s="181"/>
      <c r="AT388" s="181"/>
      <c r="AU388" s="181"/>
      <c r="AV388" s="181"/>
      <c r="AW388" s="181"/>
      <c r="AX388" s="181"/>
      <c r="AY388" s="181"/>
      <c r="AZ388" s="181"/>
      <c r="BA388" s="181"/>
      <c r="BB388" s="32"/>
      <c r="BC388" s="32"/>
      <c r="BD388" s="32"/>
      <c r="BE388" s="32"/>
      <c r="BF388" s="32"/>
      <c r="BG388" s="32"/>
      <c r="BH388" s="32"/>
      <c r="BI388" s="32"/>
      <c r="BJ388" s="32"/>
      <c r="BK388" s="32"/>
      <c r="BL388" s="32"/>
      <c r="BM388" s="32"/>
      <c r="BN388" s="32"/>
      <c r="BO388" s="32"/>
      <c r="BP388" s="32"/>
      <c r="BQ388" s="32"/>
      <c r="BR388" s="32"/>
      <c r="BS388" s="32"/>
      <c r="BT388" s="32"/>
      <c r="BU388" s="32"/>
      <c r="BV388" s="32"/>
      <c r="BW388" s="32"/>
      <c r="BX388" s="32"/>
      <c r="BY388" s="32"/>
      <c r="BZ388" s="32"/>
      <c r="CA388" s="32"/>
      <c r="CB388" s="32"/>
      <c r="CC388" s="32"/>
      <c r="CD388" s="32"/>
    </row>
    <row r="389" spans="1:8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181"/>
      <c r="S389" s="181"/>
      <c r="T389" s="181"/>
      <c r="U389" s="181"/>
      <c r="V389" s="181"/>
      <c r="W389" s="181"/>
      <c r="X389" s="181"/>
      <c r="Y389" s="181"/>
      <c r="Z389" s="181"/>
      <c r="AA389" s="181"/>
      <c r="AB389" s="181"/>
      <c r="AC389" s="181"/>
      <c r="AD389" s="181"/>
      <c r="AE389" s="181"/>
      <c r="AF389" s="181"/>
      <c r="AG389" s="181"/>
      <c r="AH389" s="181"/>
      <c r="AI389" s="181"/>
      <c r="AJ389" s="181"/>
      <c r="AK389" s="181"/>
      <c r="AL389" s="181"/>
      <c r="AM389" s="181"/>
      <c r="AN389" s="181"/>
      <c r="AO389" s="181"/>
      <c r="AP389" s="181"/>
      <c r="AQ389" s="181"/>
      <c r="AR389" s="181"/>
      <c r="AS389" s="181"/>
      <c r="AT389" s="181"/>
      <c r="AU389" s="181"/>
      <c r="AV389" s="181"/>
      <c r="AW389" s="181"/>
      <c r="AX389" s="181"/>
      <c r="AY389" s="181"/>
      <c r="AZ389" s="181"/>
      <c r="BA389" s="181"/>
      <c r="BB389" s="32"/>
      <c r="BC389" s="32"/>
      <c r="BD389" s="32"/>
      <c r="BE389" s="32"/>
      <c r="BF389" s="32"/>
      <c r="BG389" s="32"/>
      <c r="BH389" s="32"/>
      <c r="BI389" s="32"/>
      <c r="BJ389" s="32"/>
      <c r="BK389" s="32"/>
      <c r="BL389" s="32"/>
      <c r="BM389" s="32"/>
      <c r="BN389" s="32"/>
      <c r="BO389" s="32"/>
      <c r="BP389" s="32"/>
      <c r="BQ389" s="32"/>
      <c r="BR389" s="32"/>
      <c r="BS389" s="32"/>
      <c r="BT389" s="32"/>
      <c r="BU389" s="32"/>
      <c r="BV389" s="32"/>
      <c r="BW389" s="32"/>
      <c r="BX389" s="32"/>
      <c r="BY389" s="32"/>
      <c r="BZ389" s="32"/>
      <c r="CA389" s="32"/>
      <c r="CB389" s="32"/>
      <c r="CC389" s="32"/>
      <c r="CD389" s="32"/>
    </row>
    <row r="390" spans="1:8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181"/>
      <c r="S390" s="181"/>
      <c r="T390" s="181"/>
      <c r="U390" s="181"/>
      <c r="V390" s="181"/>
      <c r="W390" s="181"/>
      <c r="X390" s="181"/>
      <c r="Y390" s="181"/>
      <c r="Z390" s="181"/>
      <c r="AA390" s="181"/>
      <c r="AB390" s="181"/>
      <c r="AC390" s="181"/>
      <c r="AD390" s="181"/>
      <c r="AE390" s="181"/>
      <c r="AF390" s="181"/>
      <c r="AG390" s="181"/>
      <c r="AH390" s="181"/>
      <c r="AI390" s="181"/>
      <c r="AJ390" s="181"/>
      <c r="AK390" s="181"/>
      <c r="AL390" s="181"/>
      <c r="AM390" s="181"/>
      <c r="AN390" s="181"/>
      <c r="AO390" s="181"/>
      <c r="AP390" s="181"/>
      <c r="AQ390" s="181"/>
      <c r="AR390" s="181"/>
      <c r="AS390" s="181"/>
      <c r="AT390" s="181"/>
      <c r="AU390" s="181"/>
      <c r="AV390" s="181"/>
      <c r="AW390" s="181"/>
      <c r="AX390" s="181"/>
      <c r="AY390" s="181"/>
      <c r="AZ390" s="181"/>
      <c r="BA390" s="181"/>
      <c r="BB390" s="32"/>
      <c r="BC390" s="32"/>
      <c r="BD390" s="32"/>
      <c r="BE390" s="32"/>
      <c r="BF390" s="32"/>
      <c r="BG390" s="32"/>
      <c r="BH390" s="32"/>
      <c r="BI390" s="32"/>
      <c r="BJ390" s="32"/>
      <c r="BK390" s="32"/>
      <c r="BL390" s="32"/>
      <c r="BM390" s="32"/>
      <c r="BN390" s="32"/>
      <c r="BO390" s="32"/>
      <c r="BP390" s="32"/>
      <c r="BQ390" s="32"/>
      <c r="BR390" s="32"/>
      <c r="BS390" s="32"/>
      <c r="BT390" s="32"/>
      <c r="BU390" s="32"/>
      <c r="BV390" s="32"/>
      <c r="BW390" s="32"/>
      <c r="BX390" s="32"/>
      <c r="BY390" s="32"/>
      <c r="BZ390" s="32"/>
      <c r="CA390" s="32"/>
      <c r="CB390" s="32"/>
      <c r="CC390" s="32"/>
      <c r="CD390" s="32"/>
    </row>
    <row r="391" spans="1:8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181"/>
      <c r="S391" s="181"/>
      <c r="T391" s="181"/>
      <c r="U391" s="181"/>
      <c r="V391" s="181"/>
      <c r="W391" s="181"/>
      <c r="X391" s="181"/>
      <c r="Y391" s="181"/>
      <c r="Z391" s="181"/>
      <c r="AA391" s="181"/>
      <c r="AB391" s="181"/>
      <c r="AC391" s="181"/>
      <c r="AD391" s="181"/>
      <c r="AE391" s="181"/>
      <c r="AF391" s="181"/>
      <c r="AG391" s="181"/>
      <c r="AH391" s="181"/>
      <c r="AI391" s="181"/>
      <c r="AJ391" s="181"/>
      <c r="AK391" s="181"/>
      <c r="AL391" s="181"/>
      <c r="AM391" s="181"/>
      <c r="AN391" s="181"/>
      <c r="AO391" s="181"/>
      <c r="AP391" s="181"/>
      <c r="AQ391" s="181"/>
      <c r="AR391" s="181"/>
      <c r="AS391" s="181"/>
      <c r="AT391" s="181"/>
      <c r="AU391" s="181"/>
      <c r="AV391" s="181"/>
      <c r="AW391" s="181"/>
      <c r="AX391" s="181"/>
      <c r="AY391" s="181"/>
      <c r="AZ391" s="181"/>
      <c r="BA391" s="181"/>
      <c r="BB391" s="32"/>
      <c r="BC391" s="32"/>
      <c r="BD391" s="32"/>
      <c r="BE391" s="32"/>
      <c r="BF391" s="32"/>
      <c r="BG391" s="32"/>
      <c r="BH391" s="32"/>
      <c r="BI391" s="32"/>
      <c r="BJ391" s="32"/>
      <c r="BK391" s="32"/>
      <c r="BL391" s="32"/>
      <c r="BM391" s="32"/>
      <c r="BN391" s="32"/>
      <c r="BO391" s="32"/>
      <c r="BP391" s="32"/>
      <c r="BQ391" s="32"/>
      <c r="BR391" s="32"/>
      <c r="BS391" s="32"/>
      <c r="BT391" s="32"/>
      <c r="BU391" s="32"/>
      <c r="BV391" s="32"/>
      <c r="BW391" s="32"/>
      <c r="BX391" s="32"/>
      <c r="BY391" s="32"/>
      <c r="BZ391" s="32"/>
      <c r="CA391" s="32"/>
      <c r="CB391" s="32"/>
      <c r="CC391" s="32"/>
      <c r="CD391" s="32"/>
    </row>
    <row r="392" spans="1:8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181"/>
      <c r="S392" s="181"/>
      <c r="T392" s="181"/>
      <c r="U392" s="181"/>
      <c r="V392" s="181"/>
      <c r="W392" s="181"/>
      <c r="X392" s="181"/>
      <c r="Y392" s="181"/>
      <c r="Z392" s="181"/>
      <c r="AA392" s="181"/>
      <c r="AB392" s="181"/>
      <c r="AC392" s="181"/>
      <c r="AD392" s="181"/>
      <c r="AE392" s="181"/>
      <c r="AF392" s="181"/>
      <c r="AG392" s="181"/>
      <c r="AH392" s="181"/>
      <c r="AI392" s="181"/>
      <c r="AJ392" s="181"/>
      <c r="AK392" s="181"/>
      <c r="AL392" s="181"/>
      <c r="AM392" s="181"/>
      <c r="AN392" s="181"/>
      <c r="AO392" s="181"/>
      <c r="AP392" s="181"/>
      <c r="AQ392" s="181"/>
      <c r="AR392" s="181"/>
      <c r="AS392" s="181"/>
      <c r="AT392" s="181"/>
      <c r="AU392" s="181"/>
      <c r="AV392" s="181"/>
      <c r="AW392" s="181"/>
      <c r="AX392" s="181"/>
      <c r="AY392" s="181"/>
      <c r="AZ392" s="181"/>
      <c r="BA392" s="181"/>
      <c r="BB392" s="32"/>
      <c r="BC392" s="32"/>
      <c r="BD392" s="32"/>
      <c r="BE392" s="32"/>
      <c r="BF392" s="32"/>
      <c r="BG392" s="32"/>
      <c r="BH392" s="32"/>
      <c r="BI392" s="32"/>
      <c r="BJ392" s="32"/>
      <c r="BK392" s="32"/>
      <c r="BL392" s="32"/>
      <c r="BM392" s="32"/>
      <c r="BN392" s="32"/>
      <c r="BO392" s="32"/>
      <c r="BP392" s="32"/>
      <c r="BQ392" s="32"/>
      <c r="BR392" s="32"/>
      <c r="BS392" s="32"/>
      <c r="BT392" s="32"/>
      <c r="BU392" s="32"/>
      <c r="BV392" s="32"/>
      <c r="BW392" s="32"/>
      <c r="BX392" s="32"/>
      <c r="BY392" s="32"/>
      <c r="BZ392" s="32"/>
      <c r="CA392" s="32"/>
      <c r="CB392" s="32"/>
      <c r="CC392" s="32"/>
      <c r="CD392" s="32"/>
    </row>
    <row r="393" spans="1:8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181"/>
      <c r="S393" s="181"/>
      <c r="T393" s="181"/>
      <c r="U393" s="181"/>
      <c r="V393" s="181"/>
      <c r="W393" s="181"/>
      <c r="X393" s="181"/>
      <c r="Y393" s="181"/>
      <c r="Z393" s="181"/>
      <c r="AA393" s="181"/>
      <c r="AB393" s="181"/>
      <c r="AC393" s="181"/>
      <c r="AD393" s="181"/>
      <c r="AE393" s="181"/>
      <c r="AF393" s="181"/>
      <c r="AG393" s="181"/>
      <c r="AH393" s="181"/>
      <c r="AI393" s="181"/>
      <c r="AJ393" s="181"/>
      <c r="AK393" s="181"/>
      <c r="AL393" s="181"/>
      <c r="AM393" s="181"/>
      <c r="AN393" s="181"/>
      <c r="AO393" s="181"/>
      <c r="AP393" s="181"/>
      <c r="AQ393" s="181"/>
      <c r="AR393" s="181"/>
      <c r="AS393" s="181"/>
      <c r="AT393" s="181"/>
      <c r="AU393" s="181"/>
      <c r="AV393" s="181"/>
      <c r="AW393" s="181"/>
      <c r="AX393" s="181"/>
      <c r="AY393" s="181"/>
      <c r="AZ393" s="181"/>
      <c r="BA393" s="181"/>
      <c r="BB393" s="32"/>
      <c r="BC393" s="32"/>
      <c r="BD393" s="32"/>
      <c r="BE393" s="32"/>
      <c r="BF393" s="32"/>
      <c r="BG393" s="32"/>
      <c r="BH393" s="32"/>
      <c r="BI393" s="32"/>
      <c r="BJ393" s="32"/>
      <c r="BK393" s="32"/>
      <c r="BL393" s="32"/>
      <c r="BM393" s="32"/>
      <c r="BN393" s="32"/>
      <c r="BO393" s="32"/>
      <c r="BP393" s="32"/>
      <c r="BQ393" s="32"/>
      <c r="BR393" s="32"/>
      <c r="BS393" s="32"/>
      <c r="BT393" s="32"/>
      <c r="BU393" s="32"/>
      <c r="BV393" s="32"/>
      <c r="BW393" s="32"/>
      <c r="BX393" s="32"/>
      <c r="BY393" s="32"/>
      <c r="BZ393" s="32"/>
      <c r="CA393" s="32"/>
      <c r="CB393" s="32"/>
      <c r="CC393" s="32"/>
      <c r="CD393" s="32"/>
    </row>
    <row r="394" spans="1:8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181"/>
      <c r="S394" s="181"/>
      <c r="T394" s="181"/>
      <c r="U394" s="181"/>
      <c r="V394" s="181"/>
      <c r="W394" s="181"/>
      <c r="X394" s="181"/>
      <c r="Y394" s="181"/>
      <c r="Z394" s="181"/>
      <c r="AA394" s="181"/>
      <c r="AB394" s="181"/>
      <c r="AC394" s="181"/>
      <c r="AD394" s="181"/>
      <c r="AE394" s="181"/>
      <c r="AF394" s="181"/>
      <c r="AG394" s="181"/>
      <c r="AH394" s="181"/>
      <c r="AI394" s="181"/>
      <c r="AJ394" s="181"/>
      <c r="AK394" s="181"/>
      <c r="AL394" s="181"/>
      <c r="AM394" s="181"/>
      <c r="AN394" s="181"/>
      <c r="AO394" s="181"/>
      <c r="AP394" s="181"/>
      <c r="AQ394" s="181"/>
      <c r="AR394" s="181"/>
      <c r="AS394" s="181"/>
      <c r="AT394" s="181"/>
      <c r="AU394" s="181"/>
      <c r="AV394" s="181"/>
      <c r="AW394" s="181"/>
      <c r="AX394" s="181"/>
      <c r="AY394" s="181"/>
      <c r="AZ394" s="181"/>
      <c r="BA394" s="181"/>
      <c r="BB394" s="32"/>
      <c r="BC394" s="32"/>
      <c r="BD394" s="32"/>
      <c r="BE394" s="32"/>
      <c r="BF394" s="32"/>
      <c r="BG394" s="32"/>
      <c r="BH394" s="32"/>
      <c r="BI394" s="32"/>
      <c r="BJ394" s="32"/>
      <c r="BK394" s="32"/>
      <c r="BL394" s="32"/>
      <c r="BM394" s="32"/>
      <c r="BN394" s="32"/>
      <c r="BO394" s="32"/>
      <c r="BP394" s="32"/>
      <c r="BQ394" s="32"/>
      <c r="BR394" s="32"/>
      <c r="BS394" s="32"/>
      <c r="BT394" s="32"/>
      <c r="BU394" s="32"/>
      <c r="BV394" s="32"/>
      <c r="BW394" s="32"/>
      <c r="BX394" s="32"/>
      <c r="BY394" s="32"/>
      <c r="BZ394" s="32"/>
      <c r="CA394" s="32"/>
      <c r="CB394" s="32"/>
      <c r="CC394" s="32"/>
      <c r="CD394" s="32"/>
    </row>
    <row r="395" spans="1:8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181"/>
      <c r="S395" s="181"/>
      <c r="T395" s="181"/>
      <c r="U395" s="181"/>
      <c r="V395" s="181"/>
      <c r="W395" s="181"/>
      <c r="X395" s="181"/>
      <c r="Y395" s="181"/>
      <c r="Z395" s="181"/>
      <c r="AA395" s="181"/>
      <c r="AB395" s="181"/>
      <c r="AC395" s="181"/>
      <c r="AD395" s="181"/>
      <c r="AE395" s="181"/>
      <c r="AF395" s="181"/>
      <c r="AG395" s="181"/>
      <c r="AH395" s="181"/>
      <c r="AI395" s="181"/>
      <c r="AJ395" s="181"/>
      <c r="AK395" s="181"/>
      <c r="AL395" s="181"/>
      <c r="AM395" s="181"/>
      <c r="AN395" s="181"/>
      <c r="AO395" s="181"/>
      <c r="AP395" s="181"/>
      <c r="AQ395" s="181"/>
      <c r="AR395" s="181"/>
      <c r="AS395" s="181"/>
      <c r="AT395" s="181"/>
      <c r="AU395" s="181"/>
      <c r="AV395" s="181"/>
      <c r="AW395" s="181"/>
      <c r="AX395" s="181"/>
      <c r="AY395" s="181"/>
      <c r="AZ395" s="181"/>
      <c r="BA395" s="181"/>
      <c r="BB395" s="32"/>
      <c r="BC395" s="32"/>
      <c r="BD395" s="32"/>
      <c r="BE395" s="32"/>
      <c r="BF395" s="32"/>
      <c r="BG395" s="32"/>
      <c r="BH395" s="32"/>
      <c r="BI395" s="32"/>
      <c r="BJ395" s="32"/>
      <c r="BK395" s="32"/>
      <c r="BL395" s="32"/>
      <c r="BM395" s="32"/>
      <c r="BN395" s="32"/>
      <c r="BO395" s="32"/>
      <c r="BP395" s="32"/>
      <c r="BQ395" s="32"/>
      <c r="BR395" s="32"/>
      <c r="BS395" s="32"/>
      <c r="BT395" s="32"/>
      <c r="BU395" s="32"/>
      <c r="BV395" s="32"/>
      <c r="BW395" s="32"/>
      <c r="BX395" s="32"/>
      <c r="BY395" s="32"/>
      <c r="BZ395" s="32"/>
      <c r="CA395" s="32"/>
      <c r="CB395" s="32"/>
      <c r="CC395" s="32"/>
      <c r="CD395" s="32"/>
    </row>
    <row r="396" spans="1:8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81"/>
      <c r="AJ396" s="181"/>
      <c r="AK396" s="181"/>
      <c r="AL396" s="181"/>
      <c r="AM396" s="181"/>
      <c r="AN396" s="181"/>
      <c r="AO396" s="181"/>
      <c r="AP396" s="181"/>
      <c r="AQ396" s="181"/>
      <c r="AR396" s="181"/>
      <c r="AS396" s="181"/>
      <c r="AT396" s="181"/>
      <c r="AU396" s="181"/>
      <c r="AV396" s="181"/>
      <c r="AW396" s="181"/>
      <c r="AX396" s="181"/>
      <c r="AY396" s="181"/>
      <c r="AZ396" s="181"/>
      <c r="BA396" s="181"/>
      <c r="BB396" s="32"/>
      <c r="BC396" s="32"/>
      <c r="BD396" s="32"/>
      <c r="BE396" s="32"/>
      <c r="BF396" s="32"/>
      <c r="BG396" s="32"/>
      <c r="BH396" s="32"/>
      <c r="BI396" s="32"/>
      <c r="BJ396" s="32"/>
      <c r="BK396" s="32"/>
      <c r="BL396" s="32"/>
      <c r="BM396" s="32"/>
      <c r="BN396" s="32"/>
      <c r="BO396" s="32"/>
      <c r="BP396" s="32"/>
      <c r="BQ396" s="32"/>
      <c r="BR396" s="32"/>
      <c r="BS396" s="32"/>
      <c r="BT396" s="32"/>
      <c r="BU396" s="32"/>
      <c r="BV396" s="32"/>
      <c r="BW396" s="32"/>
      <c r="BX396" s="32"/>
      <c r="BY396" s="32"/>
      <c r="BZ396" s="32"/>
      <c r="CA396" s="32"/>
      <c r="CB396" s="32"/>
      <c r="CC396" s="32"/>
      <c r="CD396" s="32"/>
    </row>
    <row r="397" spans="1:8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81"/>
      <c r="AJ397" s="181"/>
      <c r="AK397" s="181"/>
      <c r="AL397" s="181"/>
      <c r="AM397" s="181"/>
      <c r="AN397" s="181"/>
      <c r="AO397" s="181"/>
      <c r="AP397" s="181"/>
      <c r="AQ397" s="181"/>
      <c r="AR397" s="181"/>
      <c r="AS397" s="181"/>
      <c r="AT397" s="181"/>
      <c r="AU397" s="181"/>
      <c r="AV397" s="181"/>
      <c r="AW397" s="181"/>
      <c r="AX397" s="181"/>
      <c r="AY397" s="181"/>
      <c r="AZ397" s="181"/>
      <c r="BA397" s="181"/>
      <c r="BB397" s="32"/>
      <c r="BC397" s="32"/>
      <c r="BD397" s="32"/>
      <c r="BE397" s="32"/>
      <c r="BF397" s="32"/>
      <c r="BG397" s="32"/>
      <c r="BH397" s="32"/>
      <c r="BI397" s="32"/>
      <c r="BJ397" s="32"/>
      <c r="BK397" s="32"/>
      <c r="BL397" s="32"/>
      <c r="BM397" s="32"/>
      <c r="BN397" s="32"/>
      <c r="BO397" s="32"/>
      <c r="BP397" s="32"/>
      <c r="BQ397" s="32"/>
      <c r="BR397" s="32"/>
      <c r="BS397" s="32"/>
      <c r="BT397" s="32"/>
      <c r="BU397" s="32"/>
      <c r="BV397" s="32"/>
      <c r="BW397" s="32"/>
      <c r="BX397" s="32"/>
      <c r="BY397" s="32"/>
      <c r="BZ397" s="32"/>
      <c r="CA397" s="32"/>
      <c r="CB397" s="32"/>
      <c r="CC397" s="32"/>
      <c r="CD397" s="32"/>
    </row>
    <row r="398" spans="1:8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81"/>
      <c r="AJ398" s="181"/>
      <c r="AK398" s="181"/>
      <c r="AL398" s="181"/>
      <c r="AM398" s="181"/>
      <c r="AN398" s="181"/>
      <c r="AO398" s="181"/>
      <c r="AP398" s="181"/>
      <c r="AQ398" s="181"/>
      <c r="AR398" s="181"/>
      <c r="AS398" s="181"/>
      <c r="AT398" s="181"/>
      <c r="AU398" s="181"/>
      <c r="AV398" s="181"/>
      <c r="AW398" s="181"/>
      <c r="AX398" s="181"/>
      <c r="AY398" s="181"/>
      <c r="AZ398" s="181"/>
      <c r="BA398" s="181"/>
      <c r="BB398" s="32"/>
      <c r="BC398" s="32"/>
      <c r="BD398" s="32"/>
      <c r="BE398" s="32"/>
      <c r="BF398" s="32"/>
      <c r="BG398" s="32"/>
      <c r="BH398" s="32"/>
      <c r="BI398" s="32"/>
      <c r="BJ398" s="32"/>
      <c r="BK398" s="32"/>
      <c r="BL398" s="32"/>
      <c r="BM398" s="32"/>
      <c r="BN398" s="32"/>
      <c r="BO398" s="32"/>
      <c r="BP398" s="32"/>
      <c r="BQ398" s="32"/>
      <c r="BR398" s="32"/>
      <c r="BS398" s="32"/>
      <c r="BT398" s="32"/>
      <c r="BU398" s="32"/>
      <c r="BV398" s="32"/>
      <c r="BW398" s="32"/>
      <c r="BX398" s="32"/>
      <c r="BY398" s="32"/>
      <c r="BZ398" s="32"/>
      <c r="CA398" s="32"/>
      <c r="CB398" s="32"/>
      <c r="CC398" s="32"/>
      <c r="CD398" s="32"/>
    </row>
    <row r="399" spans="1:8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81"/>
      <c r="AJ399" s="181"/>
      <c r="AK399" s="181"/>
      <c r="AL399" s="181"/>
      <c r="AM399" s="181"/>
      <c r="AN399" s="181"/>
      <c r="AO399" s="181"/>
      <c r="AP399" s="181"/>
      <c r="AQ399" s="181"/>
      <c r="AR399" s="181"/>
      <c r="AS399" s="181"/>
      <c r="AT399" s="181"/>
      <c r="AU399" s="181"/>
      <c r="AV399" s="181"/>
      <c r="AW399" s="181"/>
      <c r="AX399" s="181"/>
      <c r="AY399" s="181"/>
      <c r="AZ399" s="181"/>
      <c r="BA399" s="181"/>
      <c r="BB399" s="32"/>
      <c r="BC399" s="32"/>
      <c r="BD399" s="32"/>
      <c r="BE399" s="32"/>
      <c r="BF399" s="32"/>
      <c r="BG399" s="32"/>
      <c r="BH399" s="32"/>
      <c r="BI399" s="32"/>
      <c r="BJ399" s="32"/>
      <c r="BK399" s="32"/>
      <c r="BL399" s="32"/>
      <c r="BM399" s="32"/>
      <c r="BN399" s="32"/>
      <c r="BO399" s="32"/>
      <c r="BP399" s="32"/>
      <c r="BQ399" s="32"/>
      <c r="BR399" s="32"/>
      <c r="BS399" s="32"/>
      <c r="BT399" s="32"/>
      <c r="BU399" s="32"/>
      <c r="BV399" s="32"/>
      <c r="BW399" s="32"/>
      <c r="BX399" s="32"/>
      <c r="BY399" s="32"/>
      <c r="BZ399" s="32"/>
      <c r="CA399" s="32"/>
      <c r="CB399" s="32"/>
      <c r="CC399" s="32"/>
      <c r="CD399" s="32"/>
    </row>
    <row r="400" spans="1:8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81"/>
      <c r="AJ400" s="181"/>
      <c r="AK400" s="181"/>
      <c r="AL400" s="181"/>
      <c r="AM400" s="181"/>
      <c r="AN400" s="181"/>
      <c r="AO400" s="181"/>
      <c r="AP400" s="181"/>
      <c r="AQ400" s="181"/>
      <c r="AR400" s="181"/>
      <c r="AS400" s="181"/>
      <c r="AT400" s="181"/>
      <c r="AU400" s="181"/>
      <c r="AV400" s="181"/>
      <c r="AW400" s="181"/>
      <c r="AX400" s="181"/>
      <c r="AY400" s="181"/>
      <c r="AZ400" s="181"/>
      <c r="BA400" s="181"/>
      <c r="BB400" s="32"/>
      <c r="BC400" s="32"/>
      <c r="BD400" s="32"/>
      <c r="BE400" s="32"/>
      <c r="BF400" s="32"/>
      <c r="BG400" s="32"/>
      <c r="BH400" s="32"/>
      <c r="BI400" s="32"/>
      <c r="BJ400" s="32"/>
      <c r="BK400" s="32"/>
      <c r="BL400" s="32"/>
      <c r="BM400" s="32"/>
      <c r="BN400" s="32"/>
      <c r="BO400" s="32"/>
      <c r="BP400" s="32"/>
      <c r="BQ400" s="32"/>
      <c r="BR400" s="32"/>
      <c r="BS400" s="32"/>
      <c r="BT400" s="32"/>
      <c r="BU400" s="32"/>
      <c r="BV400" s="32"/>
      <c r="BW400" s="32"/>
      <c r="BX400" s="32"/>
      <c r="BY400" s="32"/>
      <c r="BZ400" s="32"/>
      <c r="CA400" s="32"/>
      <c r="CB400" s="32"/>
      <c r="CC400" s="32"/>
      <c r="CD400" s="32"/>
    </row>
    <row r="401" spans="1:8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81"/>
      <c r="AJ401" s="181"/>
      <c r="AK401" s="181"/>
      <c r="AL401" s="181"/>
      <c r="AM401" s="181"/>
      <c r="AN401" s="181"/>
      <c r="AO401" s="181"/>
      <c r="AP401" s="181"/>
      <c r="AQ401" s="181"/>
      <c r="AR401" s="181"/>
      <c r="AS401" s="181"/>
      <c r="AT401" s="181"/>
      <c r="AU401" s="181"/>
      <c r="AV401" s="181"/>
      <c r="AW401" s="181"/>
      <c r="AX401" s="181"/>
      <c r="AY401" s="181"/>
      <c r="AZ401" s="181"/>
      <c r="BA401" s="181"/>
      <c r="BB401" s="32"/>
      <c r="BC401" s="32"/>
      <c r="BD401" s="32"/>
      <c r="BE401" s="32"/>
      <c r="BF401" s="32"/>
      <c r="BG401" s="32"/>
      <c r="BH401" s="32"/>
      <c r="BI401" s="32"/>
      <c r="BJ401" s="32"/>
      <c r="BK401" s="32"/>
      <c r="BL401" s="32"/>
      <c r="BM401" s="32"/>
      <c r="BN401" s="32"/>
      <c r="BO401" s="32"/>
      <c r="BP401" s="32"/>
      <c r="BQ401" s="32"/>
      <c r="BR401" s="32"/>
      <c r="BS401" s="32"/>
      <c r="BT401" s="32"/>
      <c r="BU401" s="32"/>
      <c r="BV401" s="32"/>
      <c r="BW401" s="32"/>
      <c r="BX401" s="32"/>
      <c r="BY401" s="32"/>
      <c r="BZ401" s="32"/>
      <c r="CA401" s="32"/>
      <c r="CB401" s="32"/>
      <c r="CC401" s="32"/>
      <c r="CD401" s="32"/>
    </row>
    <row r="402" spans="1:8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81"/>
      <c r="AJ402" s="181"/>
      <c r="AK402" s="181"/>
      <c r="AL402" s="181"/>
      <c r="AM402" s="181"/>
      <c r="AN402" s="181"/>
      <c r="AO402" s="181"/>
      <c r="AP402" s="181"/>
      <c r="AQ402" s="181"/>
      <c r="AR402" s="181"/>
      <c r="AS402" s="181"/>
      <c r="AT402" s="181"/>
      <c r="AU402" s="181"/>
      <c r="AV402" s="181"/>
      <c r="AW402" s="181"/>
      <c r="AX402" s="181"/>
      <c r="AY402" s="181"/>
      <c r="AZ402" s="181"/>
      <c r="BA402" s="181"/>
      <c r="BB402" s="32"/>
      <c r="BC402" s="32"/>
      <c r="BD402" s="32"/>
      <c r="BE402" s="32"/>
      <c r="BF402" s="32"/>
      <c r="BG402" s="32"/>
      <c r="BH402" s="32"/>
      <c r="BI402" s="32"/>
      <c r="BJ402" s="32"/>
      <c r="BK402" s="32"/>
      <c r="BL402" s="32"/>
      <c r="BM402" s="32"/>
      <c r="BN402" s="32"/>
      <c r="BO402" s="32"/>
      <c r="BP402" s="32"/>
      <c r="BQ402" s="32"/>
      <c r="BR402" s="32"/>
      <c r="BS402" s="32"/>
      <c r="BT402" s="32"/>
      <c r="BU402" s="32"/>
      <c r="BV402" s="32"/>
      <c r="BW402" s="32"/>
      <c r="BX402" s="32"/>
      <c r="BY402" s="32"/>
      <c r="BZ402" s="32"/>
      <c r="CA402" s="32"/>
      <c r="CB402" s="32"/>
      <c r="CC402" s="32"/>
      <c r="CD402" s="32"/>
    </row>
    <row r="403" spans="1:8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81"/>
      <c r="AJ403" s="181"/>
      <c r="AK403" s="181"/>
      <c r="AL403" s="181"/>
      <c r="AM403" s="181"/>
      <c r="AN403" s="181"/>
      <c r="AO403" s="181"/>
      <c r="AP403" s="181"/>
      <c r="AQ403" s="181"/>
      <c r="AR403" s="181"/>
      <c r="AS403" s="181"/>
      <c r="AT403" s="181"/>
      <c r="AU403" s="181"/>
      <c r="AV403" s="181"/>
      <c r="AW403" s="181"/>
      <c r="AX403" s="181"/>
      <c r="AY403" s="181"/>
      <c r="AZ403" s="181"/>
      <c r="BA403" s="181"/>
      <c r="BB403" s="32"/>
      <c r="BC403" s="32"/>
      <c r="BD403" s="32"/>
      <c r="BE403" s="32"/>
      <c r="BF403" s="32"/>
      <c r="BG403" s="32"/>
      <c r="BH403" s="32"/>
      <c r="BI403" s="32"/>
      <c r="BJ403" s="32"/>
      <c r="BK403" s="32"/>
      <c r="BL403" s="32"/>
      <c r="BM403" s="32"/>
      <c r="BN403" s="32"/>
      <c r="BO403" s="32"/>
      <c r="BP403" s="32"/>
      <c r="BQ403" s="32"/>
      <c r="BR403" s="32"/>
      <c r="BS403" s="32"/>
      <c r="BT403" s="32"/>
      <c r="BU403" s="32"/>
      <c r="BV403" s="32"/>
      <c r="BW403" s="32"/>
      <c r="BX403" s="32"/>
      <c r="BY403" s="32"/>
      <c r="BZ403" s="32"/>
      <c r="CA403" s="32"/>
      <c r="CB403" s="32"/>
      <c r="CC403" s="32"/>
      <c r="CD403" s="32"/>
    </row>
    <row r="404" spans="1:8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81"/>
      <c r="AJ404" s="181"/>
      <c r="AK404" s="181"/>
      <c r="AL404" s="181"/>
      <c r="AM404" s="181"/>
      <c r="AN404" s="181"/>
      <c r="AO404" s="181"/>
      <c r="AP404" s="181"/>
      <c r="AQ404" s="181"/>
      <c r="AR404" s="181"/>
      <c r="AS404" s="181"/>
      <c r="AT404" s="181"/>
      <c r="AU404" s="181"/>
      <c r="AV404" s="181"/>
      <c r="AW404" s="181"/>
      <c r="AX404" s="181"/>
      <c r="AY404" s="181"/>
      <c r="AZ404" s="181"/>
      <c r="BA404" s="181"/>
      <c r="BB404" s="32"/>
      <c r="BC404" s="32"/>
      <c r="BD404" s="32"/>
      <c r="BE404" s="32"/>
      <c r="BF404" s="32"/>
      <c r="BG404" s="32"/>
      <c r="BH404" s="32"/>
      <c r="BI404" s="32"/>
      <c r="BJ404" s="32"/>
      <c r="BK404" s="32"/>
      <c r="BL404" s="32"/>
      <c r="BM404" s="32"/>
      <c r="BN404" s="32"/>
      <c r="BO404" s="32"/>
      <c r="BP404" s="32"/>
      <c r="BQ404" s="32"/>
      <c r="BR404" s="32"/>
      <c r="BS404" s="32"/>
      <c r="BT404" s="32"/>
      <c r="BU404" s="32"/>
      <c r="BV404" s="32"/>
      <c r="BW404" s="32"/>
      <c r="BX404" s="32"/>
      <c r="BY404" s="32"/>
      <c r="BZ404" s="32"/>
      <c r="CA404" s="32"/>
      <c r="CB404" s="32"/>
      <c r="CC404" s="32"/>
      <c r="CD404" s="32"/>
    </row>
    <row r="405" spans="1:8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81"/>
      <c r="AJ405" s="181"/>
      <c r="AK405" s="181"/>
      <c r="AL405" s="181"/>
      <c r="AM405" s="181"/>
      <c r="AN405" s="181"/>
      <c r="AO405" s="181"/>
      <c r="AP405" s="181"/>
      <c r="AQ405" s="181"/>
      <c r="AR405" s="181"/>
      <c r="AS405" s="181"/>
      <c r="AT405" s="181"/>
      <c r="AU405" s="181"/>
      <c r="AV405" s="181"/>
      <c r="AW405" s="181"/>
      <c r="AX405" s="181"/>
      <c r="AY405" s="181"/>
      <c r="AZ405" s="181"/>
      <c r="BA405" s="181"/>
      <c r="BB405" s="32"/>
      <c r="BC405" s="32"/>
      <c r="BD405" s="32"/>
      <c r="BE405" s="32"/>
      <c r="BF405" s="32"/>
      <c r="BG405" s="32"/>
      <c r="BH405" s="32"/>
      <c r="BI405" s="32"/>
      <c r="BJ405" s="32"/>
      <c r="BK405" s="32"/>
      <c r="BL405" s="32"/>
      <c r="BM405" s="32"/>
      <c r="BN405" s="32"/>
      <c r="BO405" s="32"/>
      <c r="BP405" s="32"/>
      <c r="BQ405" s="32"/>
      <c r="BR405" s="32"/>
      <c r="BS405" s="32"/>
      <c r="BT405" s="32"/>
      <c r="BU405" s="32"/>
      <c r="BV405" s="32"/>
      <c r="BW405" s="32"/>
      <c r="BX405" s="32"/>
      <c r="BY405" s="32"/>
      <c r="BZ405" s="32"/>
      <c r="CA405" s="32"/>
      <c r="CB405" s="32"/>
      <c r="CC405" s="32"/>
      <c r="CD405" s="32"/>
    </row>
    <row r="406" spans="1:8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81"/>
      <c r="AJ406" s="181"/>
      <c r="AK406" s="181"/>
      <c r="AL406" s="181"/>
      <c r="AM406" s="181"/>
      <c r="AN406" s="181"/>
      <c r="AO406" s="181"/>
      <c r="AP406" s="181"/>
      <c r="AQ406" s="181"/>
      <c r="AR406" s="181"/>
      <c r="AS406" s="181"/>
      <c r="AT406" s="181"/>
      <c r="AU406" s="181"/>
      <c r="AV406" s="181"/>
      <c r="AW406" s="181"/>
      <c r="AX406" s="181"/>
      <c r="AY406" s="181"/>
      <c r="AZ406" s="181"/>
      <c r="BA406" s="181"/>
      <c r="BB406" s="32"/>
      <c r="BC406" s="32"/>
      <c r="BD406" s="32"/>
      <c r="BE406" s="32"/>
      <c r="BF406" s="32"/>
      <c r="BG406" s="32"/>
      <c r="BH406" s="32"/>
      <c r="BI406" s="32"/>
      <c r="BJ406" s="32"/>
      <c r="BK406" s="32"/>
      <c r="BL406" s="32"/>
      <c r="BM406" s="32"/>
      <c r="BN406" s="32"/>
      <c r="BO406" s="32"/>
      <c r="BP406" s="32"/>
      <c r="BQ406" s="32"/>
      <c r="BR406" s="32"/>
      <c r="BS406" s="32"/>
      <c r="BT406" s="32"/>
      <c r="BU406" s="32"/>
      <c r="BV406" s="32"/>
      <c r="BW406" s="32"/>
      <c r="BX406" s="32"/>
      <c r="BY406" s="32"/>
      <c r="BZ406" s="32"/>
      <c r="CA406" s="32"/>
      <c r="CB406" s="32"/>
      <c r="CC406" s="32"/>
      <c r="CD406" s="32"/>
    </row>
    <row r="407" spans="1:8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81"/>
      <c r="AJ407" s="181"/>
      <c r="AK407" s="181"/>
      <c r="AL407" s="181"/>
      <c r="AM407" s="181"/>
      <c r="AN407" s="181"/>
      <c r="AO407" s="181"/>
      <c r="AP407" s="181"/>
      <c r="AQ407" s="181"/>
      <c r="AR407" s="181"/>
      <c r="AS407" s="181"/>
      <c r="AT407" s="181"/>
      <c r="AU407" s="181"/>
      <c r="AV407" s="181"/>
      <c r="AW407" s="181"/>
      <c r="AX407" s="181"/>
      <c r="AY407" s="181"/>
      <c r="AZ407" s="181"/>
      <c r="BA407" s="181"/>
      <c r="BB407" s="32"/>
      <c r="BC407" s="32"/>
      <c r="BD407" s="32"/>
      <c r="BE407" s="32"/>
      <c r="BF407" s="32"/>
      <c r="BG407" s="32"/>
      <c r="BH407" s="32"/>
      <c r="BI407" s="32"/>
      <c r="BJ407" s="32"/>
      <c r="BK407" s="32"/>
      <c r="BL407" s="32"/>
      <c r="BM407" s="32"/>
      <c r="BN407" s="32"/>
      <c r="BO407" s="32"/>
      <c r="BP407" s="32"/>
      <c r="BQ407" s="32"/>
      <c r="BR407" s="32"/>
      <c r="BS407" s="32"/>
      <c r="BT407" s="32"/>
      <c r="BU407" s="32"/>
      <c r="BV407" s="32"/>
      <c r="BW407" s="32"/>
      <c r="BX407" s="32"/>
      <c r="BY407" s="32"/>
      <c r="BZ407" s="32"/>
      <c r="CA407" s="32"/>
      <c r="CB407" s="32"/>
      <c r="CC407" s="32"/>
      <c r="CD407" s="32"/>
    </row>
    <row r="408" spans="1:8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81"/>
      <c r="AJ408" s="181"/>
      <c r="AK408" s="181"/>
      <c r="AL408" s="181"/>
      <c r="AM408" s="181"/>
      <c r="AN408" s="181"/>
      <c r="AO408" s="181"/>
      <c r="AP408" s="181"/>
      <c r="AQ408" s="181"/>
      <c r="AR408" s="181"/>
      <c r="AS408" s="181"/>
      <c r="AT408" s="181"/>
      <c r="AU408" s="181"/>
      <c r="AV408" s="181"/>
      <c r="AW408" s="181"/>
      <c r="AX408" s="181"/>
      <c r="AY408" s="181"/>
      <c r="AZ408" s="181"/>
      <c r="BA408" s="181"/>
      <c r="BB408" s="32"/>
      <c r="BC408" s="32"/>
      <c r="BD408" s="32"/>
      <c r="BE408" s="32"/>
      <c r="BF408" s="32"/>
      <c r="BG408" s="32"/>
      <c r="BH408" s="32"/>
      <c r="BI408" s="32"/>
      <c r="BJ408" s="32"/>
      <c r="BK408" s="32"/>
      <c r="BL408" s="32"/>
      <c r="BM408" s="32"/>
      <c r="BN408" s="32"/>
      <c r="BO408" s="32"/>
      <c r="BP408" s="32"/>
      <c r="BQ408" s="32"/>
      <c r="BR408" s="32"/>
      <c r="BS408" s="32"/>
      <c r="BT408" s="32"/>
      <c r="BU408" s="32"/>
      <c r="BV408" s="32"/>
      <c r="BW408" s="32"/>
      <c r="BX408" s="32"/>
      <c r="BY408" s="32"/>
      <c r="BZ408" s="32"/>
      <c r="CA408" s="32"/>
      <c r="CB408" s="32"/>
      <c r="CC408" s="32"/>
      <c r="CD408" s="32"/>
    </row>
    <row r="409" spans="1:8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81"/>
      <c r="AJ409" s="181"/>
      <c r="AK409" s="181"/>
      <c r="AL409" s="181"/>
      <c r="AM409" s="181"/>
      <c r="AN409" s="181"/>
      <c r="AO409" s="181"/>
      <c r="AP409" s="181"/>
      <c r="AQ409" s="181"/>
      <c r="AR409" s="181"/>
      <c r="AS409" s="181"/>
      <c r="AT409" s="181"/>
      <c r="AU409" s="181"/>
      <c r="AV409" s="181"/>
      <c r="AW409" s="181"/>
      <c r="AX409" s="181"/>
      <c r="AY409" s="181"/>
      <c r="AZ409" s="181"/>
      <c r="BA409" s="181"/>
      <c r="BB409" s="32"/>
      <c r="BC409" s="32"/>
      <c r="BD409" s="32"/>
      <c r="BE409" s="32"/>
      <c r="BF409" s="32"/>
      <c r="BG409" s="32"/>
      <c r="BH409" s="32"/>
      <c r="BI409" s="32"/>
      <c r="BJ409" s="32"/>
      <c r="BK409" s="32"/>
      <c r="BL409" s="32"/>
      <c r="BM409" s="32"/>
      <c r="BN409" s="32"/>
      <c r="BO409" s="32"/>
      <c r="BP409" s="32"/>
      <c r="BQ409" s="32"/>
      <c r="BR409" s="32"/>
      <c r="BS409" s="32"/>
      <c r="BT409" s="32"/>
      <c r="BU409" s="32"/>
      <c r="BV409" s="32"/>
      <c r="BW409" s="32"/>
      <c r="BX409" s="32"/>
      <c r="BY409" s="32"/>
      <c r="BZ409" s="32"/>
      <c r="CA409" s="32"/>
      <c r="CB409" s="32"/>
      <c r="CC409" s="32"/>
      <c r="CD409" s="32"/>
    </row>
    <row r="410" spans="1:8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81"/>
      <c r="AJ410" s="181"/>
      <c r="AK410" s="181"/>
      <c r="AL410" s="181"/>
      <c r="AM410" s="181"/>
      <c r="AN410" s="181"/>
      <c r="AO410" s="181"/>
      <c r="AP410" s="181"/>
      <c r="AQ410" s="181"/>
      <c r="AR410" s="181"/>
      <c r="AS410" s="181"/>
      <c r="AT410" s="181"/>
      <c r="AU410" s="181"/>
      <c r="AV410" s="181"/>
      <c r="AW410" s="181"/>
      <c r="AX410" s="181"/>
      <c r="AY410" s="181"/>
      <c r="AZ410" s="181"/>
      <c r="BA410" s="181"/>
      <c r="BB410" s="32"/>
      <c r="BC410" s="32"/>
      <c r="BD410" s="32"/>
      <c r="BE410" s="32"/>
      <c r="BF410" s="32"/>
      <c r="BG410" s="32"/>
      <c r="BH410" s="32"/>
      <c r="BI410" s="32"/>
      <c r="BJ410" s="32"/>
      <c r="BK410" s="32"/>
      <c r="BL410" s="32"/>
      <c r="BM410" s="32"/>
      <c r="BN410" s="32"/>
      <c r="BO410" s="32"/>
      <c r="BP410" s="32"/>
      <c r="BQ410" s="32"/>
      <c r="BR410" s="32"/>
      <c r="BS410" s="32"/>
      <c r="BT410" s="32"/>
      <c r="BU410" s="32"/>
      <c r="BV410" s="32"/>
      <c r="BW410" s="32"/>
      <c r="BX410" s="32"/>
      <c r="BY410" s="32"/>
      <c r="BZ410" s="32"/>
      <c r="CA410" s="32"/>
      <c r="CB410" s="32"/>
      <c r="CC410" s="32"/>
      <c r="CD410" s="32"/>
    </row>
    <row r="411" spans="1:8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81"/>
      <c r="AI411" s="181"/>
      <c r="AJ411" s="181"/>
      <c r="AK411" s="181"/>
      <c r="AL411" s="181"/>
      <c r="AM411" s="181"/>
      <c r="AN411" s="181"/>
      <c r="AO411" s="181"/>
      <c r="AP411" s="181"/>
      <c r="AQ411" s="181"/>
      <c r="AR411" s="181"/>
      <c r="AS411" s="181"/>
      <c r="AT411" s="181"/>
      <c r="AU411" s="181"/>
      <c r="AV411" s="181"/>
      <c r="AW411" s="181"/>
      <c r="AX411" s="181"/>
      <c r="AY411" s="181"/>
      <c r="AZ411" s="181"/>
      <c r="BA411" s="181"/>
      <c r="BB411" s="32"/>
      <c r="BC411" s="32"/>
      <c r="BD411" s="32"/>
      <c r="BE411" s="32"/>
      <c r="BF411" s="32"/>
      <c r="BG411" s="32"/>
      <c r="BH411" s="32"/>
      <c r="BI411" s="32"/>
      <c r="BJ411" s="32"/>
      <c r="BK411" s="32"/>
      <c r="BL411" s="32"/>
      <c r="BM411" s="32"/>
      <c r="BN411" s="32"/>
      <c r="BO411" s="32"/>
      <c r="BP411" s="32"/>
      <c r="BQ411" s="32"/>
      <c r="BR411" s="32"/>
      <c r="BS411" s="32"/>
      <c r="BT411" s="32"/>
      <c r="BU411" s="32"/>
      <c r="BV411" s="32"/>
      <c r="BW411" s="32"/>
      <c r="BX411" s="32"/>
      <c r="BY411" s="32"/>
      <c r="BZ411" s="32"/>
      <c r="CA411" s="32"/>
      <c r="CB411" s="32"/>
      <c r="CC411" s="32"/>
      <c r="CD411" s="32"/>
    </row>
    <row r="412" spans="1:8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181"/>
      <c r="S412" s="181"/>
      <c r="T412" s="181"/>
      <c r="U412" s="181"/>
      <c r="V412" s="181"/>
      <c r="W412" s="181"/>
      <c r="X412" s="181"/>
      <c r="Y412" s="181"/>
      <c r="Z412" s="181"/>
      <c r="AA412" s="181"/>
      <c r="AB412" s="181"/>
      <c r="AC412" s="181"/>
      <c r="AD412" s="181"/>
      <c r="AE412" s="181"/>
      <c r="AF412" s="181"/>
      <c r="AG412" s="181"/>
      <c r="AH412" s="181"/>
      <c r="AI412" s="181"/>
      <c r="AJ412" s="181"/>
      <c r="AK412" s="181"/>
      <c r="AL412" s="181"/>
      <c r="AM412" s="181"/>
      <c r="AN412" s="181"/>
      <c r="AO412" s="181"/>
      <c r="AP412" s="181"/>
      <c r="AQ412" s="181"/>
      <c r="AR412" s="181"/>
      <c r="AS412" s="181"/>
      <c r="AT412" s="181"/>
      <c r="AU412" s="181"/>
      <c r="AV412" s="181"/>
      <c r="AW412" s="181"/>
      <c r="AX412" s="181"/>
      <c r="AY412" s="181"/>
      <c r="AZ412" s="181"/>
      <c r="BA412" s="181"/>
      <c r="BB412" s="32"/>
      <c r="BC412" s="32"/>
      <c r="BD412" s="32"/>
      <c r="BE412" s="32"/>
      <c r="BF412" s="32"/>
      <c r="BG412" s="32"/>
      <c r="BH412" s="32"/>
      <c r="BI412" s="32"/>
      <c r="BJ412" s="32"/>
      <c r="BK412" s="32"/>
      <c r="BL412" s="32"/>
      <c r="BM412" s="32"/>
      <c r="BN412" s="32"/>
      <c r="BO412" s="32"/>
      <c r="BP412" s="32"/>
      <c r="BQ412" s="32"/>
      <c r="BR412" s="32"/>
      <c r="BS412" s="32"/>
      <c r="BT412" s="32"/>
      <c r="BU412" s="32"/>
      <c r="BV412" s="32"/>
      <c r="BW412" s="32"/>
      <c r="BX412" s="32"/>
      <c r="BY412" s="32"/>
      <c r="BZ412" s="32"/>
      <c r="CA412" s="32"/>
      <c r="CB412" s="32"/>
      <c r="CC412" s="32"/>
      <c r="CD412" s="32"/>
    </row>
    <row r="413" spans="1:8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181"/>
      <c r="S413" s="181"/>
      <c r="T413" s="181"/>
      <c r="U413" s="181"/>
      <c r="V413" s="181"/>
      <c r="W413" s="181"/>
      <c r="X413" s="181"/>
      <c r="Y413" s="181"/>
      <c r="Z413" s="181"/>
      <c r="AA413" s="181"/>
      <c r="AB413" s="181"/>
      <c r="AC413" s="181"/>
      <c r="AD413" s="181"/>
      <c r="AE413" s="181"/>
      <c r="AF413" s="181"/>
      <c r="AG413" s="181"/>
      <c r="AH413" s="181"/>
      <c r="AI413" s="181"/>
      <c r="AJ413" s="181"/>
      <c r="AK413" s="181"/>
      <c r="AL413" s="181"/>
      <c r="AM413" s="181"/>
      <c r="AN413" s="181"/>
      <c r="AO413" s="181"/>
      <c r="AP413" s="181"/>
      <c r="AQ413" s="181"/>
      <c r="AR413" s="181"/>
      <c r="AS413" s="181"/>
      <c r="AT413" s="181"/>
      <c r="AU413" s="181"/>
      <c r="AV413" s="181"/>
      <c r="AW413" s="181"/>
      <c r="AX413" s="181"/>
      <c r="AY413" s="181"/>
      <c r="AZ413" s="181"/>
      <c r="BA413" s="181"/>
      <c r="BB413" s="32"/>
      <c r="BC413" s="32"/>
      <c r="BD413" s="32"/>
      <c r="BE413" s="32"/>
      <c r="BF413" s="32"/>
      <c r="BG413" s="32"/>
      <c r="BH413" s="32"/>
      <c r="BI413" s="32"/>
      <c r="BJ413" s="32"/>
      <c r="BK413" s="32"/>
      <c r="BL413" s="32"/>
      <c r="BM413" s="32"/>
      <c r="BN413" s="32"/>
      <c r="BO413" s="32"/>
      <c r="BP413" s="32"/>
      <c r="BQ413" s="32"/>
      <c r="BR413" s="32"/>
      <c r="BS413" s="32"/>
      <c r="BT413" s="32"/>
      <c r="BU413" s="32"/>
      <c r="BV413" s="32"/>
      <c r="BW413" s="32"/>
      <c r="BX413" s="32"/>
      <c r="BY413" s="32"/>
      <c r="BZ413" s="32"/>
      <c r="CA413" s="32"/>
      <c r="CB413" s="32"/>
      <c r="CC413" s="32"/>
      <c r="CD413" s="32"/>
    </row>
    <row r="414" spans="1:8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181"/>
      <c r="S414" s="181"/>
      <c r="T414" s="181"/>
      <c r="U414" s="181"/>
      <c r="V414" s="181"/>
      <c r="W414" s="181"/>
      <c r="X414" s="181"/>
      <c r="Y414" s="181"/>
      <c r="Z414" s="181"/>
      <c r="AA414" s="181"/>
      <c r="AB414" s="181"/>
      <c r="AC414" s="181"/>
      <c r="AD414" s="181"/>
      <c r="AE414" s="181"/>
      <c r="AF414" s="181"/>
      <c r="AG414" s="181"/>
      <c r="AH414" s="181"/>
      <c r="AI414" s="181"/>
      <c r="AJ414" s="181"/>
      <c r="AK414" s="181"/>
      <c r="AL414" s="181"/>
      <c r="AM414" s="181"/>
      <c r="AN414" s="181"/>
      <c r="AO414" s="181"/>
      <c r="AP414" s="181"/>
      <c r="AQ414" s="181"/>
      <c r="AR414" s="181"/>
      <c r="AS414" s="181"/>
      <c r="AT414" s="181"/>
      <c r="AU414" s="181"/>
      <c r="AV414" s="181"/>
      <c r="AW414" s="181"/>
      <c r="AX414" s="181"/>
      <c r="AY414" s="181"/>
      <c r="AZ414" s="181"/>
      <c r="BA414" s="181"/>
      <c r="BB414" s="32"/>
      <c r="BC414" s="32"/>
      <c r="BD414" s="32"/>
      <c r="BE414" s="32"/>
      <c r="BF414" s="32"/>
      <c r="BG414" s="32"/>
      <c r="BH414" s="32"/>
      <c r="BI414" s="32"/>
      <c r="BJ414" s="32"/>
      <c r="BK414" s="32"/>
      <c r="BL414" s="32"/>
      <c r="BM414" s="32"/>
      <c r="BN414" s="32"/>
      <c r="BO414" s="32"/>
      <c r="BP414" s="32"/>
      <c r="BQ414" s="32"/>
      <c r="BR414" s="32"/>
      <c r="BS414" s="32"/>
      <c r="BT414" s="32"/>
      <c r="BU414" s="32"/>
      <c r="BV414" s="32"/>
      <c r="BW414" s="32"/>
      <c r="BX414" s="32"/>
      <c r="BY414" s="32"/>
      <c r="BZ414" s="32"/>
      <c r="CA414" s="32"/>
      <c r="CB414" s="32"/>
      <c r="CC414" s="32"/>
      <c r="CD414" s="32"/>
    </row>
    <row r="415" spans="1:8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181"/>
      <c r="S415" s="181"/>
      <c r="T415" s="181"/>
      <c r="U415" s="181"/>
      <c r="V415" s="181"/>
      <c r="W415" s="181"/>
      <c r="X415" s="181"/>
      <c r="Y415" s="181"/>
      <c r="Z415" s="181"/>
      <c r="AA415" s="181"/>
      <c r="AB415" s="181"/>
      <c r="AC415" s="181"/>
      <c r="AD415" s="181"/>
      <c r="AE415" s="181"/>
      <c r="AF415" s="181"/>
      <c r="AG415" s="181"/>
      <c r="AH415" s="181"/>
      <c r="AI415" s="181"/>
      <c r="AJ415" s="181"/>
      <c r="AK415" s="181"/>
      <c r="AL415" s="181"/>
      <c r="AM415" s="181"/>
      <c r="AN415" s="181"/>
      <c r="AO415" s="181"/>
      <c r="AP415" s="181"/>
      <c r="AQ415" s="181"/>
      <c r="AR415" s="181"/>
      <c r="AS415" s="181"/>
      <c r="AT415" s="181"/>
      <c r="AU415" s="181"/>
      <c r="AV415" s="181"/>
      <c r="AW415" s="181"/>
      <c r="AX415" s="181"/>
      <c r="AY415" s="181"/>
      <c r="AZ415" s="181"/>
      <c r="BA415" s="181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  <c r="CA415" s="32"/>
      <c r="CB415" s="32"/>
      <c r="CC415" s="32"/>
      <c r="CD415" s="32"/>
    </row>
    <row r="416" spans="1:8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181"/>
      <c r="S416" s="181"/>
      <c r="T416" s="181"/>
      <c r="U416" s="181"/>
      <c r="V416" s="181"/>
      <c r="W416" s="181"/>
      <c r="X416" s="181"/>
      <c r="Y416" s="181"/>
      <c r="Z416" s="181"/>
      <c r="AA416" s="181"/>
      <c r="AB416" s="181"/>
      <c r="AC416" s="181"/>
      <c r="AD416" s="181"/>
      <c r="AE416" s="181"/>
      <c r="AF416" s="181"/>
      <c r="AG416" s="181"/>
      <c r="AH416" s="181"/>
      <c r="AI416" s="181"/>
      <c r="AJ416" s="181"/>
      <c r="AK416" s="181"/>
      <c r="AL416" s="181"/>
      <c r="AM416" s="181"/>
      <c r="AN416" s="181"/>
      <c r="AO416" s="181"/>
      <c r="AP416" s="181"/>
      <c r="AQ416" s="181"/>
      <c r="AR416" s="181"/>
      <c r="AS416" s="181"/>
      <c r="AT416" s="181"/>
      <c r="AU416" s="181"/>
      <c r="AV416" s="181"/>
      <c r="AW416" s="181"/>
      <c r="AX416" s="181"/>
      <c r="AY416" s="181"/>
      <c r="AZ416" s="181"/>
      <c r="BA416" s="181"/>
      <c r="BB416" s="32"/>
      <c r="BC416" s="32"/>
      <c r="BD416" s="32"/>
      <c r="BE416" s="32"/>
      <c r="BF416" s="32"/>
      <c r="BG416" s="32"/>
      <c r="BH416" s="32"/>
      <c r="BI416" s="32"/>
      <c r="BJ416" s="32"/>
      <c r="BK416" s="32"/>
      <c r="BL416" s="32"/>
      <c r="BM416" s="32"/>
      <c r="BN416" s="32"/>
      <c r="BO416" s="32"/>
      <c r="BP416" s="32"/>
      <c r="BQ416" s="32"/>
      <c r="BR416" s="32"/>
      <c r="BS416" s="32"/>
      <c r="BT416" s="32"/>
      <c r="BU416" s="32"/>
      <c r="BV416" s="32"/>
      <c r="BW416" s="32"/>
      <c r="BX416" s="32"/>
      <c r="BY416" s="32"/>
      <c r="BZ416" s="32"/>
      <c r="CA416" s="32"/>
      <c r="CB416" s="32"/>
      <c r="CC416" s="32"/>
      <c r="CD416" s="32"/>
    </row>
    <row r="417" spans="1:8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181"/>
      <c r="S417" s="181"/>
      <c r="T417" s="181"/>
      <c r="U417" s="181"/>
      <c r="V417" s="181"/>
      <c r="W417" s="181"/>
      <c r="X417" s="181"/>
      <c r="Y417" s="181"/>
      <c r="Z417" s="181"/>
      <c r="AA417" s="181"/>
      <c r="AB417" s="181"/>
      <c r="AC417" s="181"/>
      <c r="AD417" s="181"/>
      <c r="AE417" s="181"/>
      <c r="AF417" s="181"/>
      <c r="AG417" s="181"/>
      <c r="AH417" s="181"/>
      <c r="AI417" s="181"/>
      <c r="AJ417" s="181"/>
      <c r="AK417" s="181"/>
      <c r="AL417" s="181"/>
      <c r="AM417" s="181"/>
      <c r="AN417" s="181"/>
      <c r="AO417" s="181"/>
      <c r="AP417" s="181"/>
      <c r="AQ417" s="181"/>
      <c r="AR417" s="181"/>
      <c r="AS417" s="181"/>
      <c r="AT417" s="181"/>
      <c r="AU417" s="181"/>
      <c r="AV417" s="181"/>
      <c r="AW417" s="181"/>
      <c r="AX417" s="181"/>
      <c r="AY417" s="181"/>
      <c r="AZ417" s="181"/>
      <c r="BA417" s="181"/>
      <c r="BB417" s="32"/>
      <c r="BC417" s="32"/>
      <c r="BD417" s="32"/>
      <c r="BE417" s="32"/>
      <c r="BF417" s="32"/>
      <c r="BG417" s="32"/>
      <c r="BH417" s="32"/>
      <c r="BI417" s="32"/>
      <c r="BJ417" s="32"/>
      <c r="BK417" s="32"/>
      <c r="BL417" s="32"/>
      <c r="BM417" s="32"/>
      <c r="BN417" s="32"/>
      <c r="BO417" s="32"/>
      <c r="BP417" s="32"/>
      <c r="BQ417" s="32"/>
      <c r="BR417" s="32"/>
      <c r="BS417" s="32"/>
      <c r="BT417" s="32"/>
      <c r="BU417" s="32"/>
      <c r="BV417" s="32"/>
      <c r="BW417" s="32"/>
      <c r="BX417" s="32"/>
      <c r="BY417" s="32"/>
      <c r="BZ417" s="32"/>
      <c r="CA417" s="32"/>
      <c r="CB417" s="32"/>
      <c r="CC417" s="32"/>
      <c r="CD417" s="32"/>
    </row>
    <row r="418" spans="1:8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181"/>
      <c r="S418" s="181"/>
      <c r="T418" s="181"/>
      <c r="U418" s="181"/>
      <c r="V418" s="181"/>
      <c r="W418" s="181"/>
      <c r="X418" s="181"/>
      <c r="Y418" s="181"/>
      <c r="Z418" s="181"/>
      <c r="AA418" s="181"/>
      <c r="AB418" s="181"/>
      <c r="AC418" s="181"/>
      <c r="AD418" s="181"/>
      <c r="AE418" s="181"/>
      <c r="AF418" s="181"/>
      <c r="AG418" s="181"/>
      <c r="AH418" s="181"/>
      <c r="AI418" s="181"/>
      <c r="AJ418" s="181"/>
      <c r="AK418" s="181"/>
      <c r="AL418" s="181"/>
      <c r="AM418" s="181"/>
      <c r="AN418" s="181"/>
      <c r="AO418" s="181"/>
      <c r="AP418" s="181"/>
      <c r="AQ418" s="181"/>
      <c r="AR418" s="181"/>
      <c r="AS418" s="181"/>
      <c r="AT418" s="181"/>
      <c r="AU418" s="181"/>
      <c r="AV418" s="181"/>
      <c r="AW418" s="181"/>
      <c r="AX418" s="181"/>
      <c r="AY418" s="181"/>
      <c r="AZ418" s="181"/>
      <c r="BA418" s="181"/>
      <c r="BB418" s="32"/>
      <c r="BC418" s="32"/>
      <c r="BD418" s="32"/>
      <c r="BE418" s="32"/>
      <c r="BF418" s="32"/>
      <c r="BG418" s="32"/>
      <c r="BH418" s="32"/>
      <c r="BI418" s="32"/>
      <c r="BJ418" s="32"/>
      <c r="BK418" s="32"/>
      <c r="BL418" s="32"/>
      <c r="BM418" s="32"/>
      <c r="BN418" s="32"/>
      <c r="BO418" s="32"/>
      <c r="BP418" s="32"/>
      <c r="BQ418" s="32"/>
      <c r="BR418" s="32"/>
      <c r="BS418" s="32"/>
      <c r="BT418" s="32"/>
      <c r="BU418" s="32"/>
      <c r="BV418" s="32"/>
      <c r="BW418" s="32"/>
      <c r="BX418" s="32"/>
      <c r="BY418" s="32"/>
      <c r="BZ418" s="32"/>
      <c r="CA418" s="32"/>
      <c r="CB418" s="32"/>
      <c r="CC418" s="32"/>
      <c r="CD418" s="32"/>
    </row>
    <row r="419" spans="1:8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181"/>
      <c r="S419" s="181"/>
      <c r="T419" s="181"/>
      <c r="U419" s="181"/>
      <c r="V419" s="181"/>
      <c r="W419" s="181"/>
      <c r="X419" s="181"/>
      <c r="Y419" s="181"/>
      <c r="Z419" s="181"/>
      <c r="AA419" s="181"/>
      <c r="AB419" s="181"/>
      <c r="AC419" s="181"/>
      <c r="AD419" s="181"/>
      <c r="AE419" s="181"/>
      <c r="AF419" s="181"/>
      <c r="AG419" s="181"/>
      <c r="AH419" s="181"/>
      <c r="AI419" s="181"/>
      <c r="AJ419" s="181"/>
      <c r="AK419" s="181"/>
      <c r="AL419" s="181"/>
      <c r="AM419" s="181"/>
      <c r="AN419" s="181"/>
      <c r="AO419" s="181"/>
      <c r="AP419" s="181"/>
      <c r="AQ419" s="181"/>
      <c r="AR419" s="181"/>
      <c r="AS419" s="181"/>
      <c r="AT419" s="181"/>
      <c r="AU419" s="181"/>
      <c r="AV419" s="181"/>
      <c r="AW419" s="181"/>
      <c r="AX419" s="181"/>
      <c r="AY419" s="181"/>
      <c r="AZ419" s="181"/>
      <c r="BA419" s="181"/>
      <c r="BB419" s="32"/>
      <c r="BC419" s="32"/>
      <c r="BD419" s="32"/>
      <c r="BE419" s="32"/>
      <c r="BF419" s="32"/>
      <c r="BG419" s="32"/>
      <c r="BH419" s="32"/>
      <c r="BI419" s="32"/>
      <c r="BJ419" s="32"/>
      <c r="BK419" s="32"/>
      <c r="BL419" s="32"/>
      <c r="BM419" s="32"/>
      <c r="BN419" s="32"/>
      <c r="BO419" s="32"/>
      <c r="BP419" s="32"/>
      <c r="BQ419" s="32"/>
      <c r="BR419" s="32"/>
      <c r="BS419" s="32"/>
      <c r="BT419" s="32"/>
      <c r="BU419" s="32"/>
      <c r="BV419" s="32"/>
      <c r="BW419" s="32"/>
      <c r="BX419" s="32"/>
      <c r="BY419" s="32"/>
      <c r="BZ419" s="32"/>
      <c r="CA419" s="32"/>
      <c r="CB419" s="32"/>
      <c r="CC419" s="32"/>
      <c r="CD419" s="32"/>
    </row>
    <row r="420" spans="1:8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181"/>
      <c r="S420" s="181"/>
      <c r="T420" s="181"/>
      <c r="U420" s="181"/>
      <c r="V420" s="181"/>
      <c r="W420" s="181"/>
      <c r="X420" s="181"/>
      <c r="Y420" s="181"/>
      <c r="Z420" s="181"/>
      <c r="AA420" s="181"/>
      <c r="AB420" s="181"/>
      <c r="AC420" s="181"/>
      <c r="AD420" s="181"/>
      <c r="AE420" s="181"/>
      <c r="AF420" s="181"/>
      <c r="AG420" s="181"/>
      <c r="AH420" s="181"/>
      <c r="AI420" s="181"/>
      <c r="AJ420" s="181"/>
      <c r="AK420" s="181"/>
      <c r="AL420" s="181"/>
      <c r="AM420" s="181"/>
      <c r="AN420" s="181"/>
      <c r="AO420" s="181"/>
      <c r="AP420" s="181"/>
      <c r="AQ420" s="181"/>
      <c r="AR420" s="181"/>
      <c r="AS420" s="181"/>
      <c r="AT420" s="181"/>
      <c r="AU420" s="181"/>
      <c r="AV420" s="181"/>
      <c r="AW420" s="181"/>
      <c r="AX420" s="181"/>
      <c r="AY420" s="181"/>
      <c r="AZ420" s="181"/>
      <c r="BA420" s="181"/>
      <c r="BB420" s="32"/>
      <c r="BC420" s="32"/>
      <c r="BD420" s="32"/>
      <c r="BE420" s="32"/>
      <c r="BF420" s="32"/>
      <c r="BG420" s="32"/>
      <c r="BH420" s="32"/>
      <c r="BI420" s="32"/>
      <c r="BJ420" s="32"/>
      <c r="BK420" s="32"/>
      <c r="BL420" s="32"/>
      <c r="BM420" s="32"/>
      <c r="BN420" s="32"/>
      <c r="BO420" s="32"/>
      <c r="BP420" s="32"/>
      <c r="BQ420" s="32"/>
      <c r="BR420" s="32"/>
      <c r="BS420" s="32"/>
      <c r="BT420" s="32"/>
      <c r="BU420" s="32"/>
      <c r="BV420" s="32"/>
      <c r="BW420" s="32"/>
      <c r="BX420" s="32"/>
      <c r="BY420" s="32"/>
      <c r="BZ420" s="32"/>
      <c r="CA420" s="32"/>
      <c r="CB420" s="32"/>
      <c r="CC420" s="32"/>
      <c r="CD420" s="32"/>
    </row>
    <row r="421" spans="1:8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181"/>
      <c r="S421" s="181"/>
      <c r="T421" s="181"/>
      <c r="U421" s="181"/>
      <c r="V421" s="181"/>
      <c r="W421" s="181"/>
      <c r="X421" s="181"/>
      <c r="Y421" s="181"/>
      <c r="Z421" s="181"/>
      <c r="AA421" s="181"/>
      <c r="AB421" s="181"/>
      <c r="AC421" s="181"/>
      <c r="AD421" s="181"/>
      <c r="AE421" s="181"/>
      <c r="AF421" s="181"/>
      <c r="AG421" s="181"/>
      <c r="AH421" s="181"/>
      <c r="AI421" s="181"/>
      <c r="AJ421" s="181"/>
      <c r="AK421" s="181"/>
      <c r="AL421" s="181"/>
      <c r="AM421" s="181"/>
      <c r="AN421" s="181"/>
      <c r="AO421" s="181"/>
      <c r="AP421" s="181"/>
      <c r="AQ421" s="181"/>
      <c r="AR421" s="181"/>
      <c r="AS421" s="181"/>
      <c r="AT421" s="181"/>
      <c r="AU421" s="181"/>
      <c r="AV421" s="181"/>
      <c r="AW421" s="181"/>
      <c r="AX421" s="181"/>
      <c r="AY421" s="181"/>
      <c r="AZ421" s="181"/>
      <c r="BA421" s="181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  <c r="CA421" s="32"/>
      <c r="CB421" s="32"/>
      <c r="CC421" s="32"/>
      <c r="CD421" s="32"/>
    </row>
    <row r="422" spans="1:8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181"/>
      <c r="S422" s="181"/>
      <c r="T422" s="181"/>
      <c r="U422" s="181"/>
      <c r="V422" s="181"/>
      <c r="W422" s="181"/>
      <c r="X422" s="181"/>
      <c r="Y422" s="181"/>
      <c r="Z422" s="181"/>
      <c r="AA422" s="181"/>
      <c r="AB422" s="181"/>
      <c r="AC422" s="181"/>
      <c r="AD422" s="181"/>
      <c r="AE422" s="181"/>
      <c r="AF422" s="181"/>
      <c r="AG422" s="181"/>
      <c r="AH422" s="181"/>
      <c r="AI422" s="181"/>
      <c r="AJ422" s="181"/>
      <c r="AK422" s="181"/>
      <c r="AL422" s="181"/>
      <c r="AM422" s="181"/>
      <c r="AN422" s="181"/>
      <c r="AO422" s="181"/>
      <c r="AP422" s="181"/>
      <c r="AQ422" s="181"/>
      <c r="AR422" s="181"/>
      <c r="AS422" s="181"/>
      <c r="AT422" s="181"/>
      <c r="AU422" s="181"/>
      <c r="AV422" s="181"/>
      <c r="AW422" s="181"/>
      <c r="AX422" s="181"/>
      <c r="AY422" s="181"/>
      <c r="AZ422" s="181"/>
      <c r="BA422" s="181"/>
      <c r="BB422" s="32"/>
      <c r="BC422" s="32"/>
      <c r="BD422" s="32"/>
      <c r="BE422" s="32"/>
      <c r="BF422" s="32"/>
      <c r="BG422" s="32"/>
      <c r="BH422" s="32"/>
      <c r="BI422" s="32"/>
      <c r="BJ422" s="32"/>
      <c r="BK422" s="32"/>
      <c r="BL422" s="32"/>
      <c r="BM422" s="32"/>
      <c r="BN422" s="32"/>
      <c r="BO422" s="32"/>
      <c r="BP422" s="32"/>
      <c r="BQ422" s="32"/>
      <c r="BR422" s="32"/>
      <c r="BS422" s="32"/>
      <c r="BT422" s="32"/>
      <c r="BU422" s="32"/>
      <c r="BV422" s="32"/>
      <c r="BW422" s="32"/>
      <c r="BX422" s="32"/>
      <c r="BY422" s="32"/>
      <c r="BZ422" s="32"/>
      <c r="CA422" s="32"/>
      <c r="CB422" s="32"/>
      <c r="CC422" s="32"/>
      <c r="CD422" s="32"/>
    </row>
    <row r="423" spans="1:8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181"/>
      <c r="S423" s="181"/>
      <c r="T423" s="181"/>
      <c r="U423" s="181"/>
      <c r="V423" s="181"/>
      <c r="W423" s="181"/>
      <c r="X423" s="181"/>
      <c r="Y423" s="181"/>
      <c r="Z423" s="181"/>
      <c r="AA423" s="181"/>
      <c r="AB423" s="181"/>
      <c r="AC423" s="181"/>
      <c r="AD423" s="181"/>
      <c r="AE423" s="181"/>
      <c r="AF423" s="181"/>
      <c r="AG423" s="181"/>
      <c r="AH423" s="181"/>
      <c r="AI423" s="181"/>
      <c r="AJ423" s="181"/>
      <c r="AK423" s="181"/>
      <c r="AL423" s="181"/>
      <c r="AM423" s="181"/>
      <c r="AN423" s="181"/>
      <c r="AO423" s="181"/>
      <c r="AP423" s="181"/>
      <c r="AQ423" s="181"/>
      <c r="AR423" s="181"/>
      <c r="AS423" s="181"/>
      <c r="AT423" s="181"/>
      <c r="AU423" s="181"/>
      <c r="AV423" s="181"/>
      <c r="AW423" s="181"/>
      <c r="AX423" s="181"/>
      <c r="AY423" s="181"/>
      <c r="AZ423" s="181"/>
      <c r="BA423" s="181"/>
      <c r="BB423" s="32"/>
      <c r="BC423" s="32"/>
      <c r="BD423" s="32"/>
      <c r="BE423" s="32"/>
      <c r="BF423" s="32"/>
      <c r="BG423" s="32"/>
      <c r="BH423" s="32"/>
      <c r="BI423" s="32"/>
      <c r="BJ423" s="32"/>
      <c r="BK423" s="32"/>
      <c r="BL423" s="32"/>
      <c r="BM423" s="32"/>
      <c r="BN423" s="32"/>
      <c r="BO423" s="32"/>
      <c r="BP423" s="32"/>
      <c r="BQ423" s="32"/>
      <c r="BR423" s="32"/>
      <c r="BS423" s="32"/>
      <c r="BT423" s="32"/>
      <c r="BU423" s="32"/>
      <c r="BV423" s="32"/>
      <c r="BW423" s="32"/>
      <c r="BX423" s="32"/>
      <c r="BY423" s="32"/>
      <c r="BZ423" s="32"/>
      <c r="CA423" s="32"/>
      <c r="CB423" s="32"/>
      <c r="CC423" s="32"/>
      <c r="CD423" s="32"/>
    </row>
    <row r="424" spans="1:8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181"/>
      <c r="S424" s="181"/>
      <c r="T424" s="181"/>
      <c r="U424" s="181"/>
      <c r="V424" s="181"/>
      <c r="W424" s="181"/>
      <c r="X424" s="181"/>
      <c r="Y424" s="181"/>
      <c r="Z424" s="181"/>
      <c r="AA424" s="181"/>
      <c r="AB424" s="181"/>
      <c r="AC424" s="181"/>
      <c r="AD424" s="181"/>
      <c r="AE424" s="181"/>
      <c r="AF424" s="181"/>
      <c r="AG424" s="181"/>
      <c r="AH424" s="181"/>
      <c r="AI424" s="181"/>
      <c r="AJ424" s="181"/>
      <c r="AK424" s="181"/>
      <c r="AL424" s="181"/>
      <c r="AM424" s="181"/>
      <c r="AN424" s="181"/>
      <c r="AO424" s="181"/>
      <c r="AP424" s="181"/>
      <c r="AQ424" s="181"/>
      <c r="AR424" s="181"/>
      <c r="AS424" s="181"/>
      <c r="AT424" s="181"/>
      <c r="AU424" s="181"/>
      <c r="AV424" s="181"/>
      <c r="AW424" s="181"/>
      <c r="AX424" s="181"/>
      <c r="AY424" s="181"/>
      <c r="AZ424" s="181"/>
      <c r="BA424" s="181"/>
      <c r="BB424" s="32"/>
      <c r="BC424" s="32"/>
      <c r="BD424" s="32"/>
      <c r="BE424" s="32"/>
      <c r="BF424" s="32"/>
      <c r="BG424" s="32"/>
      <c r="BH424" s="32"/>
      <c r="BI424" s="32"/>
      <c r="BJ424" s="32"/>
      <c r="BK424" s="32"/>
      <c r="BL424" s="32"/>
      <c r="BM424" s="32"/>
      <c r="BN424" s="32"/>
      <c r="BO424" s="32"/>
      <c r="BP424" s="32"/>
      <c r="BQ424" s="32"/>
      <c r="BR424" s="32"/>
      <c r="BS424" s="32"/>
      <c r="BT424" s="32"/>
      <c r="BU424" s="32"/>
      <c r="BV424" s="32"/>
      <c r="BW424" s="32"/>
      <c r="BX424" s="32"/>
      <c r="BY424" s="32"/>
      <c r="BZ424" s="32"/>
      <c r="CA424" s="32"/>
      <c r="CB424" s="32"/>
      <c r="CC424" s="32"/>
      <c r="CD424" s="32"/>
    </row>
    <row r="425" spans="1:8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181"/>
      <c r="S425" s="181"/>
      <c r="T425" s="181"/>
      <c r="U425" s="181"/>
      <c r="V425" s="181"/>
      <c r="W425" s="181"/>
      <c r="X425" s="181"/>
      <c r="Y425" s="181"/>
      <c r="Z425" s="181"/>
      <c r="AA425" s="181"/>
      <c r="AB425" s="181"/>
      <c r="AC425" s="181"/>
      <c r="AD425" s="181"/>
      <c r="AE425" s="181"/>
      <c r="AF425" s="181"/>
      <c r="AG425" s="181"/>
      <c r="AH425" s="181"/>
      <c r="AI425" s="181"/>
      <c r="AJ425" s="181"/>
      <c r="AK425" s="181"/>
      <c r="AL425" s="181"/>
      <c r="AM425" s="181"/>
      <c r="AN425" s="181"/>
      <c r="AO425" s="181"/>
      <c r="AP425" s="181"/>
      <c r="AQ425" s="181"/>
      <c r="AR425" s="181"/>
      <c r="AS425" s="181"/>
      <c r="AT425" s="181"/>
      <c r="AU425" s="181"/>
      <c r="AV425" s="181"/>
      <c r="AW425" s="181"/>
      <c r="AX425" s="181"/>
      <c r="AY425" s="181"/>
      <c r="AZ425" s="181"/>
      <c r="BA425" s="181"/>
      <c r="BB425" s="32"/>
      <c r="BC425" s="32"/>
      <c r="BD425" s="32"/>
      <c r="BE425" s="32"/>
      <c r="BF425" s="32"/>
      <c r="BG425" s="32"/>
      <c r="BH425" s="32"/>
      <c r="BI425" s="32"/>
      <c r="BJ425" s="32"/>
      <c r="BK425" s="32"/>
      <c r="BL425" s="32"/>
      <c r="BM425" s="32"/>
      <c r="BN425" s="32"/>
      <c r="BO425" s="32"/>
      <c r="BP425" s="32"/>
      <c r="BQ425" s="32"/>
      <c r="BR425" s="32"/>
      <c r="BS425" s="32"/>
      <c r="BT425" s="32"/>
      <c r="BU425" s="32"/>
      <c r="BV425" s="32"/>
      <c r="BW425" s="32"/>
      <c r="BX425" s="32"/>
      <c r="BY425" s="32"/>
      <c r="BZ425" s="32"/>
      <c r="CA425" s="32"/>
      <c r="CB425" s="32"/>
      <c r="CC425" s="32"/>
      <c r="CD425" s="32"/>
    </row>
    <row r="426" spans="1:8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181"/>
      <c r="S426" s="181"/>
      <c r="T426" s="181"/>
      <c r="U426" s="181"/>
      <c r="V426" s="181"/>
      <c r="W426" s="181"/>
      <c r="X426" s="181"/>
      <c r="Y426" s="181"/>
      <c r="Z426" s="181"/>
      <c r="AA426" s="181"/>
      <c r="AB426" s="181"/>
      <c r="AC426" s="181"/>
      <c r="AD426" s="181"/>
      <c r="AE426" s="181"/>
      <c r="AF426" s="181"/>
      <c r="AG426" s="181"/>
      <c r="AH426" s="181"/>
      <c r="AI426" s="181"/>
      <c r="AJ426" s="181"/>
      <c r="AK426" s="181"/>
      <c r="AL426" s="181"/>
      <c r="AM426" s="181"/>
      <c r="AN426" s="181"/>
      <c r="AO426" s="181"/>
      <c r="AP426" s="181"/>
      <c r="AQ426" s="181"/>
      <c r="AR426" s="181"/>
      <c r="AS426" s="181"/>
      <c r="AT426" s="181"/>
      <c r="AU426" s="181"/>
      <c r="AV426" s="181"/>
      <c r="AW426" s="181"/>
      <c r="AX426" s="181"/>
      <c r="AY426" s="181"/>
      <c r="AZ426" s="181"/>
      <c r="BA426" s="181"/>
      <c r="BB426" s="32"/>
      <c r="BC426" s="32"/>
      <c r="BD426" s="32"/>
      <c r="BE426" s="32"/>
      <c r="BF426" s="32"/>
      <c r="BG426" s="32"/>
      <c r="BH426" s="32"/>
      <c r="BI426" s="32"/>
      <c r="BJ426" s="32"/>
      <c r="BK426" s="32"/>
      <c r="BL426" s="32"/>
      <c r="BM426" s="32"/>
      <c r="BN426" s="32"/>
      <c r="BO426" s="32"/>
      <c r="BP426" s="32"/>
      <c r="BQ426" s="32"/>
      <c r="BR426" s="32"/>
      <c r="BS426" s="32"/>
      <c r="BT426" s="32"/>
      <c r="BU426" s="32"/>
      <c r="BV426" s="32"/>
      <c r="BW426" s="32"/>
      <c r="BX426" s="32"/>
      <c r="BY426" s="32"/>
      <c r="BZ426" s="32"/>
      <c r="CA426" s="32"/>
      <c r="CB426" s="32"/>
      <c r="CC426" s="32"/>
      <c r="CD426" s="32"/>
    </row>
    <row r="427" spans="1:8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181"/>
      <c r="S427" s="181"/>
      <c r="T427" s="181"/>
      <c r="U427" s="181"/>
      <c r="V427" s="181"/>
      <c r="W427" s="181"/>
      <c r="X427" s="181"/>
      <c r="Y427" s="181"/>
      <c r="Z427" s="181"/>
      <c r="AA427" s="181"/>
      <c r="AB427" s="181"/>
      <c r="AC427" s="181"/>
      <c r="AD427" s="181"/>
      <c r="AE427" s="181"/>
      <c r="AF427" s="181"/>
      <c r="AG427" s="181"/>
      <c r="AH427" s="181"/>
      <c r="AI427" s="181"/>
      <c r="AJ427" s="181"/>
      <c r="AK427" s="181"/>
      <c r="AL427" s="181"/>
      <c r="AM427" s="181"/>
      <c r="AN427" s="181"/>
      <c r="AO427" s="181"/>
      <c r="AP427" s="181"/>
      <c r="AQ427" s="181"/>
      <c r="AR427" s="181"/>
      <c r="AS427" s="181"/>
      <c r="AT427" s="181"/>
      <c r="AU427" s="181"/>
      <c r="AV427" s="181"/>
      <c r="AW427" s="181"/>
      <c r="AX427" s="181"/>
      <c r="AY427" s="181"/>
      <c r="AZ427" s="181"/>
      <c r="BA427" s="181"/>
      <c r="BB427" s="32"/>
      <c r="BC427" s="32"/>
      <c r="BD427" s="32"/>
      <c r="BE427" s="32"/>
      <c r="BF427" s="32"/>
      <c r="BG427" s="32"/>
      <c r="BH427" s="32"/>
      <c r="BI427" s="32"/>
      <c r="BJ427" s="32"/>
      <c r="BK427" s="32"/>
      <c r="BL427" s="32"/>
      <c r="BM427" s="32"/>
      <c r="BN427" s="32"/>
      <c r="BO427" s="32"/>
      <c r="BP427" s="32"/>
      <c r="BQ427" s="32"/>
      <c r="BR427" s="32"/>
      <c r="BS427" s="32"/>
      <c r="BT427" s="32"/>
      <c r="BU427" s="32"/>
      <c r="BV427" s="32"/>
      <c r="BW427" s="32"/>
      <c r="BX427" s="32"/>
      <c r="BY427" s="32"/>
      <c r="BZ427" s="32"/>
      <c r="CA427" s="32"/>
      <c r="CB427" s="32"/>
      <c r="CC427" s="32"/>
      <c r="CD427" s="32"/>
    </row>
    <row r="428" spans="1:8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181"/>
      <c r="S428" s="181"/>
      <c r="T428" s="181"/>
      <c r="U428" s="181"/>
      <c r="V428" s="181"/>
      <c r="W428" s="181"/>
      <c r="X428" s="181"/>
      <c r="Y428" s="181"/>
      <c r="Z428" s="181"/>
      <c r="AA428" s="181"/>
      <c r="AB428" s="181"/>
      <c r="AC428" s="181"/>
      <c r="AD428" s="181"/>
      <c r="AE428" s="181"/>
      <c r="AF428" s="181"/>
      <c r="AG428" s="181"/>
      <c r="AH428" s="181"/>
      <c r="AI428" s="181"/>
      <c r="AJ428" s="181"/>
      <c r="AK428" s="181"/>
      <c r="AL428" s="181"/>
      <c r="AM428" s="181"/>
      <c r="AN428" s="181"/>
      <c r="AO428" s="181"/>
      <c r="AP428" s="181"/>
      <c r="AQ428" s="181"/>
      <c r="AR428" s="181"/>
      <c r="AS428" s="181"/>
      <c r="AT428" s="181"/>
      <c r="AU428" s="181"/>
      <c r="AV428" s="181"/>
      <c r="AW428" s="181"/>
      <c r="AX428" s="181"/>
      <c r="AY428" s="181"/>
      <c r="AZ428" s="181"/>
      <c r="BA428" s="181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2"/>
      <c r="BU428" s="32"/>
      <c r="BV428" s="32"/>
      <c r="BW428" s="32"/>
      <c r="BX428" s="32"/>
      <c r="BY428" s="32"/>
      <c r="BZ428" s="32"/>
      <c r="CA428" s="32"/>
      <c r="CB428" s="32"/>
      <c r="CC428" s="32"/>
      <c r="CD428" s="32"/>
    </row>
    <row r="429" spans="1:8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181"/>
      <c r="S429" s="181"/>
      <c r="T429" s="181"/>
      <c r="U429" s="181"/>
      <c r="V429" s="181"/>
      <c r="W429" s="181"/>
      <c r="X429" s="181"/>
      <c r="Y429" s="181"/>
      <c r="Z429" s="181"/>
      <c r="AA429" s="181"/>
      <c r="AB429" s="181"/>
      <c r="AC429" s="181"/>
      <c r="AD429" s="181"/>
      <c r="AE429" s="181"/>
      <c r="AF429" s="181"/>
      <c r="AG429" s="181"/>
      <c r="AH429" s="181"/>
      <c r="AI429" s="181"/>
      <c r="AJ429" s="181"/>
      <c r="AK429" s="181"/>
      <c r="AL429" s="181"/>
      <c r="AM429" s="181"/>
      <c r="AN429" s="181"/>
      <c r="AO429" s="181"/>
      <c r="AP429" s="181"/>
      <c r="AQ429" s="181"/>
      <c r="AR429" s="181"/>
      <c r="AS429" s="181"/>
      <c r="AT429" s="181"/>
      <c r="AU429" s="181"/>
      <c r="AV429" s="181"/>
      <c r="AW429" s="181"/>
      <c r="AX429" s="181"/>
      <c r="AY429" s="181"/>
      <c r="AZ429" s="181"/>
      <c r="BA429" s="181"/>
      <c r="BB429" s="32"/>
      <c r="BC429" s="32"/>
      <c r="BD429" s="32"/>
      <c r="BE429" s="32"/>
      <c r="BF429" s="32"/>
      <c r="BG429" s="32"/>
      <c r="BH429" s="32"/>
      <c r="BI429" s="32"/>
      <c r="BJ429" s="32"/>
      <c r="BK429" s="32"/>
      <c r="BL429" s="32"/>
      <c r="BM429" s="32"/>
      <c r="BN429" s="32"/>
      <c r="BO429" s="32"/>
      <c r="BP429" s="32"/>
      <c r="BQ429" s="32"/>
      <c r="BR429" s="32"/>
      <c r="BS429" s="32"/>
      <c r="BT429" s="32"/>
      <c r="BU429" s="32"/>
      <c r="BV429" s="32"/>
      <c r="BW429" s="32"/>
      <c r="BX429" s="32"/>
      <c r="BY429" s="32"/>
      <c r="BZ429" s="32"/>
      <c r="CA429" s="32"/>
      <c r="CB429" s="32"/>
      <c r="CC429" s="32"/>
      <c r="CD429" s="32"/>
    </row>
    <row r="430" spans="1:8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181"/>
      <c r="S430" s="181"/>
      <c r="T430" s="181"/>
      <c r="U430" s="181"/>
      <c r="V430" s="181"/>
      <c r="W430" s="181"/>
      <c r="X430" s="181"/>
      <c r="Y430" s="181"/>
      <c r="Z430" s="181"/>
      <c r="AA430" s="181"/>
      <c r="AB430" s="181"/>
      <c r="AC430" s="181"/>
      <c r="AD430" s="181"/>
      <c r="AE430" s="181"/>
      <c r="AF430" s="181"/>
      <c r="AG430" s="181"/>
      <c r="AH430" s="181"/>
      <c r="AI430" s="181"/>
      <c r="AJ430" s="181"/>
      <c r="AK430" s="181"/>
      <c r="AL430" s="181"/>
      <c r="AM430" s="181"/>
      <c r="AN430" s="181"/>
      <c r="AO430" s="181"/>
      <c r="AP430" s="181"/>
      <c r="AQ430" s="181"/>
      <c r="AR430" s="181"/>
      <c r="AS430" s="181"/>
      <c r="AT430" s="181"/>
      <c r="AU430" s="181"/>
      <c r="AV430" s="181"/>
      <c r="AW430" s="181"/>
      <c r="AX430" s="181"/>
      <c r="AY430" s="181"/>
      <c r="AZ430" s="181"/>
      <c r="BA430" s="181"/>
      <c r="BB430" s="32"/>
      <c r="BC430" s="32"/>
      <c r="BD430" s="32"/>
      <c r="BE430" s="32"/>
      <c r="BF430" s="32"/>
      <c r="BG430" s="32"/>
      <c r="BH430" s="32"/>
      <c r="BI430" s="32"/>
      <c r="BJ430" s="32"/>
      <c r="BK430" s="32"/>
      <c r="BL430" s="32"/>
      <c r="BM430" s="32"/>
      <c r="BN430" s="32"/>
      <c r="BO430" s="32"/>
      <c r="BP430" s="32"/>
      <c r="BQ430" s="32"/>
      <c r="BR430" s="32"/>
      <c r="BS430" s="32"/>
      <c r="BT430" s="32"/>
      <c r="BU430" s="32"/>
      <c r="BV430" s="32"/>
      <c r="BW430" s="32"/>
      <c r="BX430" s="32"/>
      <c r="BY430" s="32"/>
      <c r="BZ430" s="32"/>
      <c r="CA430" s="32"/>
      <c r="CB430" s="32"/>
      <c r="CC430" s="32"/>
      <c r="CD430" s="32"/>
    </row>
    <row r="431" spans="1:8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181"/>
      <c r="S431" s="181"/>
      <c r="T431" s="181"/>
      <c r="U431" s="181"/>
      <c r="V431" s="181"/>
      <c r="W431" s="181"/>
      <c r="X431" s="181"/>
      <c r="Y431" s="181"/>
      <c r="Z431" s="181"/>
      <c r="AA431" s="181"/>
      <c r="AB431" s="181"/>
      <c r="AC431" s="181"/>
      <c r="AD431" s="181"/>
      <c r="AE431" s="181"/>
      <c r="AF431" s="181"/>
      <c r="AG431" s="181"/>
      <c r="AH431" s="181"/>
      <c r="AI431" s="181"/>
      <c r="AJ431" s="181"/>
      <c r="AK431" s="181"/>
      <c r="AL431" s="181"/>
      <c r="AM431" s="181"/>
      <c r="AN431" s="181"/>
      <c r="AO431" s="181"/>
      <c r="AP431" s="181"/>
      <c r="AQ431" s="181"/>
      <c r="AR431" s="181"/>
      <c r="AS431" s="181"/>
      <c r="AT431" s="181"/>
      <c r="AU431" s="181"/>
      <c r="AV431" s="181"/>
      <c r="AW431" s="181"/>
      <c r="AX431" s="181"/>
      <c r="AY431" s="181"/>
      <c r="AZ431" s="181"/>
      <c r="BA431" s="181"/>
      <c r="BB431" s="32"/>
      <c r="BC431" s="32"/>
      <c r="BD431" s="32"/>
      <c r="BE431" s="32"/>
      <c r="BF431" s="32"/>
      <c r="BG431" s="32"/>
      <c r="BH431" s="32"/>
      <c r="BI431" s="32"/>
      <c r="BJ431" s="32"/>
      <c r="BK431" s="32"/>
      <c r="BL431" s="32"/>
      <c r="BM431" s="32"/>
      <c r="BN431" s="32"/>
      <c r="BO431" s="32"/>
      <c r="BP431" s="32"/>
      <c r="BQ431" s="32"/>
      <c r="BR431" s="32"/>
      <c r="BS431" s="32"/>
      <c r="BT431" s="32"/>
      <c r="BU431" s="32"/>
      <c r="BV431" s="32"/>
      <c r="BW431" s="32"/>
      <c r="BX431" s="32"/>
      <c r="BY431" s="32"/>
      <c r="BZ431" s="32"/>
      <c r="CA431" s="32"/>
      <c r="CB431" s="32"/>
      <c r="CC431" s="32"/>
      <c r="CD431" s="32"/>
    </row>
    <row r="432" spans="1:8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181"/>
      <c r="S432" s="181"/>
      <c r="T432" s="181"/>
      <c r="U432" s="181"/>
      <c r="V432" s="181"/>
      <c r="W432" s="181"/>
      <c r="X432" s="181"/>
      <c r="Y432" s="181"/>
      <c r="Z432" s="181"/>
      <c r="AA432" s="181"/>
      <c r="AB432" s="181"/>
      <c r="AC432" s="181"/>
      <c r="AD432" s="181"/>
      <c r="AE432" s="181"/>
      <c r="AF432" s="181"/>
      <c r="AG432" s="181"/>
      <c r="AH432" s="181"/>
      <c r="AI432" s="181"/>
      <c r="AJ432" s="181"/>
      <c r="AK432" s="181"/>
      <c r="AL432" s="181"/>
      <c r="AM432" s="181"/>
      <c r="AN432" s="181"/>
      <c r="AO432" s="181"/>
      <c r="AP432" s="181"/>
      <c r="AQ432" s="181"/>
      <c r="AR432" s="181"/>
      <c r="AS432" s="181"/>
      <c r="AT432" s="181"/>
      <c r="AU432" s="181"/>
      <c r="AV432" s="181"/>
      <c r="AW432" s="181"/>
      <c r="AX432" s="181"/>
      <c r="AY432" s="181"/>
      <c r="AZ432" s="181"/>
      <c r="BA432" s="181"/>
      <c r="BB432" s="32"/>
      <c r="BC432" s="32"/>
      <c r="BD432" s="32"/>
      <c r="BE432" s="32"/>
      <c r="BF432" s="32"/>
      <c r="BG432" s="32"/>
      <c r="BH432" s="32"/>
      <c r="BI432" s="32"/>
      <c r="BJ432" s="32"/>
      <c r="BK432" s="32"/>
      <c r="BL432" s="32"/>
      <c r="BM432" s="32"/>
      <c r="BN432" s="32"/>
      <c r="BO432" s="32"/>
      <c r="BP432" s="32"/>
      <c r="BQ432" s="32"/>
      <c r="BR432" s="32"/>
      <c r="BS432" s="32"/>
      <c r="BT432" s="32"/>
      <c r="BU432" s="32"/>
      <c r="BV432" s="32"/>
      <c r="BW432" s="32"/>
      <c r="BX432" s="32"/>
      <c r="BY432" s="32"/>
      <c r="BZ432" s="32"/>
      <c r="CA432" s="32"/>
      <c r="CB432" s="32"/>
      <c r="CC432" s="32"/>
      <c r="CD432" s="32"/>
    </row>
    <row r="433" spans="1:8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181"/>
      <c r="S433" s="181"/>
      <c r="T433" s="181"/>
      <c r="U433" s="181"/>
      <c r="V433" s="181"/>
      <c r="W433" s="181"/>
      <c r="X433" s="181"/>
      <c r="Y433" s="181"/>
      <c r="Z433" s="181"/>
      <c r="AA433" s="181"/>
      <c r="AB433" s="181"/>
      <c r="AC433" s="181"/>
      <c r="AD433" s="181"/>
      <c r="AE433" s="181"/>
      <c r="AF433" s="181"/>
      <c r="AG433" s="181"/>
      <c r="AH433" s="181"/>
      <c r="AI433" s="181"/>
      <c r="AJ433" s="181"/>
      <c r="AK433" s="181"/>
      <c r="AL433" s="181"/>
      <c r="AM433" s="181"/>
      <c r="AN433" s="181"/>
      <c r="AO433" s="181"/>
      <c r="AP433" s="181"/>
      <c r="AQ433" s="181"/>
      <c r="AR433" s="181"/>
      <c r="AS433" s="181"/>
      <c r="AT433" s="181"/>
      <c r="AU433" s="181"/>
      <c r="AV433" s="181"/>
      <c r="AW433" s="181"/>
      <c r="AX433" s="181"/>
      <c r="AY433" s="181"/>
      <c r="AZ433" s="181"/>
      <c r="BA433" s="181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  <c r="CA433" s="32"/>
      <c r="CB433" s="32"/>
      <c r="CC433" s="32"/>
      <c r="CD433" s="32"/>
    </row>
    <row r="434" spans="1:8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181"/>
      <c r="S434" s="181"/>
      <c r="T434" s="181"/>
      <c r="U434" s="181"/>
      <c r="V434" s="181"/>
      <c r="W434" s="181"/>
      <c r="X434" s="181"/>
      <c r="Y434" s="181"/>
      <c r="Z434" s="181"/>
      <c r="AA434" s="181"/>
      <c r="AB434" s="181"/>
      <c r="AC434" s="181"/>
      <c r="AD434" s="181"/>
      <c r="AE434" s="181"/>
      <c r="AF434" s="181"/>
      <c r="AG434" s="181"/>
      <c r="AH434" s="181"/>
      <c r="AI434" s="181"/>
      <c r="AJ434" s="181"/>
      <c r="AK434" s="181"/>
      <c r="AL434" s="181"/>
      <c r="AM434" s="181"/>
      <c r="AN434" s="181"/>
      <c r="AO434" s="181"/>
      <c r="AP434" s="181"/>
      <c r="AQ434" s="181"/>
      <c r="AR434" s="181"/>
      <c r="AS434" s="181"/>
      <c r="AT434" s="181"/>
      <c r="AU434" s="181"/>
      <c r="AV434" s="181"/>
      <c r="AW434" s="181"/>
      <c r="AX434" s="181"/>
      <c r="AY434" s="181"/>
      <c r="AZ434" s="181"/>
      <c r="BA434" s="181"/>
      <c r="BB434" s="32"/>
      <c r="BC434" s="32"/>
      <c r="BD434" s="32"/>
      <c r="BE434" s="32"/>
      <c r="BF434" s="32"/>
      <c r="BG434" s="32"/>
      <c r="BH434" s="32"/>
      <c r="BI434" s="32"/>
      <c r="BJ434" s="32"/>
      <c r="BK434" s="32"/>
      <c r="BL434" s="32"/>
      <c r="BM434" s="32"/>
      <c r="BN434" s="32"/>
      <c r="BO434" s="32"/>
      <c r="BP434" s="32"/>
      <c r="BQ434" s="32"/>
      <c r="BR434" s="32"/>
      <c r="BS434" s="32"/>
      <c r="BT434" s="32"/>
      <c r="BU434" s="32"/>
      <c r="BV434" s="32"/>
      <c r="BW434" s="32"/>
      <c r="BX434" s="32"/>
      <c r="BY434" s="32"/>
      <c r="BZ434" s="32"/>
      <c r="CA434" s="32"/>
      <c r="CB434" s="32"/>
      <c r="CC434" s="32"/>
      <c r="CD434" s="32"/>
    </row>
    <row r="435" spans="1:8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181"/>
      <c r="S435" s="181"/>
      <c r="T435" s="181"/>
      <c r="U435" s="181"/>
      <c r="V435" s="181"/>
      <c r="W435" s="181"/>
      <c r="X435" s="181"/>
      <c r="Y435" s="181"/>
      <c r="Z435" s="181"/>
      <c r="AA435" s="181"/>
      <c r="AB435" s="181"/>
      <c r="AC435" s="181"/>
      <c r="AD435" s="181"/>
      <c r="AE435" s="181"/>
      <c r="AF435" s="181"/>
      <c r="AG435" s="181"/>
      <c r="AH435" s="181"/>
      <c r="AI435" s="181"/>
      <c r="AJ435" s="181"/>
      <c r="AK435" s="181"/>
      <c r="AL435" s="181"/>
      <c r="AM435" s="181"/>
      <c r="AN435" s="181"/>
      <c r="AO435" s="181"/>
      <c r="AP435" s="181"/>
      <c r="AQ435" s="181"/>
      <c r="AR435" s="181"/>
      <c r="AS435" s="181"/>
      <c r="AT435" s="181"/>
      <c r="AU435" s="181"/>
      <c r="AV435" s="181"/>
      <c r="AW435" s="181"/>
      <c r="AX435" s="181"/>
      <c r="AY435" s="181"/>
      <c r="AZ435" s="181"/>
      <c r="BA435" s="181"/>
      <c r="BB435" s="32"/>
      <c r="BC435" s="32"/>
      <c r="BD435" s="32"/>
      <c r="BE435" s="32"/>
      <c r="BF435" s="32"/>
      <c r="BG435" s="32"/>
      <c r="BH435" s="32"/>
      <c r="BI435" s="32"/>
      <c r="BJ435" s="32"/>
      <c r="BK435" s="32"/>
      <c r="BL435" s="32"/>
      <c r="BM435" s="32"/>
      <c r="BN435" s="32"/>
      <c r="BO435" s="32"/>
      <c r="BP435" s="32"/>
      <c r="BQ435" s="32"/>
      <c r="BR435" s="32"/>
      <c r="BS435" s="32"/>
      <c r="BT435" s="32"/>
      <c r="BU435" s="32"/>
      <c r="BV435" s="32"/>
      <c r="BW435" s="32"/>
      <c r="BX435" s="32"/>
      <c r="BY435" s="32"/>
      <c r="BZ435" s="32"/>
      <c r="CA435" s="32"/>
      <c r="CB435" s="32"/>
      <c r="CC435" s="32"/>
      <c r="CD435" s="32"/>
    </row>
    <row r="436" spans="1:8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181"/>
      <c r="S436" s="181"/>
      <c r="T436" s="181"/>
      <c r="U436" s="181"/>
      <c r="V436" s="181"/>
      <c r="W436" s="181"/>
      <c r="X436" s="181"/>
      <c r="Y436" s="181"/>
      <c r="Z436" s="181"/>
      <c r="AA436" s="181"/>
      <c r="AB436" s="181"/>
      <c r="AC436" s="181"/>
      <c r="AD436" s="181"/>
      <c r="AE436" s="181"/>
      <c r="AF436" s="181"/>
      <c r="AG436" s="181"/>
      <c r="AH436" s="181"/>
      <c r="AI436" s="181"/>
      <c r="AJ436" s="181"/>
      <c r="AK436" s="181"/>
      <c r="AL436" s="181"/>
      <c r="AM436" s="181"/>
      <c r="AN436" s="181"/>
      <c r="AO436" s="181"/>
      <c r="AP436" s="181"/>
      <c r="AQ436" s="181"/>
      <c r="AR436" s="181"/>
      <c r="AS436" s="181"/>
      <c r="AT436" s="181"/>
      <c r="AU436" s="181"/>
      <c r="AV436" s="181"/>
      <c r="AW436" s="181"/>
      <c r="AX436" s="181"/>
      <c r="AY436" s="181"/>
      <c r="AZ436" s="181"/>
      <c r="BA436" s="181"/>
      <c r="BB436" s="32"/>
      <c r="BC436" s="32"/>
      <c r="BD436" s="32"/>
      <c r="BE436" s="32"/>
      <c r="BF436" s="32"/>
      <c r="BG436" s="32"/>
      <c r="BH436" s="32"/>
      <c r="BI436" s="32"/>
      <c r="BJ436" s="32"/>
      <c r="BK436" s="32"/>
      <c r="BL436" s="32"/>
      <c r="BM436" s="32"/>
      <c r="BN436" s="32"/>
      <c r="BO436" s="32"/>
      <c r="BP436" s="32"/>
      <c r="BQ436" s="32"/>
      <c r="BR436" s="32"/>
      <c r="BS436" s="32"/>
      <c r="BT436" s="32"/>
      <c r="BU436" s="32"/>
      <c r="BV436" s="32"/>
      <c r="BW436" s="32"/>
      <c r="BX436" s="32"/>
      <c r="BY436" s="32"/>
      <c r="BZ436" s="32"/>
      <c r="CA436" s="32"/>
      <c r="CB436" s="32"/>
      <c r="CC436" s="32"/>
      <c r="CD436" s="32"/>
    </row>
    <row r="437" spans="1:8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181"/>
      <c r="S437" s="181"/>
      <c r="T437" s="181"/>
      <c r="U437" s="181"/>
      <c r="V437" s="181"/>
      <c r="W437" s="181"/>
      <c r="X437" s="181"/>
      <c r="Y437" s="181"/>
      <c r="Z437" s="181"/>
      <c r="AA437" s="181"/>
      <c r="AB437" s="181"/>
      <c r="AC437" s="181"/>
      <c r="AD437" s="181"/>
      <c r="AE437" s="181"/>
      <c r="AF437" s="181"/>
      <c r="AG437" s="181"/>
      <c r="AH437" s="181"/>
      <c r="AI437" s="181"/>
      <c r="AJ437" s="181"/>
      <c r="AK437" s="181"/>
      <c r="AL437" s="181"/>
      <c r="AM437" s="181"/>
      <c r="AN437" s="181"/>
      <c r="AO437" s="181"/>
      <c r="AP437" s="181"/>
      <c r="AQ437" s="181"/>
      <c r="AR437" s="181"/>
      <c r="AS437" s="181"/>
      <c r="AT437" s="181"/>
      <c r="AU437" s="181"/>
      <c r="AV437" s="181"/>
      <c r="AW437" s="181"/>
      <c r="AX437" s="181"/>
      <c r="AY437" s="181"/>
      <c r="AZ437" s="181"/>
      <c r="BA437" s="181"/>
      <c r="BB437" s="32"/>
      <c r="BC437" s="32"/>
      <c r="BD437" s="32"/>
      <c r="BE437" s="32"/>
      <c r="BF437" s="32"/>
      <c r="BG437" s="32"/>
      <c r="BH437" s="32"/>
      <c r="BI437" s="32"/>
      <c r="BJ437" s="32"/>
      <c r="BK437" s="32"/>
      <c r="BL437" s="32"/>
      <c r="BM437" s="32"/>
      <c r="BN437" s="32"/>
      <c r="BO437" s="32"/>
      <c r="BP437" s="32"/>
      <c r="BQ437" s="32"/>
      <c r="BR437" s="32"/>
      <c r="BS437" s="32"/>
      <c r="BT437" s="32"/>
      <c r="BU437" s="32"/>
      <c r="BV437" s="32"/>
      <c r="BW437" s="32"/>
      <c r="BX437" s="32"/>
      <c r="BY437" s="32"/>
      <c r="BZ437" s="32"/>
      <c r="CA437" s="32"/>
      <c r="CB437" s="32"/>
      <c r="CC437" s="32"/>
      <c r="CD437" s="32"/>
    </row>
    <row r="438" spans="1:8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181"/>
      <c r="S438" s="181"/>
      <c r="T438" s="181"/>
      <c r="U438" s="181"/>
      <c r="V438" s="181"/>
      <c r="W438" s="181"/>
      <c r="X438" s="181"/>
      <c r="Y438" s="181"/>
      <c r="Z438" s="181"/>
      <c r="AA438" s="181"/>
      <c r="AB438" s="181"/>
      <c r="AC438" s="181"/>
      <c r="AD438" s="181"/>
      <c r="AE438" s="181"/>
      <c r="AF438" s="181"/>
      <c r="AG438" s="181"/>
      <c r="AH438" s="181"/>
      <c r="AI438" s="181"/>
      <c r="AJ438" s="181"/>
      <c r="AK438" s="181"/>
      <c r="AL438" s="181"/>
      <c r="AM438" s="181"/>
      <c r="AN438" s="181"/>
      <c r="AO438" s="181"/>
      <c r="AP438" s="181"/>
      <c r="AQ438" s="181"/>
      <c r="AR438" s="181"/>
      <c r="AS438" s="181"/>
      <c r="AT438" s="181"/>
      <c r="AU438" s="181"/>
      <c r="AV438" s="181"/>
      <c r="AW438" s="181"/>
      <c r="AX438" s="181"/>
      <c r="AY438" s="181"/>
      <c r="AZ438" s="181"/>
      <c r="BA438" s="181"/>
      <c r="BB438" s="32"/>
      <c r="BC438" s="32"/>
      <c r="BD438" s="32"/>
      <c r="BE438" s="32"/>
      <c r="BF438" s="32"/>
      <c r="BG438" s="32"/>
      <c r="BH438" s="32"/>
      <c r="BI438" s="32"/>
      <c r="BJ438" s="32"/>
      <c r="BK438" s="32"/>
      <c r="BL438" s="32"/>
      <c r="BM438" s="32"/>
      <c r="BN438" s="32"/>
      <c r="BO438" s="32"/>
      <c r="BP438" s="32"/>
      <c r="BQ438" s="32"/>
      <c r="BR438" s="32"/>
      <c r="BS438" s="32"/>
      <c r="BT438" s="32"/>
      <c r="BU438" s="32"/>
      <c r="BV438" s="32"/>
      <c r="BW438" s="32"/>
      <c r="BX438" s="32"/>
      <c r="BY438" s="32"/>
      <c r="BZ438" s="32"/>
      <c r="CA438" s="32"/>
      <c r="CB438" s="32"/>
      <c r="CC438" s="32"/>
      <c r="CD438" s="32"/>
    </row>
    <row r="439" spans="1:8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181"/>
      <c r="S439" s="181"/>
      <c r="T439" s="181"/>
      <c r="U439" s="181"/>
      <c r="V439" s="181"/>
      <c r="W439" s="181"/>
      <c r="X439" s="181"/>
      <c r="Y439" s="181"/>
      <c r="Z439" s="181"/>
      <c r="AA439" s="181"/>
      <c r="AB439" s="181"/>
      <c r="AC439" s="181"/>
      <c r="AD439" s="181"/>
      <c r="AE439" s="181"/>
      <c r="AF439" s="181"/>
      <c r="AG439" s="181"/>
      <c r="AH439" s="181"/>
      <c r="AI439" s="181"/>
      <c r="AJ439" s="181"/>
      <c r="AK439" s="181"/>
      <c r="AL439" s="181"/>
      <c r="AM439" s="181"/>
      <c r="AN439" s="181"/>
      <c r="AO439" s="181"/>
      <c r="AP439" s="181"/>
      <c r="AQ439" s="181"/>
      <c r="AR439" s="181"/>
      <c r="AS439" s="181"/>
      <c r="AT439" s="181"/>
      <c r="AU439" s="181"/>
      <c r="AV439" s="181"/>
      <c r="AW439" s="181"/>
      <c r="AX439" s="181"/>
      <c r="AY439" s="181"/>
      <c r="AZ439" s="181"/>
      <c r="BA439" s="181"/>
      <c r="BB439" s="32"/>
      <c r="BC439" s="32"/>
      <c r="BD439" s="32"/>
      <c r="BE439" s="32"/>
      <c r="BF439" s="32"/>
      <c r="BG439" s="32"/>
      <c r="BH439" s="32"/>
      <c r="BI439" s="32"/>
      <c r="BJ439" s="32"/>
      <c r="BK439" s="32"/>
      <c r="BL439" s="32"/>
      <c r="BM439" s="32"/>
      <c r="BN439" s="32"/>
      <c r="BO439" s="32"/>
      <c r="BP439" s="32"/>
      <c r="BQ439" s="32"/>
      <c r="BR439" s="32"/>
      <c r="BS439" s="32"/>
      <c r="BT439" s="32"/>
      <c r="BU439" s="32"/>
      <c r="BV439" s="32"/>
      <c r="BW439" s="32"/>
      <c r="BX439" s="32"/>
      <c r="BY439" s="32"/>
      <c r="BZ439" s="32"/>
      <c r="CA439" s="32"/>
      <c r="CB439" s="32"/>
      <c r="CC439" s="32"/>
      <c r="CD439" s="32"/>
    </row>
    <row r="440" spans="1:8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181"/>
      <c r="S440" s="181"/>
      <c r="T440" s="181"/>
      <c r="U440" s="181"/>
      <c r="V440" s="181"/>
      <c r="W440" s="181"/>
      <c r="X440" s="181"/>
      <c r="Y440" s="181"/>
      <c r="Z440" s="181"/>
      <c r="AA440" s="181"/>
      <c r="AB440" s="181"/>
      <c r="AC440" s="181"/>
      <c r="AD440" s="181"/>
      <c r="AE440" s="181"/>
      <c r="AF440" s="181"/>
      <c r="AG440" s="181"/>
      <c r="AH440" s="181"/>
      <c r="AI440" s="181"/>
      <c r="AJ440" s="181"/>
      <c r="AK440" s="181"/>
      <c r="AL440" s="181"/>
      <c r="AM440" s="181"/>
      <c r="AN440" s="181"/>
      <c r="AO440" s="181"/>
      <c r="AP440" s="181"/>
      <c r="AQ440" s="181"/>
      <c r="AR440" s="181"/>
      <c r="AS440" s="181"/>
      <c r="AT440" s="181"/>
      <c r="AU440" s="181"/>
      <c r="AV440" s="181"/>
      <c r="AW440" s="181"/>
      <c r="AX440" s="181"/>
      <c r="AY440" s="181"/>
      <c r="AZ440" s="181"/>
      <c r="BA440" s="181"/>
      <c r="BB440" s="32"/>
      <c r="BC440" s="32"/>
      <c r="BD440" s="32"/>
      <c r="BE440" s="32"/>
      <c r="BF440" s="32"/>
      <c r="BG440" s="32"/>
      <c r="BH440" s="32"/>
      <c r="BI440" s="32"/>
      <c r="BJ440" s="32"/>
      <c r="BK440" s="32"/>
      <c r="BL440" s="32"/>
      <c r="BM440" s="32"/>
      <c r="BN440" s="32"/>
      <c r="BO440" s="32"/>
      <c r="BP440" s="32"/>
      <c r="BQ440" s="32"/>
      <c r="BR440" s="32"/>
      <c r="BS440" s="32"/>
      <c r="BT440" s="32"/>
      <c r="BU440" s="32"/>
      <c r="BV440" s="32"/>
      <c r="BW440" s="32"/>
      <c r="BX440" s="32"/>
      <c r="BY440" s="32"/>
      <c r="BZ440" s="32"/>
      <c r="CA440" s="32"/>
      <c r="CB440" s="32"/>
      <c r="CC440" s="32"/>
      <c r="CD440" s="32"/>
    </row>
    <row r="441" spans="1:8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181"/>
      <c r="S441" s="181"/>
      <c r="T441" s="181"/>
      <c r="U441" s="181"/>
      <c r="V441" s="181"/>
      <c r="W441" s="181"/>
      <c r="X441" s="181"/>
      <c r="Y441" s="181"/>
      <c r="Z441" s="181"/>
      <c r="AA441" s="181"/>
      <c r="AB441" s="181"/>
      <c r="AC441" s="181"/>
      <c r="AD441" s="181"/>
      <c r="AE441" s="181"/>
      <c r="AF441" s="181"/>
      <c r="AG441" s="181"/>
      <c r="AH441" s="181"/>
      <c r="AI441" s="181"/>
      <c r="AJ441" s="181"/>
      <c r="AK441" s="181"/>
      <c r="AL441" s="181"/>
      <c r="AM441" s="181"/>
      <c r="AN441" s="181"/>
      <c r="AO441" s="181"/>
      <c r="AP441" s="181"/>
      <c r="AQ441" s="181"/>
      <c r="AR441" s="181"/>
      <c r="AS441" s="181"/>
      <c r="AT441" s="181"/>
      <c r="AU441" s="181"/>
      <c r="AV441" s="181"/>
      <c r="AW441" s="181"/>
      <c r="AX441" s="181"/>
      <c r="AY441" s="181"/>
      <c r="AZ441" s="181"/>
      <c r="BA441" s="181"/>
      <c r="BB441" s="32"/>
      <c r="BC441" s="32"/>
      <c r="BD441" s="32"/>
      <c r="BE441" s="32"/>
      <c r="BF441" s="32"/>
      <c r="BG441" s="32"/>
      <c r="BH441" s="32"/>
      <c r="BI441" s="32"/>
      <c r="BJ441" s="32"/>
      <c r="BK441" s="32"/>
      <c r="BL441" s="32"/>
      <c r="BM441" s="32"/>
      <c r="BN441" s="32"/>
      <c r="BO441" s="32"/>
      <c r="BP441" s="32"/>
      <c r="BQ441" s="32"/>
      <c r="BR441" s="32"/>
      <c r="BS441" s="32"/>
      <c r="BT441" s="32"/>
      <c r="BU441" s="32"/>
      <c r="BV441" s="32"/>
      <c r="BW441" s="32"/>
      <c r="BX441" s="32"/>
      <c r="BY441" s="32"/>
      <c r="BZ441" s="32"/>
      <c r="CA441" s="32"/>
      <c r="CB441" s="32"/>
      <c r="CC441" s="32"/>
      <c r="CD441" s="32"/>
    </row>
    <row r="442" spans="1:8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181"/>
      <c r="S442" s="181"/>
      <c r="T442" s="181"/>
      <c r="U442" s="181"/>
      <c r="V442" s="181"/>
      <c r="W442" s="181"/>
      <c r="X442" s="181"/>
      <c r="Y442" s="181"/>
      <c r="Z442" s="181"/>
      <c r="AA442" s="181"/>
      <c r="AB442" s="181"/>
      <c r="AC442" s="181"/>
      <c r="AD442" s="181"/>
      <c r="AE442" s="181"/>
      <c r="AF442" s="181"/>
      <c r="AG442" s="181"/>
      <c r="AH442" s="181"/>
      <c r="AI442" s="181"/>
      <c r="AJ442" s="181"/>
      <c r="AK442" s="181"/>
      <c r="AL442" s="181"/>
      <c r="AM442" s="181"/>
      <c r="AN442" s="181"/>
      <c r="AO442" s="181"/>
      <c r="AP442" s="181"/>
      <c r="AQ442" s="181"/>
      <c r="AR442" s="181"/>
      <c r="AS442" s="181"/>
      <c r="AT442" s="181"/>
      <c r="AU442" s="181"/>
      <c r="AV442" s="181"/>
      <c r="AW442" s="181"/>
      <c r="AX442" s="181"/>
      <c r="AY442" s="181"/>
      <c r="AZ442" s="181"/>
      <c r="BA442" s="181"/>
      <c r="BB442" s="32"/>
      <c r="BC442" s="32"/>
      <c r="BD442" s="32"/>
      <c r="BE442" s="32"/>
      <c r="BF442" s="32"/>
      <c r="BG442" s="32"/>
      <c r="BH442" s="32"/>
      <c r="BI442" s="32"/>
      <c r="BJ442" s="32"/>
      <c r="BK442" s="32"/>
      <c r="BL442" s="32"/>
      <c r="BM442" s="32"/>
      <c r="BN442" s="32"/>
      <c r="BO442" s="32"/>
      <c r="BP442" s="32"/>
      <c r="BQ442" s="32"/>
      <c r="BR442" s="32"/>
      <c r="BS442" s="32"/>
      <c r="BT442" s="32"/>
      <c r="BU442" s="32"/>
      <c r="BV442" s="32"/>
      <c r="BW442" s="32"/>
      <c r="BX442" s="32"/>
      <c r="BY442" s="32"/>
      <c r="BZ442" s="32"/>
      <c r="CA442" s="32"/>
      <c r="CB442" s="32"/>
      <c r="CC442" s="32"/>
      <c r="CD442" s="32"/>
    </row>
    <row r="443" spans="1:8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181"/>
      <c r="S443" s="181"/>
      <c r="T443" s="181"/>
      <c r="U443" s="181"/>
      <c r="V443" s="181"/>
      <c r="W443" s="181"/>
      <c r="X443" s="181"/>
      <c r="Y443" s="181"/>
      <c r="Z443" s="181"/>
      <c r="AA443" s="181"/>
      <c r="AB443" s="181"/>
      <c r="AC443" s="181"/>
      <c r="AD443" s="181"/>
      <c r="AE443" s="181"/>
      <c r="AF443" s="181"/>
      <c r="AG443" s="181"/>
      <c r="AH443" s="181"/>
      <c r="AI443" s="181"/>
      <c r="AJ443" s="181"/>
      <c r="AK443" s="181"/>
      <c r="AL443" s="181"/>
      <c r="AM443" s="181"/>
      <c r="AN443" s="181"/>
      <c r="AO443" s="181"/>
      <c r="AP443" s="181"/>
      <c r="AQ443" s="181"/>
      <c r="AR443" s="181"/>
      <c r="AS443" s="181"/>
      <c r="AT443" s="181"/>
      <c r="AU443" s="181"/>
      <c r="AV443" s="181"/>
      <c r="AW443" s="181"/>
      <c r="AX443" s="181"/>
      <c r="AY443" s="181"/>
      <c r="AZ443" s="181"/>
      <c r="BA443" s="181"/>
      <c r="BB443" s="32"/>
      <c r="BC443" s="32"/>
      <c r="BD443" s="32"/>
      <c r="BE443" s="32"/>
      <c r="BF443" s="32"/>
      <c r="BG443" s="32"/>
      <c r="BH443" s="32"/>
      <c r="BI443" s="32"/>
      <c r="BJ443" s="32"/>
      <c r="BK443" s="32"/>
      <c r="BL443" s="32"/>
      <c r="BM443" s="32"/>
      <c r="BN443" s="32"/>
      <c r="BO443" s="32"/>
      <c r="BP443" s="32"/>
      <c r="BQ443" s="32"/>
      <c r="BR443" s="32"/>
      <c r="BS443" s="32"/>
      <c r="BT443" s="32"/>
      <c r="BU443" s="32"/>
      <c r="BV443" s="32"/>
      <c r="BW443" s="32"/>
      <c r="BX443" s="32"/>
      <c r="BY443" s="32"/>
      <c r="BZ443" s="32"/>
      <c r="CA443" s="32"/>
      <c r="CB443" s="32"/>
      <c r="CC443" s="32"/>
      <c r="CD443" s="32"/>
    </row>
    <row r="444" spans="1:8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181"/>
      <c r="S444" s="181"/>
      <c r="T444" s="181"/>
      <c r="U444" s="181"/>
      <c r="V444" s="181"/>
      <c r="W444" s="181"/>
      <c r="X444" s="181"/>
      <c r="Y444" s="181"/>
      <c r="Z444" s="181"/>
      <c r="AA444" s="181"/>
      <c r="AB444" s="181"/>
      <c r="AC444" s="181"/>
      <c r="AD444" s="181"/>
      <c r="AE444" s="181"/>
      <c r="AF444" s="181"/>
      <c r="AG444" s="181"/>
      <c r="AH444" s="181"/>
      <c r="AI444" s="181"/>
      <c r="AJ444" s="181"/>
      <c r="AK444" s="181"/>
      <c r="AL444" s="181"/>
      <c r="AM444" s="181"/>
      <c r="AN444" s="181"/>
      <c r="AO444" s="181"/>
      <c r="AP444" s="181"/>
      <c r="AQ444" s="181"/>
      <c r="AR444" s="181"/>
      <c r="AS444" s="181"/>
      <c r="AT444" s="181"/>
      <c r="AU444" s="181"/>
      <c r="AV444" s="181"/>
      <c r="AW444" s="181"/>
      <c r="AX444" s="181"/>
      <c r="AY444" s="181"/>
      <c r="AZ444" s="181"/>
      <c r="BA444" s="181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2"/>
      <c r="BM444" s="32"/>
      <c r="BN444" s="32"/>
      <c r="BO444" s="32"/>
      <c r="BP444" s="32"/>
      <c r="BQ444" s="32"/>
      <c r="BR444" s="32"/>
      <c r="BS444" s="32"/>
      <c r="BT444" s="32"/>
      <c r="BU444" s="32"/>
      <c r="BV444" s="32"/>
      <c r="BW444" s="32"/>
      <c r="BX444" s="32"/>
      <c r="BY444" s="32"/>
      <c r="BZ444" s="32"/>
      <c r="CA444" s="32"/>
      <c r="CB444" s="32"/>
      <c r="CC444" s="32"/>
      <c r="CD444" s="32"/>
    </row>
    <row r="445" spans="1:8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181"/>
      <c r="S445" s="181"/>
      <c r="T445" s="181"/>
      <c r="U445" s="181"/>
      <c r="V445" s="181"/>
      <c r="W445" s="181"/>
      <c r="X445" s="181"/>
      <c r="Y445" s="181"/>
      <c r="Z445" s="181"/>
      <c r="AA445" s="181"/>
      <c r="AB445" s="181"/>
      <c r="AC445" s="181"/>
      <c r="AD445" s="181"/>
      <c r="AE445" s="181"/>
      <c r="AF445" s="181"/>
      <c r="AG445" s="181"/>
      <c r="AH445" s="181"/>
      <c r="AI445" s="181"/>
      <c r="AJ445" s="181"/>
      <c r="AK445" s="181"/>
      <c r="AL445" s="181"/>
      <c r="AM445" s="181"/>
      <c r="AN445" s="181"/>
      <c r="AO445" s="181"/>
      <c r="AP445" s="181"/>
      <c r="AQ445" s="181"/>
      <c r="AR445" s="181"/>
      <c r="AS445" s="181"/>
      <c r="AT445" s="181"/>
      <c r="AU445" s="181"/>
      <c r="AV445" s="181"/>
      <c r="AW445" s="181"/>
      <c r="AX445" s="181"/>
      <c r="AY445" s="181"/>
      <c r="AZ445" s="181"/>
      <c r="BA445" s="181"/>
      <c r="BB445" s="32"/>
      <c r="BC445" s="32"/>
      <c r="BD445" s="32"/>
      <c r="BE445" s="32"/>
      <c r="BF445" s="32"/>
      <c r="BG445" s="32"/>
      <c r="BH445" s="32"/>
      <c r="BI445" s="32"/>
      <c r="BJ445" s="32"/>
      <c r="BK445" s="32"/>
      <c r="BL445" s="32"/>
      <c r="BM445" s="32"/>
      <c r="BN445" s="32"/>
      <c r="BO445" s="32"/>
      <c r="BP445" s="32"/>
      <c r="BQ445" s="32"/>
      <c r="BR445" s="32"/>
      <c r="BS445" s="32"/>
      <c r="BT445" s="32"/>
      <c r="BU445" s="32"/>
      <c r="BV445" s="32"/>
      <c r="BW445" s="32"/>
      <c r="BX445" s="32"/>
      <c r="BY445" s="32"/>
      <c r="BZ445" s="32"/>
      <c r="CA445" s="32"/>
      <c r="CB445" s="32"/>
      <c r="CC445" s="32"/>
      <c r="CD445" s="32"/>
    </row>
    <row r="446" spans="1:8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181"/>
      <c r="S446" s="181"/>
      <c r="T446" s="181"/>
      <c r="U446" s="181"/>
      <c r="V446" s="181"/>
      <c r="W446" s="181"/>
      <c r="X446" s="181"/>
      <c r="Y446" s="181"/>
      <c r="Z446" s="181"/>
      <c r="AA446" s="181"/>
      <c r="AB446" s="181"/>
      <c r="AC446" s="181"/>
      <c r="AD446" s="181"/>
      <c r="AE446" s="181"/>
      <c r="AF446" s="181"/>
      <c r="AG446" s="181"/>
      <c r="AH446" s="181"/>
      <c r="AI446" s="181"/>
      <c r="AJ446" s="181"/>
      <c r="AK446" s="181"/>
      <c r="AL446" s="181"/>
      <c r="AM446" s="181"/>
      <c r="AN446" s="181"/>
      <c r="AO446" s="181"/>
      <c r="AP446" s="181"/>
      <c r="AQ446" s="181"/>
      <c r="AR446" s="181"/>
      <c r="AS446" s="181"/>
      <c r="AT446" s="181"/>
      <c r="AU446" s="181"/>
      <c r="AV446" s="181"/>
      <c r="AW446" s="181"/>
      <c r="AX446" s="181"/>
      <c r="AY446" s="181"/>
      <c r="AZ446" s="181"/>
      <c r="BA446" s="181"/>
      <c r="BB446" s="32"/>
      <c r="BC446" s="32"/>
      <c r="BD446" s="32"/>
      <c r="BE446" s="32"/>
      <c r="BF446" s="32"/>
      <c r="BG446" s="32"/>
      <c r="BH446" s="32"/>
      <c r="BI446" s="32"/>
      <c r="BJ446" s="32"/>
      <c r="BK446" s="32"/>
      <c r="BL446" s="32"/>
      <c r="BM446" s="32"/>
      <c r="BN446" s="32"/>
      <c r="BO446" s="32"/>
      <c r="BP446" s="32"/>
      <c r="BQ446" s="32"/>
      <c r="BR446" s="32"/>
      <c r="BS446" s="32"/>
      <c r="BT446" s="32"/>
      <c r="BU446" s="32"/>
      <c r="BV446" s="32"/>
      <c r="BW446" s="32"/>
      <c r="BX446" s="32"/>
      <c r="BY446" s="32"/>
      <c r="BZ446" s="32"/>
      <c r="CA446" s="32"/>
      <c r="CB446" s="32"/>
      <c r="CC446" s="32"/>
      <c r="CD446" s="32"/>
    </row>
    <row r="447" spans="1:8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181"/>
      <c r="S447" s="181"/>
      <c r="T447" s="181"/>
      <c r="U447" s="181"/>
      <c r="V447" s="181"/>
      <c r="W447" s="181"/>
      <c r="X447" s="181"/>
      <c r="Y447" s="181"/>
      <c r="Z447" s="181"/>
      <c r="AA447" s="181"/>
      <c r="AB447" s="181"/>
      <c r="AC447" s="181"/>
      <c r="AD447" s="181"/>
      <c r="AE447" s="181"/>
      <c r="AF447" s="181"/>
      <c r="AG447" s="181"/>
      <c r="AH447" s="181"/>
      <c r="AI447" s="181"/>
      <c r="AJ447" s="181"/>
      <c r="AK447" s="181"/>
      <c r="AL447" s="181"/>
      <c r="AM447" s="181"/>
      <c r="AN447" s="181"/>
      <c r="AO447" s="181"/>
      <c r="AP447" s="181"/>
      <c r="AQ447" s="181"/>
      <c r="AR447" s="181"/>
      <c r="AS447" s="181"/>
      <c r="AT447" s="181"/>
      <c r="AU447" s="181"/>
      <c r="AV447" s="181"/>
      <c r="AW447" s="181"/>
      <c r="AX447" s="181"/>
      <c r="AY447" s="181"/>
      <c r="AZ447" s="181"/>
      <c r="BA447" s="181"/>
      <c r="BB447" s="32"/>
      <c r="BC447" s="32"/>
      <c r="BD447" s="32"/>
      <c r="BE447" s="32"/>
      <c r="BF447" s="32"/>
      <c r="BG447" s="32"/>
      <c r="BH447" s="32"/>
      <c r="BI447" s="32"/>
      <c r="BJ447" s="32"/>
      <c r="BK447" s="32"/>
      <c r="BL447" s="32"/>
      <c r="BM447" s="32"/>
      <c r="BN447" s="32"/>
      <c r="BO447" s="32"/>
      <c r="BP447" s="32"/>
      <c r="BQ447" s="32"/>
      <c r="BR447" s="32"/>
      <c r="BS447" s="32"/>
      <c r="BT447" s="32"/>
      <c r="BU447" s="32"/>
      <c r="BV447" s="32"/>
      <c r="BW447" s="32"/>
      <c r="BX447" s="32"/>
      <c r="BY447" s="32"/>
      <c r="BZ447" s="32"/>
      <c r="CA447" s="32"/>
      <c r="CB447" s="32"/>
      <c r="CC447" s="32"/>
      <c r="CD447" s="32"/>
    </row>
    <row r="448" spans="1:8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181"/>
      <c r="S448" s="181"/>
      <c r="T448" s="181"/>
      <c r="U448" s="181"/>
      <c r="V448" s="181"/>
      <c r="W448" s="181"/>
      <c r="X448" s="181"/>
      <c r="Y448" s="181"/>
      <c r="Z448" s="181"/>
      <c r="AA448" s="181"/>
      <c r="AB448" s="181"/>
      <c r="AC448" s="181"/>
      <c r="AD448" s="181"/>
      <c r="AE448" s="181"/>
      <c r="AF448" s="181"/>
      <c r="AG448" s="181"/>
      <c r="AH448" s="181"/>
      <c r="AI448" s="181"/>
      <c r="AJ448" s="181"/>
      <c r="AK448" s="181"/>
      <c r="AL448" s="181"/>
      <c r="AM448" s="181"/>
      <c r="AN448" s="181"/>
      <c r="AO448" s="181"/>
      <c r="AP448" s="181"/>
      <c r="AQ448" s="181"/>
      <c r="AR448" s="181"/>
      <c r="AS448" s="181"/>
      <c r="AT448" s="181"/>
      <c r="AU448" s="181"/>
      <c r="AV448" s="181"/>
      <c r="AW448" s="181"/>
      <c r="AX448" s="181"/>
      <c r="AY448" s="181"/>
      <c r="AZ448" s="181"/>
      <c r="BA448" s="181"/>
      <c r="BB448" s="32"/>
      <c r="BC448" s="32"/>
      <c r="BD448" s="32"/>
      <c r="BE448" s="32"/>
      <c r="BF448" s="32"/>
      <c r="BG448" s="32"/>
      <c r="BH448" s="32"/>
      <c r="BI448" s="32"/>
      <c r="BJ448" s="32"/>
      <c r="BK448" s="32"/>
      <c r="BL448" s="32"/>
      <c r="BM448" s="32"/>
      <c r="BN448" s="32"/>
      <c r="BO448" s="32"/>
      <c r="BP448" s="32"/>
      <c r="BQ448" s="32"/>
      <c r="BR448" s="32"/>
      <c r="BS448" s="32"/>
      <c r="BT448" s="32"/>
      <c r="BU448" s="32"/>
      <c r="BV448" s="32"/>
      <c r="BW448" s="32"/>
      <c r="BX448" s="32"/>
      <c r="BY448" s="32"/>
      <c r="BZ448" s="32"/>
      <c r="CA448" s="32"/>
      <c r="CB448" s="32"/>
      <c r="CC448" s="32"/>
      <c r="CD448" s="32"/>
    </row>
    <row r="449" spans="1:8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181"/>
      <c r="S449" s="181"/>
      <c r="T449" s="181"/>
      <c r="U449" s="181"/>
      <c r="V449" s="181"/>
      <c r="W449" s="181"/>
      <c r="X449" s="181"/>
      <c r="Y449" s="181"/>
      <c r="Z449" s="181"/>
      <c r="AA449" s="181"/>
      <c r="AB449" s="181"/>
      <c r="AC449" s="181"/>
      <c r="AD449" s="181"/>
      <c r="AE449" s="181"/>
      <c r="AF449" s="181"/>
      <c r="AG449" s="181"/>
      <c r="AH449" s="181"/>
      <c r="AI449" s="181"/>
      <c r="AJ449" s="181"/>
      <c r="AK449" s="181"/>
      <c r="AL449" s="181"/>
      <c r="AM449" s="181"/>
      <c r="AN449" s="181"/>
      <c r="AO449" s="181"/>
      <c r="AP449" s="181"/>
      <c r="AQ449" s="181"/>
      <c r="AR449" s="181"/>
      <c r="AS449" s="181"/>
      <c r="AT449" s="181"/>
      <c r="AU449" s="181"/>
      <c r="AV449" s="181"/>
      <c r="AW449" s="181"/>
      <c r="AX449" s="181"/>
      <c r="AY449" s="181"/>
      <c r="AZ449" s="181"/>
      <c r="BA449" s="181"/>
      <c r="BB449" s="32"/>
      <c r="BC449" s="32"/>
      <c r="BD449" s="32"/>
      <c r="BE449" s="32"/>
      <c r="BF449" s="32"/>
      <c r="BG449" s="32"/>
      <c r="BH449" s="32"/>
      <c r="BI449" s="32"/>
      <c r="BJ449" s="32"/>
      <c r="BK449" s="32"/>
      <c r="BL449" s="32"/>
      <c r="BM449" s="32"/>
      <c r="BN449" s="32"/>
      <c r="BO449" s="32"/>
      <c r="BP449" s="32"/>
      <c r="BQ449" s="32"/>
      <c r="BR449" s="32"/>
      <c r="BS449" s="32"/>
      <c r="BT449" s="32"/>
      <c r="BU449" s="32"/>
      <c r="BV449" s="32"/>
      <c r="BW449" s="32"/>
      <c r="BX449" s="32"/>
      <c r="BY449" s="32"/>
      <c r="BZ449" s="32"/>
      <c r="CA449" s="32"/>
      <c r="CB449" s="32"/>
      <c r="CC449" s="32"/>
      <c r="CD449" s="32"/>
    </row>
    <row r="450" spans="1:8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181"/>
      <c r="S450" s="181"/>
      <c r="T450" s="181"/>
      <c r="U450" s="181"/>
      <c r="V450" s="181"/>
      <c r="W450" s="181"/>
      <c r="X450" s="181"/>
      <c r="Y450" s="181"/>
      <c r="Z450" s="181"/>
      <c r="AA450" s="181"/>
      <c r="AB450" s="181"/>
      <c r="AC450" s="181"/>
      <c r="AD450" s="181"/>
      <c r="AE450" s="181"/>
      <c r="AF450" s="181"/>
      <c r="AG450" s="181"/>
      <c r="AH450" s="181"/>
      <c r="AI450" s="181"/>
      <c r="AJ450" s="181"/>
      <c r="AK450" s="181"/>
      <c r="AL450" s="181"/>
      <c r="AM450" s="181"/>
      <c r="AN450" s="181"/>
      <c r="AO450" s="181"/>
      <c r="AP450" s="181"/>
      <c r="AQ450" s="181"/>
      <c r="AR450" s="181"/>
      <c r="AS450" s="181"/>
      <c r="AT450" s="181"/>
      <c r="AU450" s="181"/>
      <c r="AV450" s="181"/>
      <c r="AW450" s="181"/>
      <c r="AX450" s="181"/>
      <c r="AY450" s="181"/>
      <c r="AZ450" s="181"/>
      <c r="BA450" s="181"/>
      <c r="BB450" s="32"/>
      <c r="BC450" s="32"/>
      <c r="BD450" s="32"/>
      <c r="BE450" s="32"/>
      <c r="BF450" s="32"/>
      <c r="BG450" s="32"/>
      <c r="BH450" s="32"/>
      <c r="BI450" s="32"/>
      <c r="BJ450" s="32"/>
      <c r="BK450" s="32"/>
      <c r="BL450" s="32"/>
      <c r="BM450" s="32"/>
      <c r="BN450" s="32"/>
      <c r="BO450" s="32"/>
      <c r="BP450" s="32"/>
      <c r="BQ450" s="32"/>
      <c r="BR450" s="32"/>
      <c r="BS450" s="32"/>
      <c r="BT450" s="32"/>
      <c r="BU450" s="32"/>
      <c r="BV450" s="32"/>
      <c r="BW450" s="32"/>
      <c r="BX450" s="32"/>
      <c r="BY450" s="32"/>
      <c r="BZ450" s="32"/>
      <c r="CA450" s="32"/>
      <c r="CB450" s="32"/>
      <c r="CC450" s="32"/>
      <c r="CD450" s="32"/>
    </row>
    <row r="451" spans="1:8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181"/>
      <c r="S451" s="181"/>
      <c r="T451" s="181"/>
      <c r="U451" s="181"/>
      <c r="V451" s="181"/>
      <c r="W451" s="181"/>
      <c r="X451" s="181"/>
      <c r="Y451" s="181"/>
      <c r="Z451" s="181"/>
      <c r="AA451" s="181"/>
      <c r="AB451" s="181"/>
      <c r="AC451" s="181"/>
      <c r="AD451" s="181"/>
      <c r="AE451" s="181"/>
      <c r="AF451" s="181"/>
      <c r="AG451" s="181"/>
      <c r="AH451" s="181"/>
      <c r="AI451" s="181"/>
      <c r="AJ451" s="181"/>
      <c r="AK451" s="181"/>
      <c r="AL451" s="181"/>
      <c r="AM451" s="181"/>
      <c r="AN451" s="181"/>
      <c r="AO451" s="181"/>
      <c r="AP451" s="181"/>
      <c r="AQ451" s="181"/>
      <c r="AR451" s="181"/>
      <c r="AS451" s="181"/>
      <c r="AT451" s="181"/>
      <c r="AU451" s="181"/>
      <c r="AV451" s="181"/>
      <c r="AW451" s="181"/>
      <c r="AX451" s="181"/>
      <c r="AY451" s="181"/>
      <c r="AZ451" s="181"/>
      <c r="BA451" s="181"/>
      <c r="BB451" s="32"/>
      <c r="BC451" s="32"/>
      <c r="BD451" s="32"/>
      <c r="BE451" s="32"/>
      <c r="BF451" s="32"/>
      <c r="BG451" s="32"/>
      <c r="BH451" s="32"/>
      <c r="BI451" s="32"/>
      <c r="BJ451" s="32"/>
      <c r="BK451" s="32"/>
      <c r="BL451" s="32"/>
      <c r="BM451" s="32"/>
      <c r="BN451" s="32"/>
      <c r="BO451" s="32"/>
      <c r="BP451" s="32"/>
      <c r="BQ451" s="32"/>
      <c r="BR451" s="32"/>
      <c r="BS451" s="32"/>
      <c r="BT451" s="32"/>
      <c r="BU451" s="32"/>
      <c r="BV451" s="32"/>
      <c r="BW451" s="32"/>
      <c r="BX451" s="32"/>
      <c r="BY451" s="32"/>
      <c r="BZ451" s="32"/>
      <c r="CA451" s="32"/>
      <c r="CB451" s="32"/>
      <c r="CC451" s="32"/>
      <c r="CD451" s="32"/>
    </row>
    <row r="452" spans="1:8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181"/>
      <c r="S452" s="181"/>
      <c r="T452" s="181"/>
      <c r="U452" s="181"/>
      <c r="V452" s="181"/>
      <c r="W452" s="181"/>
      <c r="X452" s="181"/>
      <c r="Y452" s="181"/>
      <c r="Z452" s="181"/>
      <c r="AA452" s="181"/>
      <c r="AB452" s="181"/>
      <c r="AC452" s="181"/>
      <c r="AD452" s="181"/>
      <c r="AE452" s="181"/>
      <c r="AF452" s="181"/>
      <c r="AG452" s="181"/>
      <c r="AH452" s="181"/>
      <c r="AI452" s="181"/>
      <c r="AJ452" s="181"/>
      <c r="AK452" s="181"/>
      <c r="AL452" s="181"/>
      <c r="AM452" s="181"/>
      <c r="AN452" s="181"/>
      <c r="AO452" s="181"/>
      <c r="AP452" s="181"/>
      <c r="AQ452" s="181"/>
      <c r="AR452" s="181"/>
      <c r="AS452" s="181"/>
      <c r="AT452" s="181"/>
      <c r="AU452" s="181"/>
      <c r="AV452" s="181"/>
      <c r="AW452" s="181"/>
      <c r="AX452" s="181"/>
      <c r="AY452" s="181"/>
      <c r="AZ452" s="181"/>
      <c r="BA452" s="181"/>
      <c r="BB452" s="32"/>
      <c r="BC452" s="32"/>
      <c r="BD452" s="32"/>
      <c r="BE452" s="32"/>
      <c r="BF452" s="32"/>
      <c r="BG452" s="32"/>
      <c r="BH452" s="32"/>
      <c r="BI452" s="32"/>
      <c r="BJ452" s="32"/>
      <c r="BK452" s="32"/>
      <c r="BL452" s="32"/>
      <c r="BM452" s="32"/>
      <c r="BN452" s="32"/>
      <c r="BO452" s="32"/>
      <c r="BP452" s="32"/>
      <c r="BQ452" s="32"/>
      <c r="BR452" s="32"/>
      <c r="BS452" s="32"/>
      <c r="BT452" s="32"/>
      <c r="BU452" s="32"/>
      <c r="BV452" s="32"/>
      <c r="BW452" s="32"/>
      <c r="BX452" s="32"/>
      <c r="BY452" s="32"/>
      <c r="BZ452" s="32"/>
      <c r="CA452" s="32"/>
      <c r="CB452" s="32"/>
      <c r="CC452" s="32"/>
      <c r="CD452" s="32"/>
    </row>
    <row r="453" spans="1:8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181"/>
      <c r="S453" s="181"/>
      <c r="T453" s="181"/>
      <c r="U453" s="181"/>
      <c r="V453" s="181"/>
      <c r="W453" s="181"/>
      <c r="X453" s="181"/>
      <c r="Y453" s="181"/>
      <c r="Z453" s="181"/>
      <c r="AA453" s="181"/>
      <c r="AB453" s="181"/>
      <c r="AC453" s="181"/>
      <c r="AD453" s="181"/>
      <c r="AE453" s="181"/>
      <c r="AF453" s="181"/>
      <c r="AG453" s="181"/>
      <c r="AH453" s="181"/>
      <c r="AI453" s="181"/>
      <c r="AJ453" s="181"/>
      <c r="AK453" s="181"/>
      <c r="AL453" s="181"/>
      <c r="AM453" s="181"/>
      <c r="AN453" s="181"/>
      <c r="AO453" s="181"/>
      <c r="AP453" s="181"/>
      <c r="AQ453" s="181"/>
      <c r="AR453" s="181"/>
      <c r="AS453" s="181"/>
      <c r="AT453" s="181"/>
      <c r="AU453" s="181"/>
      <c r="AV453" s="181"/>
      <c r="AW453" s="181"/>
      <c r="AX453" s="181"/>
      <c r="AY453" s="181"/>
      <c r="AZ453" s="181"/>
      <c r="BA453" s="181"/>
      <c r="BB453" s="32"/>
      <c r="BC453" s="32"/>
      <c r="BD453" s="32"/>
      <c r="BE453" s="32"/>
      <c r="BF453" s="32"/>
      <c r="BG453" s="32"/>
      <c r="BH453" s="32"/>
      <c r="BI453" s="32"/>
      <c r="BJ453" s="32"/>
      <c r="BK453" s="32"/>
      <c r="BL453" s="32"/>
      <c r="BM453" s="32"/>
      <c r="BN453" s="32"/>
      <c r="BO453" s="32"/>
      <c r="BP453" s="32"/>
      <c r="BQ453" s="32"/>
      <c r="BR453" s="32"/>
      <c r="BS453" s="32"/>
      <c r="BT453" s="32"/>
      <c r="BU453" s="32"/>
      <c r="BV453" s="32"/>
      <c r="BW453" s="32"/>
      <c r="BX453" s="32"/>
      <c r="BY453" s="32"/>
      <c r="BZ453" s="32"/>
      <c r="CA453" s="32"/>
      <c r="CB453" s="32"/>
      <c r="CC453" s="32"/>
      <c r="CD453" s="32"/>
    </row>
    <row r="454" spans="1:8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181"/>
      <c r="S454" s="181"/>
      <c r="T454" s="181"/>
      <c r="U454" s="181"/>
      <c r="V454" s="181"/>
      <c r="W454" s="181"/>
      <c r="X454" s="181"/>
      <c r="Y454" s="181"/>
      <c r="Z454" s="181"/>
      <c r="AA454" s="181"/>
      <c r="AB454" s="181"/>
      <c r="AC454" s="181"/>
      <c r="AD454" s="181"/>
      <c r="AE454" s="181"/>
      <c r="AF454" s="181"/>
      <c r="AG454" s="181"/>
      <c r="AH454" s="181"/>
      <c r="AI454" s="181"/>
      <c r="AJ454" s="181"/>
      <c r="AK454" s="181"/>
      <c r="AL454" s="181"/>
      <c r="AM454" s="181"/>
      <c r="AN454" s="181"/>
      <c r="AO454" s="181"/>
      <c r="AP454" s="181"/>
      <c r="AQ454" s="181"/>
      <c r="AR454" s="181"/>
      <c r="AS454" s="181"/>
      <c r="AT454" s="181"/>
      <c r="AU454" s="181"/>
      <c r="AV454" s="181"/>
      <c r="AW454" s="181"/>
      <c r="AX454" s="181"/>
      <c r="AY454" s="181"/>
      <c r="AZ454" s="181"/>
      <c r="BA454" s="181"/>
      <c r="BB454" s="32"/>
      <c r="BC454" s="32"/>
      <c r="BD454" s="32"/>
      <c r="BE454" s="32"/>
      <c r="BF454" s="32"/>
      <c r="BG454" s="32"/>
      <c r="BH454" s="32"/>
      <c r="BI454" s="32"/>
      <c r="BJ454" s="32"/>
      <c r="BK454" s="32"/>
      <c r="BL454" s="32"/>
      <c r="BM454" s="32"/>
      <c r="BN454" s="32"/>
      <c r="BO454" s="32"/>
      <c r="BP454" s="32"/>
      <c r="BQ454" s="32"/>
      <c r="BR454" s="32"/>
      <c r="BS454" s="32"/>
      <c r="BT454" s="32"/>
      <c r="BU454" s="32"/>
      <c r="BV454" s="32"/>
      <c r="BW454" s="32"/>
      <c r="BX454" s="32"/>
      <c r="BY454" s="32"/>
      <c r="BZ454" s="32"/>
      <c r="CA454" s="32"/>
      <c r="CB454" s="32"/>
      <c r="CC454" s="32"/>
      <c r="CD454" s="32"/>
    </row>
    <row r="455" spans="1:8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181"/>
      <c r="S455" s="181"/>
      <c r="T455" s="181"/>
      <c r="U455" s="181"/>
      <c r="V455" s="181"/>
      <c r="W455" s="181"/>
      <c r="X455" s="181"/>
      <c r="Y455" s="181"/>
      <c r="Z455" s="181"/>
      <c r="AA455" s="181"/>
      <c r="AB455" s="181"/>
      <c r="AC455" s="181"/>
      <c r="AD455" s="181"/>
      <c r="AE455" s="181"/>
      <c r="AF455" s="181"/>
      <c r="AG455" s="181"/>
      <c r="AH455" s="181"/>
      <c r="AI455" s="181"/>
      <c r="AJ455" s="181"/>
      <c r="AK455" s="181"/>
      <c r="AL455" s="181"/>
      <c r="AM455" s="181"/>
      <c r="AN455" s="181"/>
      <c r="AO455" s="181"/>
      <c r="AP455" s="181"/>
      <c r="AQ455" s="181"/>
      <c r="AR455" s="181"/>
      <c r="AS455" s="181"/>
      <c r="AT455" s="181"/>
      <c r="AU455" s="181"/>
      <c r="AV455" s="181"/>
      <c r="AW455" s="181"/>
      <c r="AX455" s="181"/>
      <c r="AY455" s="181"/>
      <c r="AZ455" s="181"/>
      <c r="BA455" s="181"/>
      <c r="BB455" s="32"/>
      <c r="BC455" s="32"/>
      <c r="BD455" s="32"/>
      <c r="BE455" s="32"/>
      <c r="BF455" s="32"/>
      <c r="BG455" s="32"/>
      <c r="BH455" s="32"/>
      <c r="BI455" s="32"/>
      <c r="BJ455" s="32"/>
      <c r="BK455" s="32"/>
      <c r="BL455" s="32"/>
      <c r="BM455" s="32"/>
      <c r="BN455" s="32"/>
      <c r="BO455" s="32"/>
      <c r="BP455" s="32"/>
      <c r="BQ455" s="32"/>
      <c r="BR455" s="32"/>
      <c r="BS455" s="32"/>
      <c r="BT455" s="32"/>
      <c r="BU455" s="32"/>
      <c r="BV455" s="32"/>
      <c r="BW455" s="32"/>
      <c r="BX455" s="32"/>
      <c r="BY455" s="32"/>
      <c r="BZ455" s="32"/>
      <c r="CA455" s="32"/>
      <c r="CB455" s="32"/>
      <c r="CC455" s="32"/>
      <c r="CD455" s="32"/>
    </row>
    <row r="456" spans="1:8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181"/>
      <c r="S456" s="181"/>
      <c r="T456" s="181"/>
      <c r="U456" s="181"/>
      <c r="V456" s="181"/>
      <c r="W456" s="181"/>
      <c r="X456" s="181"/>
      <c r="Y456" s="181"/>
      <c r="Z456" s="181"/>
      <c r="AA456" s="181"/>
      <c r="AB456" s="181"/>
      <c r="AC456" s="181"/>
      <c r="AD456" s="181"/>
      <c r="AE456" s="181"/>
      <c r="AF456" s="181"/>
      <c r="AG456" s="181"/>
      <c r="AH456" s="181"/>
      <c r="AI456" s="181"/>
      <c r="AJ456" s="181"/>
      <c r="AK456" s="181"/>
      <c r="AL456" s="181"/>
      <c r="AM456" s="181"/>
      <c r="AN456" s="181"/>
      <c r="AO456" s="181"/>
      <c r="AP456" s="181"/>
      <c r="AQ456" s="181"/>
      <c r="AR456" s="181"/>
      <c r="AS456" s="181"/>
      <c r="AT456" s="181"/>
      <c r="AU456" s="181"/>
      <c r="AV456" s="181"/>
      <c r="AW456" s="181"/>
      <c r="AX456" s="181"/>
      <c r="AY456" s="181"/>
      <c r="AZ456" s="181"/>
      <c r="BA456" s="181"/>
      <c r="BB456" s="32"/>
      <c r="BC456" s="32"/>
      <c r="BD456" s="32"/>
      <c r="BE456" s="32"/>
      <c r="BF456" s="32"/>
      <c r="BG456" s="32"/>
      <c r="BH456" s="32"/>
      <c r="BI456" s="32"/>
      <c r="BJ456" s="32"/>
      <c r="BK456" s="32"/>
      <c r="BL456" s="32"/>
      <c r="BM456" s="32"/>
      <c r="BN456" s="32"/>
      <c r="BO456" s="32"/>
      <c r="BP456" s="32"/>
      <c r="BQ456" s="32"/>
      <c r="BR456" s="32"/>
      <c r="BS456" s="32"/>
      <c r="BT456" s="32"/>
      <c r="BU456" s="32"/>
      <c r="BV456" s="32"/>
      <c r="BW456" s="32"/>
      <c r="BX456" s="32"/>
      <c r="BY456" s="32"/>
      <c r="BZ456" s="32"/>
      <c r="CA456" s="32"/>
      <c r="CB456" s="32"/>
      <c r="CC456" s="32"/>
      <c r="CD456" s="32"/>
    </row>
    <row r="457" spans="1:8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181"/>
      <c r="S457" s="181"/>
      <c r="T457" s="181"/>
      <c r="U457" s="181"/>
      <c r="V457" s="181"/>
      <c r="W457" s="181"/>
      <c r="X457" s="181"/>
      <c r="Y457" s="181"/>
      <c r="Z457" s="181"/>
      <c r="AA457" s="181"/>
      <c r="AB457" s="181"/>
      <c r="AC457" s="181"/>
      <c r="AD457" s="181"/>
      <c r="AE457" s="181"/>
      <c r="AF457" s="181"/>
      <c r="AG457" s="181"/>
      <c r="AH457" s="181"/>
      <c r="AI457" s="181"/>
      <c r="AJ457" s="181"/>
      <c r="AK457" s="181"/>
      <c r="AL457" s="181"/>
      <c r="AM457" s="181"/>
      <c r="AN457" s="181"/>
      <c r="AO457" s="181"/>
      <c r="AP457" s="181"/>
      <c r="AQ457" s="181"/>
      <c r="AR457" s="181"/>
      <c r="AS457" s="181"/>
      <c r="AT457" s="181"/>
      <c r="AU457" s="181"/>
      <c r="AV457" s="181"/>
      <c r="AW457" s="181"/>
      <c r="AX457" s="181"/>
      <c r="AY457" s="181"/>
      <c r="AZ457" s="181"/>
      <c r="BA457" s="181"/>
      <c r="BB457" s="32"/>
      <c r="BC457" s="32"/>
      <c r="BD457" s="32"/>
      <c r="BE457" s="32"/>
      <c r="BF457" s="32"/>
      <c r="BG457" s="32"/>
      <c r="BH457" s="32"/>
      <c r="BI457" s="32"/>
      <c r="BJ457" s="32"/>
      <c r="BK457" s="32"/>
      <c r="BL457" s="32"/>
      <c r="BM457" s="32"/>
      <c r="BN457" s="32"/>
      <c r="BO457" s="32"/>
      <c r="BP457" s="32"/>
      <c r="BQ457" s="32"/>
      <c r="BR457" s="32"/>
      <c r="BS457" s="32"/>
      <c r="BT457" s="32"/>
      <c r="BU457" s="32"/>
      <c r="BV457" s="32"/>
      <c r="BW457" s="32"/>
      <c r="BX457" s="32"/>
      <c r="BY457" s="32"/>
      <c r="BZ457" s="32"/>
      <c r="CA457" s="32"/>
      <c r="CB457" s="32"/>
      <c r="CC457" s="32"/>
      <c r="CD457" s="32"/>
    </row>
    <row r="458" spans="1:8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181"/>
      <c r="S458" s="181"/>
      <c r="T458" s="181"/>
      <c r="U458" s="181"/>
      <c r="V458" s="181"/>
      <c r="W458" s="181"/>
      <c r="X458" s="181"/>
      <c r="Y458" s="181"/>
      <c r="Z458" s="181"/>
      <c r="AA458" s="181"/>
      <c r="AB458" s="181"/>
      <c r="AC458" s="181"/>
      <c r="AD458" s="181"/>
      <c r="AE458" s="181"/>
      <c r="AF458" s="181"/>
      <c r="AG458" s="181"/>
      <c r="AH458" s="181"/>
      <c r="AI458" s="181"/>
      <c r="AJ458" s="181"/>
      <c r="AK458" s="181"/>
      <c r="AL458" s="181"/>
      <c r="AM458" s="181"/>
      <c r="AN458" s="181"/>
      <c r="AO458" s="181"/>
      <c r="AP458" s="181"/>
      <c r="AQ458" s="181"/>
      <c r="AR458" s="181"/>
      <c r="AS458" s="181"/>
      <c r="AT458" s="181"/>
      <c r="AU458" s="181"/>
      <c r="AV458" s="181"/>
      <c r="AW458" s="181"/>
      <c r="AX458" s="181"/>
      <c r="AY458" s="181"/>
      <c r="AZ458" s="181"/>
      <c r="BA458" s="181"/>
      <c r="BB458" s="32"/>
      <c r="BC458" s="32"/>
      <c r="BD458" s="32"/>
      <c r="BE458" s="32"/>
      <c r="BF458" s="32"/>
      <c r="BG458" s="32"/>
      <c r="BH458" s="32"/>
      <c r="BI458" s="32"/>
      <c r="BJ458" s="32"/>
      <c r="BK458" s="32"/>
      <c r="BL458" s="32"/>
      <c r="BM458" s="32"/>
      <c r="BN458" s="32"/>
      <c r="BO458" s="32"/>
      <c r="BP458" s="32"/>
      <c r="BQ458" s="32"/>
      <c r="BR458" s="32"/>
      <c r="BS458" s="32"/>
      <c r="BT458" s="32"/>
      <c r="BU458" s="32"/>
      <c r="BV458" s="32"/>
      <c r="BW458" s="32"/>
      <c r="BX458" s="32"/>
      <c r="BY458" s="32"/>
      <c r="BZ458" s="32"/>
      <c r="CA458" s="32"/>
      <c r="CB458" s="32"/>
      <c r="CC458" s="32"/>
      <c r="CD458" s="32"/>
    </row>
    <row r="459" spans="1:8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181"/>
      <c r="S459" s="181"/>
      <c r="T459" s="181"/>
      <c r="U459" s="181"/>
      <c r="V459" s="181"/>
      <c r="W459" s="181"/>
      <c r="X459" s="181"/>
      <c r="Y459" s="181"/>
      <c r="Z459" s="181"/>
      <c r="AA459" s="181"/>
      <c r="AB459" s="181"/>
      <c r="AC459" s="181"/>
      <c r="AD459" s="181"/>
      <c r="AE459" s="181"/>
      <c r="AF459" s="181"/>
      <c r="AG459" s="181"/>
      <c r="AH459" s="181"/>
      <c r="AI459" s="181"/>
      <c r="AJ459" s="181"/>
      <c r="AK459" s="181"/>
      <c r="AL459" s="181"/>
      <c r="AM459" s="181"/>
      <c r="AN459" s="181"/>
      <c r="AO459" s="181"/>
      <c r="AP459" s="181"/>
      <c r="AQ459" s="181"/>
      <c r="AR459" s="181"/>
      <c r="AS459" s="181"/>
      <c r="AT459" s="181"/>
      <c r="AU459" s="181"/>
      <c r="AV459" s="181"/>
      <c r="AW459" s="181"/>
      <c r="AX459" s="181"/>
      <c r="AY459" s="181"/>
      <c r="AZ459" s="181"/>
      <c r="BA459" s="181"/>
      <c r="BB459" s="32"/>
      <c r="BC459" s="32"/>
      <c r="BD459" s="32"/>
      <c r="BE459" s="32"/>
      <c r="BF459" s="32"/>
      <c r="BG459" s="32"/>
      <c r="BH459" s="32"/>
      <c r="BI459" s="32"/>
      <c r="BJ459" s="32"/>
      <c r="BK459" s="32"/>
      <c r="BL459" s="32"/>
      <c r="BM459" s="32"/>
      <c r="BN459" s="32"/>
      <c r="BO459" s="32"/>
      <c r="BP459" s="32"/>
      <c r="BQ459" s="32"/>
      <c r="BR459" s="32"/>
      <c r="BS459" s="32"/>
      <c r="BT459" s="32"/>
      <c r="BU459" s="32"/>
      <c r="BV459" s="32"/>
      <c r="BW459" s="32"/>
      <c r="BX459" s="32"/>
      <c r="BY459" s="32"/>
      <c r="BZ459" s="32"/>
      <c r="CA459" s="32"/>
      <c r="CB459" s="32"/>
      <c r="CC459" s="32"/>
      <c r="CD459" s="32"/>
    </row>
    <row r="460" spans="1:8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181"/>
      <c r="S460" s="181"/>
      <c r="T460" s="181"/>
      <c r="U460" s="181"/>
      <c r="V460" s="181"/>
      <c r="W460" s="181"/>
      <c r="X460" s="181"/>
      <c r="Y460" s="181"/>
      <c r="Z460" s="181"/>
      <c r="AA460" s="181"/>
      <c r="AB460" s="181"/>
      <c r="AC460" s="181"/>
      <c r="AD460" s="181"/>
      <c r="AE460" s="181"/>
      <c r="AF460" s="181"/>
      <c r="AG460" s="181"/>
      <c r="AH460" s="181"/>
      <c r="AI460" s="181"/>
      <c r="AJ460" s="181"/>
      <c r="AK460" s="181"/>
      <c r="AL460" s="181"/>
      <c r="AM460" s="181"/>
      <c r="AN460" s="181"/>
      <c r="AO460" s="181"/>
      <c r="AP460" s="181"/>
      <c r="AQ460" s="181"/>
      <c r="AR460" s="181"/>
      <c r="AS460" s="181"/>
      <c r="AT460" s="181"/>
      <c r="AU460" s="181"/>
      <c r="AV460" s="181"/>
      <c r="AW460" s="181"/>
      <c r="AX460" s="181"/>
      <c r="AY460" s="181"/>
      <c r="AZ460" s="181"/>
      <c r="BA460" s="181"/>
      <c r="BB460" s="32"/>
      <c r="BC460" s="32"/>
      <c r="BD460" s="32"/>
      <c r="BE460" s="32"/>
      <c r="BF460" s="32"/>
      <c r="BG460" s="32"/>
      <c r="BH460" s="32"/>
      <c r="BI460" s="32"/>
      <c r="BJ460" s="32"/>
      <c r="BK460" s="32"/>
      <c r="BL460" s="32"/>
      <c r="BM460" s="32"/>
      <c r="BN460" s="32"/>
      <c r="BO460" s="32"/>
      <c r="BP460" s="32"/>
      <c r="BQ460" s="32"/>
      <c r="BR460" s="32"/>
      <c r="BS460" s="32"/>
      <c r="BT460" s="32"/>
      <c r="BU460" s="32"/>
      <c r="BV460" s="32"/>
      <c r="BW460" s="32"/>
      <c r="BX460" s="32"/>
      <c r="BY460" s="32"/>
      <c r="BZ460" s="32"/>
      <c r="CA460" s="32"/>
      <c r="CB460" s="32"/>
      <c r="CC460" s="32"/>
      <c r="CD460" s="32"/>
    </row>
    <row r="461" spans="1:8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181"/>
      <c r="S461" s="181"/>
      <c r="T461" s="181"/>
      <c r="U461" s="181"/>
      <c r="V461" s="181"/>
      <c r="W461" s="181"/>
      <c r="X461" s="181"/>
      <c r="Y461" s="181"/>
      <c r="Z461" s="181"/>
      <c r="AA461" s="181"/>
      <c r="AB461" s="181"/>
      <c r="AC461" s="181"/>
      <c r="AD461" s="181"/>
      <c r="AE461" s="181"/>
      <c r="AF461" s="181"/>
      <c r="AG461" s="181"/>
      <c r="AH461" s="181"/>
      <c r="AI461" s="181"/>
      <c r="AJ461" s="181"/>
      <c r="AK461" s="181"/>
      <c r="AL461" s="181"/>
      <c r="AM461" s="181"/>
      <c r="AN461" s="181"/>
      <c r="AO461" s="181"/>
      <c r="AP461" s="181"/>
      <c r="AQ461" s="181"/>
      <c r="AR461" s="181"/>
      <c r="AS461" s="181"/>
      <c r="AT461" s="181"/>
      <c r="AU461" s="181"/>
      <c r="AV461" s="181"/>
      <c r="AW461" s="181"/>
      <c r="AX461" s="181"/>
      <c r="AY461" s="181"/>
      <c r="AZ461" s="181"/>
      <c r="BA461" s="181"/>
      <c r="BB461" s="32"/>
      <c r="BC461" s="32"/>
      <c r="BD461" s="32"/>
      <c r="BE461" s="32"/>
      <c r="BF461" s="32"/>
      <c r="BG461" s="32"/>
      <c r="BH461" s="32"/>
      <c r="BI461" s="32"/>
      <c r="BJ461" s="32"/>
      <c r="BK461" s="32"/>
      <c r="BL461" s="32"/>
      <c r="BM461" s="32"/>
      <c r="BN461" s="32"/>
      <c r="BO461" s="32"/>
      <c r="BP461" s="32"/>
      <c r="BQ461" s="32"/>
      <c r="BR461" s="32"/>
      <c r="BS461" s="32"/>
      <c r="BT461" s="32"/>
      <c r="BU461" s="32"/>
      <c r="BV461" s="32"/>
      <c r="BW461" s="32"/>
      <c r="BX461" s="32"/>
      <c r="BY461" s="32"/>
      <c r="BZ461" s="32"/>
      <c r="CA461" s="32"/>
      <c r="CB461" s="32"/>
      <c r="CC461" s="32"/>
      <c r="CD461" s="32"/>
    </row>
    <row r="462" spans="1:8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181"/>
      <c r="S462" s="181"/>
      <c r="T462" s="181"/>
      <c r="U462" s="181"/>
      <c r="V462" s="181"/>
      <c r="W462" s="181"/>
      <c r="X462" s="181"/>
      <c r="Y462" s="181"/>
      <c r="Z462" s="181"/>
      <c r="AA462" s="181"/>
      <c r="AB462" s="181"/>
      <c r="AC462" s="181"/>
      <c r="AD462" s="181"/>
      <c r="AE462" s="181"/>
      <c r="AF462" s="181"/>
      <c r="AG462" s="181"/>
      <c r="AH462" s="181"/>
      <c r="AI462" s="181"/>
      <c r="AJ462" s="181"/>
      <c r="AK462" s="181"/>
      <c r="AL462" s="181"/>
      <c r="AM462" s="181"/>
      <c r="AN462" s="181"/>
      <c r="AO462" s="181"/>
      <c r="AP462" s="181"/>
      <c r="AQ462" s="181"/>
      <c r="AR462" s="181"/>
      <c r="AS462" s="181"/>
      <c r="AT462" s="181"/>
      <c r="AU462" s="181"/>
      <c r="AV462" s="181"/>
      <c r="AW462" s="181"/>
      <c r="AX462" s="181"/>
      <c r="AY462" s="181"/>
      <c r="AZ462" s="181"/>
      <c r="BA462" s="181"/>
      <c r="BB462" s="32"/>
      <c r="BC462" s="32"/>
      <c r="BD462" s="32"/>
      <c r="BE462" s="32"/>
      <c r="BF462" s="32"/>
      <c r="BG462" s="32"/>
      <c r="BH462" s="32"/>
      <c r="BI462" s="32"/>
      <c r="BJ462" s="32"/>
      <c r="BK462" s="32"/>
      <c r="BL462" s="32"/>
      <c r="BM462" s="32"/>
      <c r="BN462" s="32"/>
      <c r="BO462" s="32"/>
      <c r="BP462" s="32"/>
      <c r="BQ462" s="32"/>
      <c r="BR462" s="32"/>
      <c r="BS462" s="32"/>
      <c r="BT462" s="32"/>
      <c r="BU462" s="32"/>
      <c r="BV462" s="32"/>
      <c r="BW462" s="32"/>
      <c r="BX462" s="32"/>
      <c r="BY462" s="32"/>
      <c r="BZ462" s="32"/>
      <c r="CA462" s="32"/>
      <c r="CB462" s="32"/>
      <c r="CC462" s="32"/>
      <c r="CD462" s="32"/>
    </row>
    <row r="463" spans="1:8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181"/>
      <c r="S463" s="181"/>
      <c r="T463" s="181"/>
      <c r="U463" s="181"/>
      <c r="V463" s="181"/>
      <c r="W463" s="181"/>
      <c r="X463" s="181"/>
      <c r="Y463" s="181"/>
      <c r="Z463" s="181"/>
      <c r="AA463" s="181"/>
      <c r="AB463" s="181"/>
      <c r="AC463" s="181"/>
      <c r="AD463" s="181"/>
      <c r="AE463" s="181"/>
      <c r="AF463" s="181"/>
      <c r="AG463" s="181"/>
      <c r="AH463" s="181"/>
      <c r="AI463" s="181"/>
      <c r="AJ463" s="181"/>
      <c r="AK463" s="181"/>
      <c r="AL463" s="181"/>
      <c r="AM463" s="181"/>
      <c r="AN463" s="181"/>
      <c r="AO463" s="181"/>
      <c r="AP463" s="181"/>
      <c r="AQ463" s="181"/>
      <c r="AR463" s="181"/>
      <c r="AS463" s="181"/>
      <c r="AT463" s="181"/>
      <c r="AU463" s="181"/>
      <c r="AV463" s="181"/>
      <c r="AW463" s="181"/>
      <c r="AX463" s="181"/>
      <c r="AY463" s="181"/>
      <c r="AZ463" s="181"/>
      <c r="BA463" s="181"/>
      <c r="BB463" s="32"/>
      <c r="BC463" s="32"/>
      <c r="BD463" s="32"/>
      <c r="BE463" s="32"/>
      <c r="BF463" s="32"/>
      <c r="BG463" s="32"/>
      <c r="BH463" s="32"/>
      <c r="BI463" s="32"/>
      <c r="BJ463" s="32"/>
      <c r="BK463" s="32"/>
      <c r="BL463" s="32"/>
      <c r="BM463" s="32"/>
      <c r="BN463" s="32"/>
      <c r="BO463" s="32"/>
      <c r="BP463" s="32"/>
      <c r="BQ463" s="32"/>
      <c r="BR463" s="32"/>
      <c r="BS463" s="32"/>
      <c r="BT463" s="32"/>
      <c r="BU463" s="32"/>
      <c r="BV463" s="32"/>
      <c r="BW463" s="32"/>
      <c r="BX463" s="32"/>
      <c r="BY463" s="32"/>
      <c r="BZ463" s="32"/>
      <c r="CA463" s="32"/>
      <c r="CB463" s="32"/>
      <c r="CC463" s="32"/>
      <c r="CD463" s="32"/>
    </row>
    <row r="464" spans="1:8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181"/>
      <c r="S464" s="181"/>
      <c r="T464" s="181"/>
      <c r="U464" s="181"/>
      <c r="V464" s="181"/>
      <c r="W464" s="181"/>
      <c r="X464" s="181"/>
      <c r="Y464" s="181"/>
      <c r="Z464" s="181"/>
      <c r="AA464" s="181"/>
      <c r="AB464" s="181"/>
      <c r="AC464" s="181"/>
      <c r="AD464" s="181"/>
      <c r="AE464" s="181"/>
      <c r="AF464" s="181"/>
      <c r="AG464" s="181"/>
      <c r="AH464" s="181"/>
      <c r="AI464" s="181"/>
      <c r="AJ464" s="181"/>
      <c r="AK464" s="181"/>
      <c r="AL464" s="181"/>
      <c r="AM464" s="181"/>
      <c r="AN464" s="181"/>
      <c r="AO464" s="181"/>
      <c r="AP464" s="181"/>
      <c r="AQ464" s="181"/>
      <c r="AR464" s="181"/>
      <c r="AS464" s="181"/>
      <c r="AT464" s="181"/>
      <c r="AU464" s="181"/>
      <c r="AV464" s="181"/>
      <c r="AW464" s="181"/>
      <c r="AX464" s="181"/>
      <c r="AY464" s="181"/>
      <c r="AZ464" s="181"/>
      <c r="BA464" s="181"/>
      <c r="BB464" s="32"/>
      <c r="BC464" s="32"/>
      <c r="BD464" s="32"/>
      <c r="BE464" s="32"/>
      <c r="BF464" s="32"/>
      <c r="BG464" s="32"/>
      <c r="BH464" s="32"/>
      <c r="BI464" s="32"/>
      <c r="BJ464" s="32"/>
      <c r="BK464" s="32"/>
      <c r="BL464" s="32"/>
      <c r="BM464" s="32"/>
      <c r="BN464" s="32"/>
      <c r="BO464" s="32"/>
      <c r="BP464" s="32"/>
      <c r="BQ464" s="32"/>
      <c r="BR464" s="32"/>
      <c r="BS464" s="32"/>
      <c r="BT464" s="32"/>
      <c r="BU464" s="32"/>
      <c r="BV464" s="32"/>
      <c r="BW464" s="32"/>
      <c r="BX464" s="32"/>
      <c r="BY464" s="32"/>
      <c r="BZ464" s="32"/>
      <c r="CA464" s="32"/>
      <c r="CB464" s="32"/>
      <c r="CC464" s="32"/>
      <c r="CD464" s="32"/>
    </row>
    <row r="465" spans="1:8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181"/>
      <c r="S465" s="181"/>
      <c r="T465" s="181"/>
      <c r="U465" s="181"/>
      <c r="V465" s="181"/>
      <c r="W465" s="181"/>
      <c r="X465" s="181"/>
      <c r="Y465" s="181"/>
      <c r="Z465" s="181"/>
      <c r="AA465" s="181"/>
      <c r="AB465" s="181"/>
      <c r="AC465" s="181"/>
      <c r="AD465" s="181"/>
      <c r="AE465" s="181"/>
      <c r="AF465" s="181"/>
      <c r="AG465" s="181"/>
      <c r="AH465" s="181"/>
      <c r="AI465" s="181"/>
      <c r="AJ465" s="181"/>
      <c r="AK465" s="181"/>
      <c r="AL465" s="181"/>
      <c r="AM465" s="181"/>
      <c r="AN465" s="181"/>
      <c r="AO465" s="181"/>
      <c r="AP465" s="181"/>
      <c r="AQ465" s="181"/>
      <c r="AR465" s="181"/>
      <c r="AS465" s="181"/>
      <c r="AT465" s="181"/>
      <c r="AU465" s="181"/>
      <c r="AV465" s="181"/>
      <c r="AW465" s="181"/>
      <c r="AX465" s="181"/>
      <c r="AY465" s="181"/>
      <c r="AZ465" s="181"/>
      <c r="BA465" s="181"/>
      <c r="BB465" s="32"/>
      <c r="BC465" s="32"/>
      <c r="BD465" s="32"/>
      <c r="BE465" s="32"/>
      <c r="BF465" s="32"/>
      <c r="BG465" s="32"/>
      <c r="BH465" s="32"/>
      <c r="BI465" s="32"/>
      <c r="BJ465" s="32"/>
      <c r="BK465" s="32"/>
      <c r="BL465" s="32"/>
      <c r="BM465" s="32"/>
      <c r="BN465" s="32"/>
      <c r="BO465" s="32"/>
      <c r="BP465" s="32"/>
      <c r="BQ465" s="32"/>
      <c r="BR465" s="32"/>
      <c r="BS465" s="32"/>
      <c r="BT465" s="32"/>
      <c r="BU465" s="32"/>
      <c r="BV465" s="32"/>
      <c r="BW465" s="32"/>
      <c r="BX465" s="32"/>
      <c r="BY465" s="32"/>
      <c r="BZ465" s="32"/>
      <c r="CA465" s="32"/>
      <c r="CB465" s="32"/>
      <c r="CC465" s="32"/>
      <c r="CD465" s="32"/>
    </row>
    <row r="466" spans="1:8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181"/>
      <c r="S466" s="181"/>
      <c r="T466" s="181"/>
      <c r="U466" s="181"/>
      <c r="V466" s="181"/>
      <c r="W466" s="181"/>
      <c r="X466" s="181"/>
      <c r="Y466" s="181"/>
      <c r="Z466" s="181"/>
      <c r="AA466" s="181"/>
      <c r="AB466" s="181"/>
      <c r="AC466" s="181"/>
      <c r="AD466" s="181"/>
      <c r="AE466" s="181"/>
      <c r="AF466" s="181"/>
      <c r="AG466" s="181"/>
      <c r="AH466" s="181"/>
      <c r="AI466" s="181"/>
      <c r="AJ466" s="181"/>
      <c r="AK466" s="181"/>
      <c r="AL466" s="181"/>
      <c r="AM466" s="181"/>
      <c r="AN466" s="181"/>
      <c r="AO466" s="181"/>
      <c r="AP466" s="181"/>
      <c r="AQ466" s="181"/>
      <c r="AR466" s="181"/>
      <c r="AS466" s="181"/>
      <c r="AT466" s="181"/>
      <c r="AU466" s="181"/>
      <c r="AV466" s="181"/>
      <c r="AW466" s="181"/>
      <c r="AX466" s="181"/>
      <c r="AY466" s="181"/>
      <c r="AZ466" s="181"/>
      <c r="BA466" s="181"/>
      <c r="BB466" s="32"/>
      <c r="BC466" s="32"/>
      <c r="BD466" s="32"/>
      <c r="BE466" s="32"/>
      <c r="BF466" s="32"/>
      <c r="BG466" s="32"/>
      <c r="BH466" s="32"/>
      <c r="BI466" s="32"/>
      <c r="BJ466" s="32"/>
      <c r="BK466" s="32"/>
      <c r="BL466" s="32"/>
      <c r="BM466" s="32"/>
      <c r="BN466" s="32"/>
      <c r="BO466" s="32"/>
      <c r="BP466" s="32"/>
      <c r="BQ466" s="32"/>
      <c r="BR466" s="32"/>
      <c r="BS466" s="32"/>
      <c r="BT466" s="32"/>
      <c r="BU466" s="32"/>
      <c r="BV466" s="32"/>
      <c r="BW466" s="32"/>
      <c r="BX466" s="32"/>
      <c r="BY466" s="32"/>
      <c r="BZ466" s="32"/>
      <c r="CA466" s="32"/>
      <c r="CB466" s="32"/>
      <c r="CC466" s="32"/>
      <c r="CD466" s="32"/>
    </row>
    <row r="467" spans="1:8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181"/>
      <c r="S467" s="181"/>
      <c r="T467" s="181"/>
      <c r="U467" s="181"/>
      <c r="V467" s="181"/>
      <c r="W467" s="181"/>
      <c r="X467" s="181"/>
      <c r="Y467" s="181"/>
      <c r="Z467" s="181"/>
      <c r="AA467" s="181"/>
      <c r="AB467" s="181"/>
      <c r="AC467" s="181"/>
      <c r="AD467" s="181"/>
      <c r="AE467" s="181"/>
      <c r="AF467" s="181"/>
      <c r="AG467" s="181"/>
      <c r="AH467" s="181"/>
      <c r="AI467" s="181"/>
      <c r="AJ467" s="181"/>
      <c r="AK467" s="181"/>
      <c r="AL467" s="181"/>
      <c r="AM467" s="181"/>
      <c r="AN467" s="181"/>
      <c r="AO467" s="181"/>
      <c r="AP467" s="181"/>
      <c r="AQ467" s="181"/>
      <c r="AR467" s="181"/>
      <c r="AS467" s="181"/>
      <c r="AT467" s="181"/>
      <c r="AU467" s="181"/>
      <c r="AV467" s="181"/>
      <c r="AW467" s="181"/>
      <c r="AX467" s="181"/>
      <c r="AY467" s="181"/>
      <c r="AZ467" s="181"/>
      <c r="BA467" s="181"/>
      <c r="BB467" s="32"/>
      <c r="BC467" s="32"/>
      <c r="BD467" s="32"/>
      <c r="BE467" s="32"/>
      <c r="BF467" s="32"/>
      <c r="BG467" s="32"/>
      <c r="BH467" s="32"/>
      <c r="BI467" s="32"/>
      <c r="BJ467" s="32"/>
      <c r="BK467" s="32"/>
      <c r="BL467" s="32"/>
      <c r="BM467" s="32"/>
      <c r="BN467" s="32"/>
      <c r="BO467" s="32"/>
      <c r="BP467" s="32"/>
      <c r="BQ467" s="32"/>
      <c r="BR467" s="32"/>
      <c r="BS467" s="32"/>
      <c r="BT467" s="32"/>
      <c r="BU467" s="32"/>
      <c r="BV467" s="32"/>
      <c r="BW467" s="32"/>
      <c r="BX467" s="32"/>
      <c r="BY467" s="32"/>
      <c r="BZ467" s="32"/>
      <c r="CA467" s="32"/>
      <c r="CB467" s="32"/>
      <c r="CC467" s="32"/>
      <c r="CD467" s="32"/>
    </row>
    <row r="468" spans="1:8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181"/>
      <c r="S468" s="181"/>
      <c r="T468" s="181"/>
      <c r="U468" s="181"/>
      <c r="V468" s="181"/>
      <c r="W468" s="181"/>
      <c r="X468" s="181"/>
      <c r="Y468" s="181"/>
      <c r="Z468" s="181"/>
      <c r="AA468" s="181"/>
      <c r="AB468" s="181"/>
      <c r="AC468" s="181"/>
      <c r="AD468" s="181"/>
      <c r="AE468" s="181"/>
      <c r="AF468" s="181"/>
      <c r="AG468" s="181"/>
      <c r="AH468" s="181"/>
      <c r="AI468" s="181"/>
      <c r="AJ468" s="181"/>
      <c r="AK468" s="181"/>
      <c r="AL468" s="181"/>
      <c r="AM468" s="181"/>
      <c r="AN468" s="181"/>
      <c r="AO468" s="181"/>
      <c r="AP468" s="181"/>
      <c r="AQ468" s="181"/>
      <c r="AR468" s="181"/>
      <c r="AS468" s="181"/>
      <c r="AT468" s="181"/>
      <c r="AU468" s="181"/>
      <c r="AV468" s="181"/>
      <c r="AW468" s="181"/>
      <c r="AX468" s="181"/>
      <c r="AY468" s="181"/>
      <c r="AZ468" s="181"/>
      <c r="BA468" s="181"/>
      <c r="BB468" s="32"/>
      <c r="BC468" s="32"/>
      <c r="BD468" s="32"/>
      <c r="BE468" s="32"/>
      <c r="BF468" s="32"/>
      <c r="BG468" s="32"/>
      <c r="BH468" s="32"/>
      <c r="BI468" s="32"/>
      <c r="BJ468" s="32"/>
      <c r="BK468" s="32"/>
      <c r="BL468" s="32"/>
      <c r="BM468" s="32"/>
      <c r="BN468" s="32"/>
      <c r="BO468" s="32"/>
      <c r="BP468" s="32"/>
      <c r="BQ468" s="32"/>
      <c r="BR468" s="32"/>
      <c r="BS468" s="32"/>
      <c r="BT468" s="32"/>
      <c r="BU468" s="32"/>
      <c r="BV468" s="32"/>
      <c r="BW468" s="32"/>
      <c r="BX468" s="32"/>
      <c r="BY468" s="32"/>
      <c r="BZ468" s="32"/>
      <c r="CA468" s="32"/>
      <c r="CB468" s="32"/>
      <c r="CC468" s="32"/>
      <c r="CD468" s="32"/>
    </row>
    <row r="469" spans="1:8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181"/>
      <c r="S469" s="181"/>
      <c r="T469" s="181"/>
      <c r="U469" s="181"/>
      <c r="V469" s="181"/>
      <c r="W469" s="181"/>
      <c r="X469" s="181"/>
      <c r="Y469" s="181"/>
      <c r="Z469" s="181"/>
      <c r="AA469" s="181"/>
      <c r="AB469" s="181"/>
      <c r="AC469" s="181"/>
      <c r="AD469" s="181"/>
      <c r="AE469" s="181"/>
      <c r="AF469" s="181"/>
      <c r="AG469" s="181"/>
      <c r="AH469" s="181"/>
      <c r="AI469" s="181"/>
      <c r="AJ469" s="181"/>
      <c r="AK469" s="181"/>
      <c r="AL469" s="181"/>
      <c r="AM469" s="181"/>
      <c r="AN469" s="181"/>
      <c r="AO469" s="181"/>
      <c r="AP469" s="181"/>
      <c r="AQ469" s="181"/>
      <c r="AR469" s="181"/>
      <c r="AS469" s="181"/>
      <c r="AT469" s="181"/>
      <c r="AU469" s="181"/>
      <c r="AV469" s="181"/>
      <c r="AW469" s="181"/>
      <c r="AX469" s="181"/>
      <c r="AY469" s="181"/>
      <c r="AZ469" s="181"/>
      <c r="BA469" s="181"/>
      <c r="BB469" s="32"/>
      <c r="BC469" s="32"/>
      <c r="BD469" s="32"/>
      <c r="BE469" s="32"/>
      <c r="BF469" s="32"/>
      <c r="BG469" s="32"/>
      <c r="BH469" s="32"/>
      <c r="BI469" s="32"/>
      <c r="BJ469" s="32"/>
      <c r="BK469" s="32"/>
      <c r="BL469" s="32"/>
      <c r="BM469" s="32"/>
      <c r="BN469" s="32"/>
      <c r="BO469" s="32"/>
      <c r="BP469" s="32"/>
      <c r="BQ469" s="32"/>
      <c r="BR469" s="32"/>
      <c r="BS469" s="32"/>
      <c r="BT469" s="32"/>
      <c r="BU469" s="32"/>
      <c r="BV469" s="32"/>
      <c r="BW469" s="32"/>
      <c r="BX469" s="32"/>
      <c r="BY469" s="32"/>
      <c r="BZ469" s="32"/>
      <c r="CA469" s="32"/>
      <c r="CB469" s="32"/>
      <c r="CC469" s="32"/>
      <c r="CD469" s="32"/>
    </row>
    <row r="470" spans="1:8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181"/>
      <c r="S470" s="181"/>
      <c r="T470" s="181"/>
      <c r="U470" s="181"/>
      <c r="V470" s="181"/>
      <c r="W470" s="181"/>
      <c r="X470" s="181"/>
      <c r="Y470" s="181"/>
      <c r="Z470" s="181"/>
      <c r="AA470" s="181"/>
      <c r="AB470" s="181"/>
      <c r="AC470" s="181"/>
      <c r="AD470" s="181"/>
      <c r="AE470" s="181"/>
      <c r="AF470" s="181"/>
      <c r="AG470" s="181"/>
      <c r="AH470" s="181"/>
      <c r="AI470" s="181"/>
      <c r="AJ470" s="181"/>
      <c r="AK470" s="181"/>
      <c r="AL470" s="181"/>
      <c r="AM470" s="181"/>
      <c r="AN470" s="181"/>
      <c r="AO470" s="181"/>
      <c r="AP470" s="181"/>
      <c r="AQ470" s="181"/>
      <c r="AR470" s="181"/>
      <c r="AS470" s="181"/>
      <c r="AT470" s="181"/>
      <c r="AU470" s="181"/>
      <c r="AV470" s="181"/>
      <c r="AW470" s="181"/>
      <c r="AX470" s="181"/>
      <c r="AY470" s="181"/>
      <c r="AZ470" s="181"/>
      <c r="BA470" s="181"/>
      <c r="BB470" s="32"/>
      <c r="BC470" s="32"/>
      <c r="BD470" s="32"/>
      <c r="BE470" s="32"/>
      <c r="BF470" s="32"/>
      <c r="BG470" s="32"/>
      <c r="BH470" s="32"/>
      <c r="BI470" s="32"/>
      <c r="BJ470" s="32"/>
      <c r="BK470" s="32"/>
      <c r="BL470" s="32"/>
      <c r="BM470" s="32"/>
      <c r="BN470" s="32"/>
      <c r="BO470" s="32"/>
      <c r="BP470" s="32"/>
      <c r="BQ470" s="32"/>
      <c r="BR470" s="32"/>
      <c r="BS470" s="32"/>
      <c r="BT470" s="32"/>
      <c r="BU470" s="32"/>
      <c r="BV470" s="32"/>
      <c r="BW470" s="32"/>
      <c r="BX470" s="32"/>
      <c r="BY470" s="32"/>
      <c r="BZ470" s="32"/>
      <c r="CA470" s="32"/>
      <c r="CB470" s="32"/>
      <c r="CC470" s="32"/>
      <c r="CD470" s="32"/>
    </row>
    <row r="471" spans="1:8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181"/>
      <c r="S471" s="181"/>
      <c r="T471" s="181"/>
      <c r="U471" s="181"/>
      <c r="V471" s="181"/>
      <c r="W471" s="181"/>
      <c r="X471" s="181"/>
      <c r="Y471" s="181"/>
      <c r="Z471" s="181"/>
      <c r="AA471" s="181"/>
      <c r="AB471" s="181"/>
      <c r="AC471" s="181"/>
      <c r="AD471" s="181"/>
      <c r="AE471" s="181"/>
      <c r="AF471" s="181"/>
      <c r="AG471" s="181"/>
      <c r="AH471" s="181"/>
      <c r="AI471" s="181"/>
      <c r="AJ471" s="181"/>
      <c r="AK471" s="181"/>
      <c r="AL471" s="181"/>
      <c r="AM471" s="181"/>
      <c r="AN471" s="181"/>
      <c r="AO471" s="181"/>
      <c r="AP471" s="181"/>
      <c r="AQ471" s="181"/>
      <c r="AR471" s="181"/>
      <c r="AS471" s="181"/>
      <c r="AT471" s="181"/>
      <c r="AU471" s="181"/>
      <c r="AV471" s="181"/>
      <c r="AW471" s="181"/>
      <c r="AX471" s="181"/>
      <c r="AY471" s="181"/>
      <c r="AZ471" s="181"/>
      <c r="BA471" s="181"/>
      <c r="BB471" s="32"/>
      <c r="BC471" s="32"/>
      <c r="BD471" s="32"/>
      <c r="BE471" s="32"/>
      <c r="BF471" s="32"/>
      <c r="BG471" s="32"/>
      <c r="BH471" s="32"/>
      <c r="BI471" s="32"/>
      <c r="BJ471" s="32"/>
      <c r="BK471" s="32"/>
      <c r="BL471" s="32"/>
      <c r="BM471" s="32"/>
      <c r="BN471" s="32"/>
      <c r="BO471" s="32"/>
      <c r="BP471" s="32"/>
      <c r="BQ471" s="32"/>
      <c r="BR471" s="32"/>
      <c r="BS471" s="32"/>
      <c r="BT471" s="32"/>
      <c r="BU471" s="32"/>
      <c r="BV471" s="32"/>
      <c r="BW471" s="32"/>
      <c r="BX471" s="32"/>
      <c r="BY471" s="32"/>
      <c r="BZ471" s="32"/>
      <c r="CA471" s="32"/>
      <c r="CB471" s="32"/>
      <c r="CC471" s="32"/>
      <c r="CD471" s="32"/>
    </row>
    <row r="472" spans="1:8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181"/>
      <c r="S472" s="181"/>
      <c r="T472" s="181"/>
      <c r="U472" s="181"/>
      <c r="V472" s="181"/>
      <c r="W472" s="181"/>
      <c r="X472" s="181"/>
      <c r="Y472" s="181"/>
      <c r="Z472" s="181"/>
      <c r="AA472" s="181"/>
      <c r="AB472" s="181"/>
      <c r="AC472" s="181"/>
      <c r="AD472" s="181"/>
      <c r="AE472" s="181"/>
      <c r="AF472" s="181"/>
      <c r="AG472" s="181"/>
      <c r="AH472" s="181"/>
      <c r="AI472" s="181"/>
      <c r="AJ472" s="181"/>
      <c r="AK472" s="181"/>
      <c r="AL472" s="181"/>
      <c r="AM472" s="181"/>
      <c r="AN472" s="181"/>
      <c r="AO472" s="181"/>
      <c r="AP472" s="181"/>
      <c r="AQ472" s="181"/>
      <c r="AR472" s="181"/>
      <c r="AS472" s="181"/>
      <c r="AT472" s="181"/>
      <c r="AU472" s="181"/>
      <c r="AV472" s="181"/>
      <c r="AW472" s="181"/>
      <c r="AX472" s="181"/>
      <c r="AY472" s="181"/>
      <c r="AZ472" s="181"/>
      <c r="BA472" s="181"/>
      <c r="BB472" s="32"/>
      <c r="BC472" s="32"/>
      <c r="BD472" s="32"/>
      <c r="BE472" s="32"/>
      <c r="BF472" s="32"/>
      <c r="BG472" s="32"/>
      <c r="BH472" s="32"/>
      <c r="BI472" s="32"/>
      <c r="BJ472" s="32"/>
      <c r="BK472" s="32"/>
      <c r="BL472" s="32"/>
      <c r="BM472" s="32"/>
      <c r="BN472" s="32"/>
      <c r="BO472" s="32"/>
      <c r="BP472" s="32"/>
      <c r="BQ472" s="32"/>
      <c r="BR472" s="32"/>
      <c r="BS472" s="32"/>
      <c r="BT472" s="32"/>
      <c r="BU472" s="32"/>
      <c r="BV472" s="32"/>
      <c r="BW472" s="32"/>
      <c r="BX472" s="32"/>
      <c r="BY472" s="32"/>
      <c r="BZ472" s="32"/>
      <c r="CA472" s="32"/>
      <c r="CB472" s="32"/>
      <c r="CC472" s="32"/>
      <c r="CD472" s="32"/>
    </row>
    <row r="473" spans="1:8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181"/>
      <c r="S473" s="181"/>
      <c r="T473" s="181"/>
      <c r="U473" s="181"/>
      <c r="V473" s="181"/>
      <c r="W473" s="181"/>
      <c r="X473" s="181"/>
      <c r="Y473" s="181"/>
      <c r="Z473" s="181"/>
      <c r="AA473" s="181"/>
      <c r="AB473" s="181"/>
      <c r="AC473" s="181"/>
      <c r="AD473" s="181"/>
      <c r="AE473" s="181"/>
      <c r="AF473" s="181"/>
      <c r="AG473" s="181"/>
      <c r="AH473" s="181"/>
      <c r="AI473" s="181"/>
      <c r="AJ473" s="181"/>
      <c r="AK473" s="181"/>
      <c r="AL473" s="181"/>
      <c r="AM473" s="181"/>
      <c r="AN473" s="181"/>
      <c r="AO473" s="181"/>
      <c r="AP473" s="181"/>
      <c r="AQ473" s="181"/>
      <c r="AR473" s="181"/>
      <c r="AS473" s="181"/>
      <c r="AT473" s="181"/>
      <c r="AU473" s="181"/>
      <c r="AV473" s="181"/>
      <c r="AW473" s="181"/>
      <c r="AX473" s="181"/>
      <c r="AY473" s="181"/>
      <c r="AZ473" s="181"/>
      <c r="BA473" s="181"/>
      <c r="BB473" s="32"/>
      <c r="BC473" s="32"/>
      <c r="BD473" s="32"/>
      <c r="BE473" s="32"/>
      <c r="BF473" s="32"/>
      <c r="BG473" s="32"/>
      <c r="BH473" s="32"/>
      <c r="BI473" s="32"/>
      <c r="BJ473" s="32"/>
      <c r="BK473" s="32"/>
      <c r="BL473" s="32"/>
      <c r="BM473" s="32"/>
      <c r="BN473" s="32"/>
      <c r="BO473" s="32"/>
      <c r="BP473" s="32"/>
      <c r="BQ473" s="32"/>
      <c r="BR473" s="32"/>
      <c r="BS473" s="32"/>
      <c r="BT473" s="32"/>
      <c r="BU473" s="32"/>
      <c r="BV473" s="32"/>
      <c r="BW473" s="32"/>
      <c r="BX473" s="32"/>
      <c r="BY473" s="32"/>
      <c r="BZ473" s="32"/>
      <c r="CA473" s="32"/>
      <c r="CB473" s="32"/>
      <c r="CC473" s="32"/>
      <c r="CD473" s="32"/>
    </row>
    <row r="474" spans="1:8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181"/>
      <c r="S474" s="181"/>
      <c r="T474" s="181"/>
      <c r="U474" s="181"/>
      <c r="V474" s="181"/>
      <c r="W474" s="181"/>
      <c r="X474" s="181"/>
      <c r="Y474" s="181"/>
      <c r="Z474" s="181"/>
      <c r="AA474" s="181"/>
      <c r="AB474" s="181"/>
      <c r="AC474" s="181"/>
      <c r="AD474" s="181"/>
      <c r="AE474" s="181"/>
      <c r="AF474" s="181"/>
      <c r="AG474" s="181"/>
      <c r="AH474" s="181"/>
      <c r="AI474" s="181"/>
      <c r="AJ474" s="181"/>
      <c r="AK474" s="181"/>
      <c r="AL474" s="181"/>
      <c r="AM474" s="181"/>
      <c r="AN474" s="181"/>
      <c r="AO474" s="181"/>
      <c r="AP474" s="181"/>
      <c r="AQ474" s="181"/>
      <c r="AR474" s="181"/>
      <c r="AS474" s="181"/>
      <c r="AT474" s="181"/>
      <c r="AU474" s="181"/>
      <c r="AV474" s="181"/>
      <c r="AW474" s="181"/>
      <c r="AX474" s="181"/>
      <c r="AY474" s="181"/>
      <c r="AZ474" s="181"/>
      <c r="BA474" s="181"/>
      <c r="BB474" s="32"/>
      <c r="BC474" s="32"/>
      <c r="BD474" s="32"/>
      <c r="BE474" s="32"/>
      <c r="BF474" s="32"/>
      <c r="BG474" s="32"/>
      <c r="BH474" s="32"/>
      <c r="BI474" s="32"/>
      <c r="BJ474" s="32"/>
      <c r="BK474" s="32"/>
      <c r="BL474" s="32"/>
      <c r="BM474" s="32"/>
      <c r="BN474" s="32"/>
      <c r="BO474" s="32"/>
      <c r="BP474" s="32"/>
      <c r="BQ474" s="32"/>
      <c r="BR474" s="32"/>
      <c r="BS474" s="32"/>
      <c r="BT474" s="32"/>
      <c r="BU474" s="32"/>
      <c r="BV474" s="32"/>
      <c r="BW474" s="32"/>
      <c r="BX474" s="32"/>
      <c r="BY474" s="32"/>
      <c r="BZ474" s="32"/>
      <c r="CA474" s="32"/>
      <c r="CB474" s="32"/>
      <c r="CC474" s="32"/>
      <c r="CD474" s="32"/>
    </row>
    <row r="475" spans="1:8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181"/>
      <c r="S475" s="181"/>
      <c r="T475" s="181"/>
      <c r="U475" s="181"/>
      <c r="V475" s="181"/>
      <c r="W475" s="181"/>
      <c r="X475" s="181"/>
      <c r="Y475" s="181"/>
      <c r="Z475" s="181"/>
      <c r="AA475" s="181"/>
      <c r="AB475" s="181"/>
      <c r="AC475" s="181"/>
      <c r="AD475" s="181"/>
      <c r="AE475" s="181"/>
      <c r="AF475" s="181"/>
      <c r="AG475" s="181"/>
      <c r="AH475" s="181"/>
      <c r="AI475" s="181"/>
      <c r="AJ475" s="181"/>
      <c r="AK475" s="181"/>
      <c r="AL475" s="181"/>
      <c r="AM475" s="181"/>
      <c r="AN475" s="181"/>
      <c r="AO475" s="181"/>
      <c r="AP475" s="181"/>
      <c r="AQ475" s="181"/>
      <c r="AR475" s="181"/>
      <c r="AS475" s="181"/>
      <c r="AT475" s="181"/>
      <c r="AU475" s="181"/>
      <c r="AV475" s="181"/>
      <c r="AW475" s="181"/>
      <c r="AX475" s="181"/>
      <c r="AY475" s="181"/>
      <c r="AZ475" s="181"/>
      <c r="BA475" s="181"/>
      <c r="BB475" s="32"/>
      <c r="BC475" s="32"/>
      <c r="BD475" s="32"/>
      <c r="BE475" s="32"/>
      <c r="BF475" s="32"/>
      <c r="BG475" s="32"/>
      <c r="BH475" s="32"/>
      <c r="BI475" s="32"/>
      <c r="BJ475" s="32"/>
      <c r="BK475" s="32"/>
      <c r="BL475" s="32"/>
      <c r="BM475" s="32"/>
      <c r="BN475" s="32"/>
      <c r="BO475" s="32"/>
      <c r="BP475" s="32"/>
      <c r="BQ475" s="32"/>
      <c r="BR475" s="32"/>
      <c r="BS475" s="32"/>
      <c r="BT475" s="32"/>
      <c r="BU475" s="32"/>
      <c r="BV475" s="32"/>
      <c r="BW475" s="32"/>
      <c r="BX475" s="32"/>
      <c r="BY475" s="32"/>
      <c r="BZ475" s="32"/>
      <c r="CA475" s="32"/>
      <c r="CB475" s="32"/>
      <c r="CC475" s="32"/>
      <c r="CD475" s="32"/>
    </row>
    <row r="476" spans="1:8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181"/>
      <c r="S476" s="181"/>
      <c r="T476" s="181"/>
      <c r="U476" s="181"/>
      <c r="V476" s="181"/>
      <c r="W476" s="181"/>
      <c r="X476" s="181"/>
      <c r="Y476" s="181"/>
      <c r="Z476" s="181"/>
      <c r="AA476" s="181"/>
      <c r="AB476" s="181"/>
      <c r="AC476" s="181"/>
      <c r="AD476" s="181"/>
      <c r="AE476" s="181"/>
      <c r="AF476" s="181"/>
      <c r="AG476" s="181"/>
      <c r="AH476" s="181"/>
      <c r="AI476" s="181"/>
      <c r="AJ476" s="181"/>
      <c r="AK476" s="181"/>
      <c r="AL476" s="181"/>
      <c r="AM476" s="181"/>
      <c r="AN476" s="181"/>
      <c r="AO476" s="181"/>
      <c r="AP476" s="181"/>
      <c r="AQ476" s="181"/>
      <c r="AR476" s="181"/>
      <c r="AS476" s="181"/>
      <c r="AT476" s="181"/>
      <c r="AU476" s="181"/>
      <c r="AV476" s="181"/>
      <c r="AW476" s="181"/>
      <c r="AX476" s="181"/>
      <c r="AY476" s="181"/>
      <c r="AZ476" s="181"/>
      <c r="BA476" s="181"/>
      <c r="BB476" s="32"/>
      <c r="BC476" s="32"/>
      <c r="BD476" s="32"/>
      <c r="BE476" s="32"/>
      <c r="BF476" s="32"/>
      <c r="BG476" s="32"/>
      <c r="BH476" s="32"/>
      <c r="BI476" s="32"/>
      <c r="BJ476" s="32"/>
      <c r="BK476" s="32"/>
      <c r="BL476" s="32"/>
      <c r="BM476" s="32"/>
      <c r="BN476" s="32"/>
      <c r="BO476" s="32"/>
      <c r="BP476" s="32"/>
      <c r="BQ476" s="32"/>
      <c r="BR476" s="32"/>
      <c r="BS476" s="32"/>
      <c r="BT476" s="32"/>
      <c r="BU476" s="32"/>
      <c r="BV476" s="32"/>
      <c r="BW476" s="32"/>
      <c r="BX476" s="32"/>
      <c r="BY476" s="32"/>
      <c r="BZ476" s="32"/>
      <c r="CA476" s="32"/>
      <c r="CB476" s="32"/>
      <c r="CC476" s="32"/>
      <c r="CD476" s="32"/>
    </row>
    <row r="477" spans="1:8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181"/>
      <c r="S477" s="181"/>
      <c r="T477" s="181"/>
      <c r="U477" s="181"/>
      <c r="V477" s="181"/>
      <c r="W477" s="181"/>
      <c r="X477" s="181"/>
      <c r="Y477" s="181"/>
      <c r="Z477" s="181"/>
      <c r="AA477" s="181"/>
      <c r="AB477" s="181"/>
      <c r="AC477" s="181"/>
      <c r="AD477" s="181"/>
      <c r="AE477" s="181"/>
      <c r="AF477" s="181"/>
      <c r="AG477" s="181"/>
      <c r="AH477" s="181"/>
      <c r="AI477" s="181"/>
      <c r="AJ477" s="181"/>
      <c r="AK477" s="181"/>
      <c r="AL477" s="181"/>
      <c r="AM477" s="181"/>
      <c r="AN477" s="181"/>
      <c r="AO477" s="181"/>
      <c r="AP477" s="181"/>
      <c r="AQ477" s="181"/>
      <c r="AR477" s="181"/>
      <c r="AS477" s="181"/>
      <c r="AT477" s="181"/>
      <c r="AU477" s="181"/>
      <c r="AV477" s="181"/>
      <c r="AW477" s="181"/>
      <c r="AX477" s="181"/>
      <c r="AY477" s="181"/>
      <c r="AZ477" s="181"/>
      <c r="BA477" s="181"/>
      <c r="BB477" s="32"/>
      <c r="BC477" s="32"/>
      <c r="BD477" s="32"/>
      <c r="BE477" s="32"/>
      <c r="BF477" s="32"/>
      <c r="BG477" s="32"/>
      <c r="BH477" s="32"/>
      <c r="BI477" s="32"/>
      <c r="BJ477" s="32"/>
      <c r="BK477" s="32"/>
      <c r="BL477" s="32"/>
      <c r="BM477" s="32"/>
      <c r="BN477" s="32"/>
      <c r="BO477" s="32"/>
      <c r="BP477" s="32"/>
      <c r="BQ477" s="32"/>
      <c r="BR477" s="32"/>
      <c r="BS477" s="32"/>
      <c r="BT477" s="32"/>
      <c r="BU477" s="32"/>
      <c r="BV477" s="32"/>
      <c r="BW477" s="32"/>
      <c r="BX477" s="32"/>
      <c r="BY477" s="32"/>
      <c r="BZ477" s="32"/>
      <c r="CA477" s="32"/>
      <c r="CB477" s="32"/>
      <c r="CC477" s="32"/>
      <c r="CD477" s="32"/>
    </row>
    <row r="478" spans="1:8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181"/>
      <c r="S478" s="181"/>
      <c r="T478" s="181"/>
      <c r="U478" s="181"/>
      <c r="V478" s="181"/>
      <c r="W478" s="181"/>
      <c r="X478" s="181"/>
      <c r="Y478" s="181"/>
      <c r="Z478" s="181"/>
      <c r="AA478" s="181"/>
      <c r="AB478" s="181"/>
      <c r="AC478" s="181"/>
      <c r="AD478" s="181"/>
      <c r="AE478" s="181"/>
      <c r="AF478" s="181"/>
      <c r="AG478" s="181"/>
      <c r="AH478" s="181"/>
      <c r="AI478" s="181"/>
      <c r="AJ478" s="181"/>
      <c r="AK478" s="181"/>
      <c r="AL478" s="181"/>
      <c r="AM478" s="181"/>
      <c r="AN478" s="181"/>
      <c r="AO478" s="181"/>
      <c r="AP478" s="181"/>
      <c r="AQ478" s="181"/>
      <c r="AR478" s="181"/>
      <c r="AS478" s="181"/>
      <c r="AT478" s="181"/>
      <c r="AU478" s="181"/>
      <c r="AV478" s="181"/>
      <c r="AW478" s="181"/>
      <c r="AX478" s="181"/>
      <c r="AY478" s="181"/>
      <c r="AZ478" s="181"/>
      <c r="BA478" s="181"/>
      <c r="BB478" s="32"/>
      <c r="BC478" s="32"/>
      <c r="BD478" s="32"/>
      <c r="BE478" s="32"/>
      <c r="BF478" s="32"/>
      <c r="BG478" s="32"/>
      <c r="BH478" s="32"/>
      <c r="BI478" s="32"/>
      <c r="BJ478" s="32"/>
      <c r="BK478" s="32"/>
      <c r="BL478" s="32"/>
      <c r="BM478" s="32"/>
      <c r="BN478" s="32"/>
      <c r="BO478" s="32"/>
      <c r="BP478" s="32"/>
      <c r="BQ478" s="32"/>
      <c r="BR478" s="32"/>
      <c r="BS478" s="32"/>
      <c r="BT478" s="32"/>
      <c r="BU478" s="32"/>
      <c r="BV478" s="32"/>
      <c r="BW478" s="32"/>
      <c r="BX478" s="32"/>
      <c r="BY478" s="32"/>
      <c r="BZ478" s="32"/>
      <c r="CA478" s="32"/>
      <c r="CB478" s="32"/>
      <c r="CC478" s="32"/>
      <c r="CD478" s="32"/>
    </row>
    <row r="479" spans="1:8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181"/>
      <c r="S479" s="181"/>
      <c r="T479" s="181"/>
      <c r="U479" s="181"/>
      <c r="V479" s="181"/>
      <c r="W479" s="181"/>
      <c r="X479" s="181"/>
      <c r="Y479" s="181"/>
      <c r="Z479" s="181"/>
      <c r="AA479" s="181"/>
      <c r="AB479" s="181"/>
      <c r="AC479" s="181"/>
      <c r="AD479" s="181"/>
      <c r="AE479" s="181"/>
      <c r="AF479" s="181"/>
      <c r="AG479" s="181"/>
      <c r="AH479" s="181"/>
      <c r="AI479" s="181"/>
      <c r="AJ479" s="181"/>
      <c r="AK479" s="181"/>
      <c r="AL479" s="181"/>
      <c r="AM479" s="181"/>
      <c r="AN479" s="181"/>
      <c r="AO479" s="181"/>
      <c r="AP479" s="181"/>
      <c r="AQ479" s="181"/>
      <c r="AR479" s="181"/>
      <c r="AS479" s="181"/>
      <c r="AT479" s="181"/>
      <c r="AU479" s="181"/>
      <c r="AV479" s="181"/>
      <c r="AW479" s="181"/>
      <c r="AX479" s="181"/>
      <c r="AY479" s="181"/>
      <c r="AZ479" s="181"/>
      <c r="BA479" s="181"/>
      <c r="BB479" s="32"/>
      <c r="BC479" s="32"/>
      <c r="BD479" s="32"/>
      <c r="BE479" s="32"/>
      <c r="BF479" s="32"/>
      <c r="BG479" s="32"/>
      <c r="BH479" s="32"/>
      <c r="BI479" s="32"/>
      <c r="BJ479" s="32"/>
      <c r="BK479" s="32"/>
      <c r="BL479" s="32"/>
      <c r="BM479" s="32"/>
      <c r="BN479" s="32"/>
      <c r="BO479" s="32"/>
      <c r="BP479" s="32"/>
      <c r="BQ479" s="32"/>
      <c r="BR479" s="32"/>
      <c r="BS479" s="32"/>
      <c r="BT479" s="32"/>
      <c r="BU479" s="32"/>
      <c r="BV479" s="32"/>
      <c r="BW479" s="32"/>
      <c r="BX479" s="32"/>
      <c r="BY479" s="32"/>
      <c r="BZ479" s="32"/>
      <c r="CA479" s="32"/>
      <c r="CB479" s="32"/>
      <c r="CC479" s="32"/>
      <c r="CD479" s="32"/>
    </row>
    <row r="480" spans="1:8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181"/>
      <c r="S480" s="181"/>
      <c r="T480" s="181"/>
      <c r="U480" s="181"/>
      <c r="V480" s="181"/>
      <c r="W480" s="181"/>
      <c r="X480" s="181"/>
      <c r="Y480" s="181"/>
      <c r="Z480" s="181"/>
      <c r="AA480" s="181"/>
      <c r="AB480" s="181"/>
      <c r="AC480" s="181"/>
      <c r="AD480" s="181"/>
      <c r="AE480" s="181"/>
      <c r="AF480" s="181"/>
      <c r="AG480" s="181"/>
      <c r="AH480" s="181"/>
      <c r="AI480" s="181"/>
      <c r="AJ480" s="181"/>
      <c r="AK480" s="181"/>
      <c r="AL480" s="181"/>
      <c r="AM480" s="181"/>
      <c r="AN480" s="181"/>
      <c r="AO480" s="181"/>
      <c r="AP480" s="181"/>
      <c r="AQ480" s="181"/>
      <c r="AR480" s="181"/>
      <c r="AS480" s="181"/>
      <c r="AT480" s="181"/>
      <c r="AU480" s="181"/>
      <c r="AV480" s="181"/>
      <c r="AW480" s="181"/>
      <c r="AX480" s="181"/>
      <c r="AY480" s="181"/>
      <c r="AZ480" s="181"/>
      <c r="BA480" s="181"/>
      <c r="BB480" s="32"/>
      <c r="BC480" s="32"/>
      <c r="BD480" s="32"/>
      <c r="BE480" s="32"/>
      <c r="BF480" s="32"/>
      <c r="BG480" s="32"/>
      <c r="BH480" s="32"/>
      <c r="BI480" s="32"/>
      <c r="BJ480" s="32"/>
      <c r="BK480" s="32"/>
      <c r="BL480" s="32"/>
      <c r="BM480" s="32"/>
      <c r="BN480" s="32"/>
      <c r="BO480" s="32"/>
      <c r="BP480" s="32"/>
      <c r="BQ480" s="32"/>
      <c r="BR480" s="32"/>
      <c r="BS480" s="32"/>
      <c r="BT480" s="32"/>
      <c r="BU480" s="32"/>
      <c r="BV480" s="32"/>
      <c r="BW480" s="32"/>
      <c r="BX480" s="32"/>
      <c r="BY480" s="32"/>
      <c r="BZ480" s="32"/>
      <c r="CA480" s="32"/>
      <c r="CB480" s="32"/>
      <c r="CC480" s="32"/>
      <c r="CD480" s="32"/>
    </row>
    <row r="481" spans="1:8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181"/>
      <c r="S481" s="181"/>
      <c r="T481" s="181"/>
      <c r="U481" s="181"/>
      <c r="V481" s="181"/>
      <c r="W481" s="181"/>
      <c r="X481" s="181"/>
      <c r="Y481" s="181"/>
      <c r="Z481" s="181"/>
      <c r="AA481" s="181"/>
      <c r="AB481" s="181"/>
      <c r="AC481" s="181"/>
      <c r="AD481" s="181"/>
      <c r="AE481" s="181"/>
      <c r="AF481" s="181"/>
      <c r="AG481" s="181"/>
      <c r="AH481" s="181"/>
      <c r="AI481" s="181"/>
      <c r="AJ481" s="181"/>
      <c r="AK481" s="181"/>
      <c r="AL481" s="181"/>
      <c r="AM481" s="181"/>
      <c r="AN481" s="181"/>
      <c r="AO481" s="181"/>
      <c r="AP481" s="181"/>
      <c r="AQ481" s="181"/>
      <c r="AR481" s="181"/>
      <c r="AS481" s="181"/>
      <c r="AT481" s="181"/>
      <c r="AU481" s="181"/>
      <c r="AV481" s="181"/>
      <c r="AW481" s="181"/>
      <c r="AX481" s="181"/>
      <c r="AY481" s="181"/>
      <c r="AZ481" s="181"/>
      <c r="BA481" s="181"/>
      <c r="BB481" s="32"/>
      <c r="BC481" s="32"/>
      <c r="BD481" s="32"/>
      <c r="BE481" s="32"/>
      <c r="BF481" s="32"/>
      <c r="BG481" s="32"/>
      <c r="BH481" s="32"/>
      <c r="BI481" s="32"/>
      <c r="BJ481" s="32"/>
      <c r="BK481" s="32"/>
      <c r="BL481" s="32"/>
      <c r="BM481" s="32"/>
      <c r="BN481" s="32"/>
      <c r="BO481" s="32"/>
      <c r="BP481" s="32"/>
      <c r="BQ481" s="32"/>
      <c r="BR481" s="32"/>
      <c r="BS481" s="32"/>
      <c r="BT481" s="32"/>
      <c r="BU481" s="32"/>
      <c r="BV481" s="32"/>
      <c r="BW481" s="32"/>
      <c r="BX481" s="32"/>
      <c r="BY481" s="32"/>
      <c r="BZ481" s="32"/>
      <c r="CA481" s="32"/>
      <c r="CB481" s="32"/>
      <c r="CC481" s="32"/>
      <c r="CD481" s="32"/>
    </row>
    <row r="482" spans="1: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181"/>
      <c r="S482" s="181"/>
      <c r="T482" s="181"/>
      <c r="U482" s="181"/>
      <c r="V482" s="181"/>
      <c r="W482" s="181"/>
      <c r="X482" s="181"/>
      <c r="Y482" s="181"/>
      <c r="Z482" s="181"/>
      <c r="AA482" s="181"/>
      <c r="AB482" s="181"/>
      <c r="AC482" s="181"/>
      <c r="AD482" s="181"/>
      <c r="AE482" s="181"/>
      <c r="AF482" s="181"/>
      <c r="AG482" s="181"/>
      <c r="AH482" s="181"/>
      <c r="AI482" s="181"/>
      <c r="AJ482" s="181"/>
      <c r="AK482" s="181"/>
      <c r="AL482" s="181"/>
      <c r="AM482" s="181"/>
      <c r="AN482" s="181"/>
      <c r="AO482" s="181"/>
      <c r="AP482" s="181"/>
      <c r="AQ482" s="181"/>
      <c r="AR482" s="181"/>
      <c r="AS482" s="181"/>
      <c r="AT482" s="181"/>
      <c r="AU482" s="181"/>
      <c r="AV482" s="181"/>
      <c r="AW482" s="181"/>
      <c r="AX482" s="181"/>
      <c r="AY482" s="181"/>
      <c r="AZ482" s="181"/>
      <c r="BA482" s="181"/>
      <c r="BB482" s="32"/>
      <c r="BC482" s="32"/>
      <c r="BD482" s="32"/>
      <c r="BE482" s="32"/>
      <c r="BF482" s="32"/>
      <c r="BG482" s="32"/>
      <c r="BH482" s="32"/>
      <c r="BI482" s="32"/>
      <c r="BJ482" s="32"/>
      <c r="BK482" s="32"/>
      <c r="BL482" s="32"/>
      <c r="BM482" s="32"/>
      <c r="BN482" s="32"/>
      <c r="BO482" s="32"/>
      <c r="BP482" s="32"/>
      <c r="BQ482" s="32"/>
      <c r="BR482" s="32"/>
      <c r="BS482" s="32"/>
      <c r="BT482" s="32"/>
      <c r="BU482" s="32"/>
      <c r="BV482" s="32"/>
      <c r="BW482" s="32"/>
      <c r="BX482" s="32"/>
      <c r="BY482" s="32"/>
      <c r="BZ482" s="32"/>
      <c r="CA482" s="32"/>
      <c r="CB482" s="32"/>
      <c r="CC482" s="32"/>
      <c r="CD482" s="32"/>
    </row>
    <row r="483" spans="1:8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181"/>
      <c r="S483" s="181"/>
      <c r="T483" s="181"/>
      <c r="U483" s="181"/>
      <c r="V483" s="181"/>
      <c r="W483" s="181"/>
      <c r="X483" s="181"/>
      <c r="Y483" s="181"/>
      <c r="Z483" s="181"/>
      <c r="AA483" s="181"/>
      <c r="AB483" s="181"/>
      <c r="AC483" s="181"/>
      <c r="AD483" s="181"/>
      <c r="AE483" s="181"/>
      <c r="AF483" s="181"/>
      <c r="AG483" s="181"/>
      <c r="AH483" s="181"/>
      <c r="AI483" s="181"/>
      <c r="AJ483" s="181"/>
      <c r="AK483" s="181"/>
      <c r="AL483" s="181"/>
      <c r="AM483" s="181"/>
      <c r="AN483" s="181"/>
      <c r="AO483" s="181"/>
      <c r="AP483" s="181"/>
      <c r="AQ483" s="181"/>
      <c r="AR483" s="181"/>
      <c r="AS483" s="181"/>
      <c r="AT483" s="181"/>
      <c r="AU483" s="181"/>
      <c r="AV483" s="181"/>
      <c r="AW483" s="181"/>
      <c r="AX483" s="181"/>
      <c r="AY483" s="181"/>
      <c r="AZ483" s="181"/>
      <c r="BA483" s="181"/>
      <c r="BB483" s="32"/>
      <c r="BC483" s="32"/>
      <c r="BD483" s="32"/>
      <c r="BE483" s="32"/>
      <c r="BF483" s="32"/>
      <c r="BG483" s="32"/>
      <c r="BH483" s="32"/>
      <c r="BI483" s="32"/>
      <c r="BJ483" s="32"/>
      <c r="BK483" s="32"/>
      <c r="BL483" s="32"/>
      <c r="BM483" s="32"/>
      <c r="BN483" s="32"/>
      <c r="BO483" s="32"/>
      <c r="BP483" s="32"/>
      <c r="BQ483" s="32"/>
      <c r="BR483" s="32"/>
      <c r="BS483" s="32"/>
      <c r="BT483" s="32"/>
      <c r="BU483" s="32"/>
      <c r="BV483" s="32"/>
      <c r="BW483" s="32"/>
      <c r="BX483" s="32"/>
      <c r="BY483" s="32"/>
      <c r="BZ483" s="32"/>
      <c r="CA483" s="32"/>
      <c r="CB483" s="32"/>
      <c r="CC483" s="32"/>
      <c r="CD483" s="32"/>
    </row>
    <row r="484" spans="1:8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181"/>
      <c r="S484" s="181"/>
      <c r="T484" s="181"/>
      <c r="U484" s="181"/>
      <c r="V484" s="181"/>
      <c r="W484" s="181"/>
      <c r="X484" s="181"/>
      <c r="Y484" s="181"/>
      <c r="Z484" s="181"/>
      <c r="AA484" s="181"/>
      <c r="AB484" s="181"/>
      <c r="AC484" s="181"/>
      <c r="AD484" s="181"/>
      <c r="AE484" s="181"/>
      <c r="AF484" s="181"/>
      <c r="AG484" s="181"/>
      <c r="AH484" s="181"/>
      <c r="AI484" s="181"/>
      <c r="AJ484" s="181"/>
      <c r="AK484" s="181"/>
      <c r="AL484" s="181"/>
      <c r="AM484" s="181"/>
      <c r="AN484" s="181"/>
      <c r="AO484" s="181"/>
      <c r="AP484" s="181"/>
      <c r="AQ484" s="181"/>
      <c r="AR484" s="181"/>
      <c r="AS484" s="181"/>
      <c r="AT484" s="181"/>
      <c r="AU484" s="181"/>
      <c r="AV484" s="181"/>
      <c r="AW484" s="181"/>
      <c r="AX484" s="181"/>
      <c r="AY484" s="181"/>
      <c r="AZ484" s="181"/>
      <c r="BA484" s="181"/>
      <c r="BB484" s="32"/>
      <c r="BC484" s="32"/>
      <c r="BD484" s="32"/>
      <c r="BE484" s="32"/>
      <c r="BF484" s="32"/>
      <c r="BG484" s="32"/>
      <c r="BH484" s="32"/>
      <c r="BI484" s="32"/>
      <c r="BJ484" s="32"/>
      <c r="BK484" s="32"/>
      <c r="BL484" s="32"/>
      <c r="BM484" s="32"/>
      <c r="BN484" s="32"/>
      <c r="BO484" s="32"/>
      <c r="BP484" s="32"/>
      <c r="BQ484" s="32"/>
      <c r="BR484" s="32"/>
      <c r="BS484" s="32"/>
      <c r="BT484" s="32"/>
      <c r="BU484" s="32"/>
      <c r="BV484" s="32"/>
      <c r="BW484" s="32"/>
      <c r="BX484" s="32"/>
      <c r="BY484" s="32"/>
      <c r="BZ484" s="32"/>
      <c r="CA484" s="32"/>
      <c r="CB484" s="32"/>
      <c r="CC484" s="32"/>
      <c r="CD484" s="32"/>
    </row>
    <row r="485" spans="1:8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181"/>
      <c r="S485" s="181"/>
      <c r="T485" s="181"/>
      <c r="U485" s="181"/>
      <c r="V485" s="181"/>
      <c r="W485" s="181"/>
      <c r="X485" s="181"/>
      <c r="Y485" s="181"/>
      <c r="Z485" s="181"/>
      <c r="AA485" s="181"/>
      <c r="AB485" s="181"/>
      <c r="AC485" s="181"/>
      <c r="AD485" s="181"/>
      <c r="AE485" s="181"/>
      <c r="AF485" s="181"/>
      <c r="AG485" s="181"/>
      <c r="AH485" s="181"/>
      <c r="AI485" s="181"/>
      <c r="AJ485" s="181"/>
      <c r="AK485" s="181"/>
      <c r="AL485" s="181"/>
      <c r="AM485" s="181"/>
      <c r="AN485" s="181"/>
      <c r="AO485" s="181"/>
      <c r="AP485" s="181"/>
      <c r="AQ485" s="181"/>
      <c r="AR485" s="181"/>
      <c r="AS485" s="181"/>
      <c r="AT485" s="181"/>
      <c r="AU485" s="181"/>
      <c r="AV485" s="181"/>
      <c r="AW485" s="181"/>
      <c r="AX485" s="181"/>
      <c r="AY485" s="181"/>
      <c r="AZ485" s="181"/>
      <c r="BA485" s="181"/>
      <c r="BB485" s="32"/>
      <c r="BC485" s="32"/>
      <c r="BD485" s="32"/>
      <c r="BE485" s="32"/>
      <c r="BF485" s="32"/>
      <c r="BG485" s="32"/>
      <c r="BH485" s="32"/>
      <c r="BI485" s="32"/>
      <c r="BJ485" s="32"/>
      <c r="BK485" s="32"/>
      <c r="BL485" s="32"/>
      <c r="BM485" s="32"/>
      <c r="BN485" s="32"/>
      <c r="BO485" s="32"/>
      <c r="BP485" s="32"/>
      <c r="BQ485" s="32"/>
      <c r="BR485" s="32"/>
      <c r="BS485" s="32"/>
      <c r="BT485" s="32"/>
      <c r="BU485" s="32"/>
      <c r="BV485" s="32"/>
      <c r="BW485" s="32"/>
      <c r="BX485" s="32"/>
      <c r="BY485" s="32"/>
      <c r="BZ485" s="32"/>
      <c r="CA485" s="32"/>
      <c r="CB485" s="32"/>
      <c r="CC485" s="32"/>
      <c r="CD485" s="32"/>
    </row>
    <row r="486" spans="1:8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181"/>
      <c r="S486" s="181"/>
      <c r="T486" s="181"/>
      <c r="U486" s="181"/>
      <c r="V486" s="181"/>
      <c r="W486" s="181"/>
      <c r="X486" s="181"/>
      <c r="Y486" s="181"/>
      <c r="Z486" s="181"/>
      <c r="AA486" s="181"/>
      <c r="AB486" s="181"/>
      <c r="AC486" s="181"/>
      <c r="AD486" s="181"/>
      <c r="AE486" s="181"/>
      <c r="AF486" s="181"/>
      <c r="AG486" s="181"/>
      <c r="AH486" s="181"/>
      <c r="AI486" s="181"/>
      <c r="AJ486" s="181"/>
      <c r="AK486" s="181"/>
      <c r="AL486" s="181"/>
      <c r="AM486" s="181"/>
      <c r="AN486" s="181"/>
      <c r="AO486" s="181"/>
      <c r="AP486" s="181"/>
      <c r="AQ486" s="181"/>
      <c r="AR486" s="181"/>
      <c r="AS486" s="181"/>
      <c r="AT486" s="181"/>
      <c r="AU486" s="181"/>
      <c r="AV486" s="181"/>
      <c r="AW486" s="181"/>
      <c r="AX486" s="181"/>
      <c r="AY486" s="181"/>
      <c r="AZ486" s="181"/>
      <c r="BA486" s="181"/>
      <c r="BB486" s="32"/>
      <c r="BC486" s="32"/>
      <c r="BD486" s="32"/>
      <c r="BE486" s="32"/>
      <c r="BF486" s="32"/>
      <c r="BG486" s="32"/>
      <c r="BH486" s="32"/>
      <c r="BI486" s="32"/>
      <c r="BJ486" s="32"/>
      <c r="BK486" s="32"/>
      <c r="BL486" s="32"/>
      <c r="BM486" s="32"/>
      <c r="BN486" s="32"/>
      <c r="BO486" s="32"/>
      <c r="BP486" s="32"/>
      <c r="BQ486" s="32"/>
      <c r="BR486" s="32"/>
      <c r="BS486" s="32"/>
      <c r="BT486" s="32"/>
      <c r="BU486" s="32"/>
      <c r="BV486" s="32"/>
      <c r="BW486" s="32"/>
      <c r="BX486" s="32"/>
      <c r="BY486" s="32"/>
      <c r="BZ486" s="32"/>
      <c r="CA486" s="32"/>
      <c r="CB486" s="32"/>
      <c r="CC486" s="32"/>
      <c r="CD486" s="32"/>
    </row>
    <row r="487" spans="1:8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181"/>
      <c r="S487" s="181"/>
      <c r="T487" s="181"/>
      <c r="U487" s="181"/>
      <c r="V487" s="181"/>
      <c r="W487" s="181"/>
      <c r="X487" s="181"/>
      <c r="Y487" s="181"/>
      <c r="Z487" s="181"/>
      <c r="AA487" s="181"/>
      <c r="AB487" s="181"/>
      <c r="AC487" s="181"/>
      <c r="AD487" s="181"/>
      <c r="AE487" s="181"/>
      <c r="AF487" s="181"/>
      <c r="AG487" s="181"/>
      <c r="AH487" s="181"/>
      <c r="AI487" s="181"/>
      <c r="AJ487" s="181"/>
      <c r="AK487" s="181"/>
      <c r="AL487" s="181"/>
      <c r="AM487" s="181"/>
      <c r="AN487" s="181"/>
      <c r="AO487" s="181"/>
      <c r="AP487" s="181"/>
      <c r="AQ487" s="181"/>
      <c r="AR487" s="181"/>
      <c r="AS487" s="181"/>
      <c r="AT487" s="181"/>
      <c r="AU487" s="181"/>
      <c r="AV487" s="181"/>
      <c r="AW487" s="181"/>
      <c r="AX487" s="181"/>
      <c r="AY487" s="181"/>
      <c r="AZ487" s="181"/>
      <c r="BA487" s="181"/>
      <c r="BB487" s="32"/>
      <c r="BC487" s="32"/>
      <c r="BD487" s="32"/>
      <c r="BE487" s="32"/>
      <c r="BF487" s="32"/>
      <c r="BG487" s="32"/>
      <c r="BH487" s="32"/>
      <c r="BI487" s="32"/>
      <c r="BJ487" s="32"/>
      <c r="BK487" s="32"/>
      <c r="BL487" s="32"/>
      <c r="BM487" s="32"/>
      <c r="BN487" s="32"/>
      <c r="BO487" s="32"/>
      <c r="BP487" s="32"/>
      <c r="BQ487" s="32"/>
      <c r="BR487" s="32"/>
      <c r="BS487" s="32"/>
      <c r="BT487" s="32"/>
      <c r="BU487" s="32"/>
      <c r="BV487" s="32"/>
      <c r="BW487" s="32"/>
      <c r="BX487" s="32"/>
      <c r="BY487" s="32"/>
      <c r="BZ487" s="32"/>
      <c r="CA487" s="32"/>
      <c r="CB487" s="32"/>
      <c r="CC487" s="32"/>
      <c r="CD487" s="32"/>
    </row>
    <row r="488" spans="1:8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181"/>
      <c r="S488" s="181"/>
      <c r="T488" s="181"/>
      <c r="U488" s="181"/>
      <c r="V488" s="181"/>
      <c r="W488" s="181"/>
      <c r="X488" s="181"/>
      <c r="Y488" s="181"/>
      <c r="Z488" s="181"/>
      <c r="AA488" s="181"/>
      <c r="AB488" s="181"/>
      <c r="AC488" s="181"/>
      <c r="AD488" s="181"/>
      <c r="AE488" s="181"/>
      <c r="AF488" s="181"/>
      <c r="AG488" s="181"/>
      <c r="AH488" s="181"/>
      <c r="AI488" s="181"/>
      <c r="AJ488" s="181"/>
      <c r="AK488" s="181"/>
      <c r="AL488" s="181"/>
      <c r="AM488" s="181"/>
      <c r="AN488" s="181"/>
      <c r="AO488" s="181"/>
      <c r="AP488" s="181"/>
      <c r="AQ488" s="181"/>
      <c r="AR488" s="181"/>
      <c r="AS488" s="181"/>
      <c r="AT488" s="181"/>
      <c r="AU488" s="181"/>
      <c r="AV488" s="181"/>
      <c r="AW488" s="181"/>
      <c r="AX488" s="181"/>
      <c r="AY488" s="181"/>
      <c r="AZ488" s="181"/>
      <c r="BA488" s="181"/>
      <c r="BB488" s="32"/>
      <c r="BC488" s="32"/>
      <c r="BD488" s="32"/>
      <c r="BE488" s="32"/>
      <c r="BF488" s="32"/>
      <c r="BG488" s="32"/>
      <c r="BH488" s="32"/>
      <c r="BI488" s="32"/>
      <c r="BJ488" s="32"/>
      <c r="BK488" s="32"/>
      <c r="BL488" s="32"/>
      <c r="BM488" s="32"/>
      <c r="BN488" s="32"/>
      <c r="BO488" s="32"/>
      <c r="BP488" s="32"/>
      <c r="BQ488" s="32"/>
      <c r="BR488" s="32"/>
      <c r="BS488" s="32"/>
      <c r="BT488" s="32"/>
      <c r="BU488" s="32"/>
      <c r="BV488" s="32"/>
      <c r="BW488" s="32"/>
      <c r="BX488" s="32"/>
      <c r="BY488" s="32"/>
      <c r="BZ488" s="32"/>
      <c r="CA488" s="32"/>
      <c r="CB488" s="32"/>
      <c r="CC488" s="32"/>
      <c r="CD488" s="32"/>
    </row>
    <row r="489" spans="1:8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181"/>
      <c r="S489" s="181"/>
      <c r="T489" s="181"/>
      <c r="U489" s="181"/>
      <c r="V489" s="181"/>
      <c r="W489" s="181"/>
      <c r="X489" s="181"/>
      <c r="Y489" s="181"/>
      <c r="Z489" s="181"/>
      <c r="AA489" s="181"/>
      <c r="AB489" s="181"/>
      <c r="AC489" s="181"/>
      <c r="AD489" s="181"/>
      <c r="AE489" s="181"/>
      <c r="AF489" s="181"/>
      <c r="AG489" s="181"/>
      <c r="AH489" s="181"/>
      <c r="AI489" s="181"/>
      <c r="AJ489" s="181"/>
      <c r="AK489" s="181"/>
      <c r="AL489" s="181"/>
      <c r="AM489" s="181"/>
      <c r="AN489" s="181"/>
      <c r="AO489" s="181"/>
      <c r="AP489" s="181"/>
      <c r="AQ489" s="181"/>
      <c r="AR489" s="181"/>
      <c r="AS489" s="181"/>
      <c r="AT489" s="181"/>
      <c r="AU489" s="181"/>
      <c r="AV489" s="181"/>
      <c r="AW489" s="181"/>
      <c r="AX489" s="181"/>
      <c r="AY489" s="181"/>
      <c r="AZ489" s="181"/>
      <c r="BA489" s="181"/>
      <c r="BB489" s="32"/>
      <c r="BC489" s="32"/>
      <c r="BD489" s="32"/>
      <c r="BE489" s="32"/>
      <c r="BF489" s="32"/>
      <c r="BG489" s="32"/>
      <c r="BH489" s="32"/>
      <c r="BI489" s="32"/>
      <c r="BJ489" s="32"/>
      <c r="BK489" s="32"/>
      <c r="BL489" s="32"/>
      <c r="BM489" s="32"/>
      <c r="BN489" s="32"/>
      <c r="BO489" s="32"/>
      <c r="BP489" s="32"/>
      <c r="BQ489" s="32"/>
      <c r="BR489" s="32"/>
      <c r="BS489" s="32"/>
      <c r="BT489" s="32"/>
      <c r="BU489" s="32"/>
      <c r="BV489" s="32"/>
      <c r="BW489" s="32"/>
      <c r="BX489" s="32"/>
      <c r="BY489" s="32"/>
      <c r="BZ489" s="32"/>
      <c r="CA489" s="32"/>
      <c r="CB489" s="32"/>
      <c r="CC489" s="32"/>
      <c r="CD489" s="32"/>
    </row>
    <row r="490" spans="1:8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181"/>
      <c r="S490" s="181"/>
      <c r="T490" s="181"/>
      <c r="U490" s="181"/>
      <c r="V490" s="181"/>
      <c r="W490" s="181"/>
      <c r="X490" s="181"/>
      <c r="Y490" s="181"/>
      <c r="Z490" s="181"/>
      <c r="AA490" s="181"/>
      <c r="AB490" s="181"/>
      <c r="AC490" s="181"/>
      <c r="AD490" s="181"/>
      <c r="AE490" s="181"/>
      <c r="AF490" s="181"/>
      <c r="AG490" s="181"/>
      <c r="AH490" s="181"/>
      <c r="AI490" s="181"/>
      <c r="AJ490" s="181"/>
      <c r="AK490" s="181"/>
      <c r="AL490" s="181"/>
      <c r="AM490" s="181"/>
      <c r="AN490" s="181"/>
      <c r="AO490" s="181"/>
      <c r="AP490" s="181"/>
      <c r="AQ490" s="181"/>
      <c r="AR490" s="181"/>
      <c r="AS490" s="181"/>
      <c r="AT490" s="181"/>
      <c r="AU490" s="181"/>
      <c r="AV490" s="181"/>
      <c r="AW490" s="181"/>
      <c r="AX490" s="181"/>
      <c r="AY490" s="181"/>
      <c r="AZ490" s="181"/>
      <c r="BA490" s="181"/>
      <c r="BB490" s="32"/>
      <c r="BC490" s="32"/>
      <c r="BD490" s="32"/>
      <c r="BE490" s="32"/>
      <c r="BF490" s="32"/>
      <c r="BG490" s="32"/>
      <c r="BH490" s="32"/>
      <c r="BI490" s="32"/>
      <c r="BJ490" s="32"/>
      <c r="BK490" s="32"/>
      <c r="BL490" s="32"/>
      <c r="BM490" s="32"/>
      <c r="BN490" s="32"/>
      <c r="BO490" s="32"/>
      <c r="BP490" s="32"/>
      <c r="BQ490" s="32"/>
      <c r="BR490" s="32"/>
      <c r="BS490" s="32"/>
      <c r="BT490" s="32"/>
      <c r="BU490" s="32"/>
      <c r="BV490" s="32"/>
      <c r="BW490" s="32"/>
      <c r="BX490" s="32"/>
      <c r="BY490" s="32"/>
      <c r="BZ490" s="32"/>
      <c r="CA490" s="32"/>
      <c r="CB490" s="32"/>
      <c r="CC490" s="32"/>
      <c r="CD490" s="32"/>
    </row>
    <row r="491" spans="1:8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181"/>
      <c r="S491" s="181"/>
      <c r="T491" s="181"/>
      <c r="U491" s="181"/>
      <c r="V491" s="181"/>
      <c r="W491" s="181"/>
      <c r="X491" s="181"/>
      <c r="Y491" s="181"/>
      <c r="Z491" s="181"/>
      <c r="AA491" s="181"/>
      <c r="AB491" s="181"/>
      <c r="AC491" s="181"/>
      <c r="AD491" s="181"/>
      <c r="AE491" s="181"/>
      <c r="AF491" s="181"/>
      <c r="AG491" s="181"/>
      <c r="AH491" s="181"/>
      <c r="AI491" s="181"/>
      <c r="AJ491" s="181"/>
      <c r="AK491" s="181"/>
      <c r="AL491" s="181"/>
      <c r="AM491" s="181"/>
      <c r="AN491" s="181"/>
      <c r="AO491" s="181"/>
      <c r="AP491" s="181"/>
      <c r="AQ491" s="181"/>
      <c r="AR491" s="181"/>
      <c r="AS491" s="181"/>
      <c r="AT491" s="181"/>
      <c r="AU491" s="181"/>
      <c r="AV491" s="181"/>
      <c r="AW491" s="181"/>
      <c r="AX491" s="181"/>
      <c r="AY491" s="181"/>
      <c r="AZ491" s="181"/>
      <c r="BA491" s="181"/>
      <c r="BB491" s="32"/>
      <c r="BC491" s="32"/>
      <c r="BD491" s="32"/>
      <c r="BE491" s="32"/>
      <c r="BF491" s="32"/>
      <c r="BG491" s="32"/>
      <c r="BH491" s="32"/>
      <c r="BI491" s="32"/>
      <c r="BJ491" s="32"/>
      <c r="BK491" s="32"/>
      <c r="BL491" s="32"/>
      <c r="BM491" s="32"/>
      <c r="BN491" s="32"/>
      <c r="BO491" s="32"/>
      <c r="BP491" s="32"/>
      <c r="BQ491" s="32"/>
      <c r="BR491" s="32"/>
      <c r="BS491" s="32"/>
      <c r="BT491" s="32"/>
      <c r="BU491" s="32"/>
      <c r="BV491" s="32"/>
      <c r="BW491" s="32"/>
      <c r="BX491" s="32"/>
      <c r="BY491" s="32"/>
      <c r="BZ491" s="32"/>
      <c r="CA491" s="32"/>
      <c r="CB491" s="32"/>
      <c r="CC491" s="32"/>
      <c r="CD491" s="32"/>
    </row>
    <row r="492" spans="1:8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181"/>
      <c r="S492" s="181"/>
      <c r="T492" s="181"/>
      <c r="U492" s="181"/>
      <c r="V492" s="181"/>
      <c r="W492" s="181"/>
      <c r="X492" s="181"/>
      <c r="Y492" s="181"/>
      <c r="Z492" s="181"/>
      <c r="AA492" s="181"/>
      <c r="AB492" s="181"/>
      <c r="AC492" s="181"/>
      <c r="AD492" s="181"/>
      <c r="AE492" s="181"/>
      <c r="AF492" s="181"/>
      <c r="AG492" s="181"/>
      <c r="AH492" s="181"/>
      <c r="AI492" s="181"/>
      <c r="AJ492" s="181"/>
      <c r="AK492" s="181"/>
      <c r="AL492" s="181"/>
      <c r="AM492" s="181"/>
      <c r="AN492" s="181"/>
      <c r="AO492" s="181"/>
      <c r="AP492" s="181"/>
      <c r="AQ492" s="181"/>
      <c r="AR492" s="181"/>
      <c r="AS492" s="181"/>
      <c r="AT492" s="181"/>
      <c r="AU492" s="181"/>
      <c r="AV492" s="181"/>
      <c r="AW492" s="181"/>
      <c r="AX492" s="181"/>
      <c r="AY492" s="181"/>
      <c r="AZ492" s="181"/>
      <c r="BA492" s="181"/>
      <c r="BB492" s="32"/>
      <c r="BC492" s="32"/>
      <c r="BD492" s="32"/>
      <c r="BE492" s="32"/>
      <c r="BF492" s="32"/>
      <c r="BG492" s="32"/>
      <c r="BH492" s="32"/>
      <c r="BI492" s="32"/>
      <c r="BJ492" s="32"/>
      <c r="BK492" s="32"/>
      <c r="BL492" s="32"/>
      <c r="BM492" s="32"/>
      <c r="BN492" s="32"/>
      <c r="BO492" s="32"/>
      <c r="BP492" s="32"/>
      <c r="BQ492" s="32"/>
      <c r="BR492" s="32"/>
      <c r="BS492" s="32"/>
      <c r="BT492" s="32"/>
      <c r="BU492" s="32"/>
      <c r="BV492" s="32"/>
      <c r="BW492" s="32"/>
      <c r="BX492" s="32"/>
      <c r="BY492" s="32"/>
      <c r="BZ492" s="32"/>
      <c r="CA492" s="32"/>
      <c r="CB492" s="32"/>
      <c r="CC492" s="32"/>
      <c r="CD492" s="32"/>
    </row>
    <row r="493" spans="1:8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181"/>
      <c r="S493" s="181"/>
      <c r="T493" s="181"/>
      <c r="U493" s="181"/>
      <c r="V493" s="181"/>
      <c r="W493" s="181"/>
      <c r="X493" s="181"/>
      <c r="Y493" s="181"/>
      <c r="Z493" s="181"/>
      <c r="AA493" s="181"/>
      <c r="AB493" s="181"/>
      <c r="AC493" s="181"/>
      <c r="AD493" s="181"/>
      <c r="AE493" s="181"/>
      <c r="AF493" s="181"/>
      <c r="AG493" s="181"/>
      <c r="AH493" s="181"/>
      <c r="AI493" s="181"/>
      <c r="AJ493" s="181"/>
      <c r="AK493" s="181"/>
      <c r="AL493" s="181"/>
      <c r="AM493" s="181"/>
      <c r="AN493" s="181"/>
      <c r="AO493" s="181"/>
      <c r="AP493" s="181"/>
      <c r="AQ493" s="181"/>
      <c r="AR493" s="181"/>
      <c r="AS493" s="181"/>
      <c r="AT493" s="181"/>
      <c r="AU493" s="181"/>
      <c r="AV493" s="181"/>
      <c r="AW493" s="181"/>
      <c r="AX493" s="181"/>
      <c r="AY493" s="181"/>
      <c r="AZ493" s="181"/>
      <c r="BA493" s="181"/>
      <c r="BB493" s="32"/>
      <c r="BC493" s="32"/>
      <c r="BD493" s="32"/>
      <c r="BE493" s="32"/>
      <c r="BF493" s="32"/>
      <c r="BG493" s="32"/>
      <c r="BH493" s="32"/>
      <c r="BI493" s="32"/>
      <c r="BJ493" s="32"/>
      <c r="BK493" s="32"/>
      <c r="BL493" s="32"/>
      <c r="BM493" s="32"/>
      <c r="BN493" s="32"/>
      <c r="BO493" s="32"/>
      <c r="BP493" s="32"/>
      <c r="BQ493" s="32"/>
      <c r="BR493" s="32"/>
      <c r="BS493" s="32"/>
      <c r="BT493" s="32"/>
      <c r="BU493" s="32"/>
      <c r="BV493" s="32"/>
      <c r="BW493" s="32"/>
      <c r="BX493" s="32"/>
      <c r="BY493" s="32"/>
      <c r="BZ493" s="32"/>
      <c r="CA493" s="32"/>
      <c r="CB493" s="32"/>
      <c r="CC493" s="32"/>
      <c r="CD493" s="32"/>
    </row>
    <row r="494" spans="1:8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181"/>
      <c r="S494" s="181"/>
      <c r="T494" s="181"/>
      <c r="U494" s="181"/>
      <c r="V494" s="181"/>
      <c r="W494" s="181"/>
      <c r="X494" s="181"/>
      <c r="Y494" s="181"/>
      <c r="Z494" s="181"/>
      <c r="AA494" s="181"/>
      <c r="AB494" s="181"/>
      <c r="AC494" s="181"/>
      <c r="AD494" s="181"/>
      <c r="AE494" s="181"/>
      <c r="AF494" s="181"/>
      <c r="AG494" s="181"/>
      <c r="AH494" s="181"/>
      <c r="AI494" s="181"/>
      <c r="AJ494" s="181"/>
      <c r="AK494" s="181"/>
      <c r="AL494" s="181"/>
      <c r="AM494" s="181"/>
      <c r="AN494" s="181"/>
      <c r="AO494" s="181"/>
      <c r="AP494" s="181"/>
      <c r="AQ494" s="181"/>
      <c r="AR494" s="181"/>
      <c r="AS494" s="181"/>
      <c r="AT494" s="181"/>
      <c r="AU494" s="181"/>
      <c r="AV494" s="181"/>
      <c r="AW494" s="181"/>
      <c r="AX494" s="181"/>
      <c r="AY494" s="181"/>
      <c r="AZ494" s="181"/>
      <c r="BA494" s="181"/>
      <c r="BB494" s="32"/>
      <c r="BC494" s="32"/>
      <c r="BD494" s="32"/>
      <c r="BE494" s="32"/>
      <c r="BF494" s="32"/>
      <c r="BG494" s="32"/>
      <c r="BH494" s="32"/>
      <c r="BI494" s="32"/>
      <c r="BJ494" s="32"/>
      <c r="BK494" s="32"/>
      <c r="BL494" s="32"/>
      <c r="BM494" s="32"/>
      <c r="BN494" s="32"/>
      <c r="BO494" s="32"/>
      <c r="BP494" s="32"/>
      <c r="BQ494" s="32"/>
      <c r="BR494" s="32"/>
      <c r="BS494" s="32"/>
      <c r="BT494" s="32"/>
      <c r="BU494" s="32"/>
      <c r="BV494" s="32"/>
      <c r="BW494" s="32"/>
      <c r="BX494" s="32"/>
      <c r="BY494" s="32"/>
      <c r="BZ494" s="32"/>
      <c r="CA494" s="32"/>
      <c r="CB494" s="32"/>
      <c r="CC494" s="32"/>
      <c r="CD494" s="32"/>
    </row>
    <row r="495" spans="1:8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181"/>
      <c r="S495" s="181"/>
      <c r="T495" s="181"/>
      <c r="U495" s="181"/>
      <c r="V495" s="181"/>
      <c r="W495" s="181"/>
      <c r="X495" s="181"/>
      <c r="Y495" s="181"/>
      <c r="Z495" s="181"/>
      <c r="AA495" s="181"/>
      <c r="AB495" s="181"/>
      <c r="AC495" s="181"/>
      <c r="AD495" s="181"/>
      <c r="AE495" s="181"/>
      <c r="AF495" s="181"/>
      <c r="AG495" s="181"/>
      <c r="AH495" s="181"/>
      <c r="AI495" s="181"/>
      <c r="AJ495" s="181"/>
      <c r="AK495" s="181"/>
      <c r="AL495" s="181"/>
      <c r="AM495" s="181"/>
      <c r="AN495" s="181"/>
      <c r="AO495" s="181"/>
      <c r="AP495" s="181"/>
      <c r="AQ495" s="181"/>
      <c r="AR495" s="181"/>
      <c r="AS495" s="181"/>
      <c r="AT495" s="181"/>
      <c r="AU495" s="181"/>
      <c r="AV495" s="181"/>
      <c r="AW495" s="181"/>
      <c r="AX495" s="181"/>
      <c r="AY495" s="181"/>
      <c r="AZ495" s="181"/>
      <c r="BA495" s="181"/>
      <c r="BB495" s="32"/>
      <c r="BC495" s="32"/>
      <c r="BD495" s="32"/>
      <c r="BE495" s="32"/>
      <c r="BF495" s="32"/>
      <c r="BG495" s="32"/>
      <c r="BH495" s="32"/>
      <c r="BI495" s="32"/>
      <c r="BJ495" s="32"/>
      <c r="BK495" s="32"/>
      <c r="BL495" s="32"/>
      <c r="BM495" s="32"/>
      <c r="BN495" s="32"/>
      <c r="BO495" s="32"/>
      <c r="BP495" s="32"/>
      <c r="BQ495" s="32"/>
      <c r="BR495" s="32"/>
      <c r="BS495" s="32"/>
      <c r="BT495" s="32"/>
      <c r="BU495" s="32"/>
      <c r="BV495" s="32"/>
      <c r="BW495" s="32"/>
      <c r="BX495" s="32"/>
      <c r="BY495" s="32"/>
      <c r="BZ495" s="32"/>
      <c r="CA495" s="32"/>
      <c r="CB495" s="32"/>
      <c r="CC495" s="32"/>
      <c r="CD495" s="32"/>
    </row>
    <row r="496" spans="1:8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181"/>
      <c r="S496" s="181"/>
      <c r="T496" s="181"/>
      <c r="U496" s="181"/>
      <c r="V496" s="181"/>
      <c r="W496" s="181"/>
      <c r="X496" s="181"/>
      <c r="Y496" s="181"/>
      <c r="Z496" s="181"/>
      <c r="AA496" s="181"/>
      <c r="AB496" s="181"/>
      <c r="AC496" s="181"/>
      <c r="AD496" s="181"/>
      <c r="AE496" s="181"/>
      <c r="AF496" s="181"/>
      <c r="AG496" s="181"/>
      <c r="AH496" s="181"/>
      <c r="AI496" s="181"/>
      <c r="AJ496" s="181"/>
      <c r="AK496" s="181"/>
      <c r="AL496" s="181"/>
      <c r="AM496" s="181"/>
      <c r="AN496" s="181"/>
      <c r="AO496" s="181"/>
      <c r="AP496" s="181"/>
      <c r="AQ496" s="181"/>
      <c r="AR496" s="181"/>
      <c r="AS496" s="181"/>
      <c r="AT496" s="181"/>
      <c r="AU496" s="181"/>
      <c r="AV496" s="181"/>
      <c r="AW496" s="181"/>
      <c r="AX496" s="181"/>
      <c r="AY496" s="181"/>
      <c r="AZ496" s="181"/>
      <c r="BA496" s="181"/>
      <c r="BB496" s="32"/>
      <c r="BC496" s="32"/>
      <c r="BD496" s="32"/>
      <c r="BE496" s="32"/>
      <c r="BF496" s="32"/>
      <c r="BG496" s="32"/>
      <c r="BH496" s="32"/>
      <c r="BI496" s="32"/>
      <c r="BJ496" s="32"/>
      <c r="BK496" s="32"/>
      <c r="BL496" s="32"/>
      <c r="BM496" s="32"/>
      <c r="BN496" s="32"/>
      <c r="BO496" s="32"/>
      <c r="BP496" s="32"/>
      <c r="BQ496" s="32"/>
      <c r="BR496" s="32"/>
      <c r="BS496" s="32"/>
      <c r="BT496" s="32"/>
      <c r="BU496" s="32"/>
      <c r="BV496" s="32"/>
      <c r="BW496" s="32"/>
      <c r="BX496" s="32"/>
      <c r="BY496" s="32"/>
      <c r="BZ496" s="32"/>
      <c r="CA496" s="32"/>
      <c r="CB496" s="32"/>
      <c r="CC496" s="32"/>
      <c r="CD496" s="32"/>
    </row>
    <row r="497" spans="1:8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181"/>
      <c r="S497" s="181"/>
      <c r="T497" s="181"/>
      <c r="U497" s="181"/>
      <c r="V497" s="181"/>
      <c r="W497" s="181"/>
      <c r="X497" s="181"/>
      <c r="Y497" s="181"/>
      <c r="Z497" s="181"/>
      <c r="AA497" s="181"/>
      <c r="AB497" s="181"/>
      <c r="AC497" s="181"/>
      <c r="AD497" s="181"/>
      <c r="AE497" s="181"/>
      <c r="AF497" s="181"/>
      <c r="AG497" s="181"/>
      <c r="AH497" s="181"/>
      <c r="AI497" s="181"/>
      <c r="AJ497" s="181"/>
      <c r="AK497" s="181"/>
      <c r="AL497" s="181"/>
      <c r="AM497" s="181"/>
      <c r="AN497" s="181"/>
      <c r="AO497" s="181"/>
      <c r="AP497" s="181"/>
      <c r="AQ497" s="181"/>
      <c r="AR497" s="181"/>
      <c r="AS497" s="181"/>
      <c r="AT497" s="181"/>
      <c r="AU497" s="181"/>
      <c r="AV497" s="181"/>
      <c r="AW497" s="181"/>
      <c r="AX497" s="181"/>
      <c r="AY497" s="181"/>
      <c r="AZ497" s="181"/>
      <c r="BA497" s="181"/>
      <c r="BB497" s="32"/>
      <c r="BC497" s="32"/>
      <c r="BD497" s="32"/>
      <c r="BE497" s="32"/>
      <c r="BF497" s="32"/>
      <c r="BG497" s="32"/>
      <c r="BH497" s="32"/>
      <c r="BI497" s="32"/>
      <c r="BJ497" s="32"/>
      <c r="BK497" s="32"/>
      <c r="BL497" s="32"/>
      <c r="BM497" s="32"/>
      <c r="BN497" s="32"/>
      <c r="BO497" s="32"/>
      <c r="BP497" s="32"/>
      <c r="BQ497" s="32"/>
      <c r="BR497" s="32"/>
      <c r="BS497" s="32"/>
      <c r="BT497" s="32"/>
      <c r="BU497" s="32"/>
      <c r="BV497" s="32"/>
      <c r="BW497" s="32"/>
      <c r="BX497" s="32"/>
      <c r="BY497" s="32"/>
      <c r="BZ497" s="32"/>
      <c r="CA497" s="32"/>
      <c r="CB497" s="32"/>
      <c r="CC497" s="32"/>
      <c r="CD497" s="32"/>
    </row>
    <row r="498" spans="1:8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181"/>
      <c r="S498" s="181"/>
      <c r="T498" s="181"/>
      <c r="U498" s="181"/>
      <c r="V498" s="181"/>
      <c r="W498" s="181"/>
      <c r="X498" s="181"/>
      <c r="Y498" s="181"/>
      <c r="Z498" s="181"/>
      <c r="AA498" s="181"/>
      <c r="AB498" s="181"/>
      <c r="AC498" s="181"/>
      <c r="AD498" s="181"/>
      <c r="AE498" s="181"/>
      <c r="AF498" s="181"/>
      <c r="AG498" s="181"/>
      <c r="AH498" s="181"/>
      <c r="AI498" s="181"/>
      <c r="AJ498" s="181"/>
      <c r="AK498" s="181"/>
      <c r="AL498" s="181"/>
      <c r="AM498" s="181"/>
      <c r="AN498" s="181"/>
      <c r="AO498" s="181"/>
      <c r="AP498" s="181"/>
      <c r="AQ498" s="181"/>
      <c r="AR498" s="181"/>
      <c r="AS498" s="181"/>
      <c r="AT498" s="181"/>
      <c r="AU498" s="181"/>
      <c r="AV498" s="181"/>
      <c r="AW498" s="181"/>
      <c r="AX498" s="181"/>
      <c r="AY498" s="181"/>
      <c r="AZ498" s="181"/>
      <c r="BA498" s="181"/>
      <c r="BB498" s="32"/>
      <c r="BC498" s="32"/>
      <c r="BD498" s="32"/>
      <c r="BE498" s="32"/>
      <c r="BF498" s="32"/>
      <c r="BG498" s="32"/>
      <c r="BH498" s="32"/>
      <c r="BI498" s="32"/>
      <c r="BJ498" s="32"/>
      <c r="BK498" s="32"/>
      <c r="BL498" s="32"/>
      <c r="BM498" s="32"/>
      <c r="BN498" s="32"/>
      <c r="BO498" s="32"/>
      <c r="BP498" s="32"/>
      <c r="BQ498" s="32"/>
      <c r="BR498" s="32"/>
      <c r="BS498" s="32"/>
      <c r="BT498" s="32"/>
      <c r="BU498" s="32"/>
      <c r="BV498" s="32"/>
      <c r="BW498" s="32"/>
      <c r="BX498" s="32"/>
      <c r="BY498" s="32"/>
      <c r="BZ498" s="32"/>
      <c r="CA498" s="32"/>
      <c r="CB498" s="32"/>
      <c r="CC498" s="32"/>
      <c r="CD498" s="32"/>
    </row>
    <row r="499" spans="1:8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181"/>
      <c r="S499" s="181"/>
      <c r="T499" s="181"/>
      <c r="U499" s="181"/>
      <c r="V499" s="181"/>
      <c r="W499" s="181"/>
      <c r="X499" s="181"/>
      <c r="Y499" s="181"/>
      <c r="Z499" s="181"/>
      <c r="AA499" s="181"/>
      <c r="AB499" s="181"/>
      <c r="AC499" s="181"/>
      <c r="AD499" s="181"/>
      <c r="AE499" s="181"/>
      <c r="AF499" s="181"/>
      <c r="AG499" s="181"/>
      <c r="AH499" s="181"/>
      <c r="AI499" s="181"/>
      <c r="AJ499" s="181"/>
      <c r="AK499" s="181"/>
      <c r="AL499" s="181"/>
      <c r="AM499" s="181"/>
      <c r="AN499" s="181"/>
      <c r="AO499" s="181"/>
      <c r="AP499" s="181"/>
      <c r="AQ499" s="181"/>
      <c r="AR499" s="181"/>
      <c r="AS499" s="181"/>
      <c r="AT499" s="181"/>
      <c r="AU499" s="181"/>
      <c r="AV499" s="181"/>
      <c r="AW499" s="181"/>
      <c r="AX499" s="181"/>
      <c r="AY499" s="181"/>
      <c r="AZ499" s="181"/>
      <c r="BA499" s="181"/>
      <c r="BB499" s="32"/>
      <c r="BC499" s="32"/>
      <c r="BD499" s="32"/>
      <c r="BE499" s="32"/>
      <c r="BF499" s="32"/>
      <c r="BG499" s="32"/>
      <c r="BH499" s="32"/>
      <c r="BI499" s="32"/>
      <c r="BJ499" s="32"/>
      <c r="BK499" s="32"/>
      <c r="BL499" s="32"/>
      <c r="BM499" s="32"/>
      <c r="BN499" s="32"/>
      <c r="BO499" s="32"/>
      <c r="BP499" s="32"/>
      <c r="BQ499" s="32"/>
      <c r="BR499" s="32"/>
      <c r="BS499" s="32"/>
      <c r="BT499" s="32"/>
      <c r="BU499" s="32"/>
      <c r="BV499" s="32"/>
      <c r="BW499" s="32"/>
      <c r="BX499" s="32"/>
      <c r="BY499" s="32"/>
      <c r="BZ499" s="32"/>
      <c r="CA499" s="32"/>
      <c r="CB499" s="32"/>
      <c r="CC499" s="32"/>
      <c r="CD499" s="32"/>
    </row>
    <row r="500" spans="1:8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181"/>
      <c r="S500" s="181"/>
      <c r="T500" s="181"/>
      <c r="U500" s="181"/>
      <c r="V500" s="181"/>
      <c r="W500" s="181"/>
      <c r="X500" s="181"/>
      <c r="Y500" s="181"/>
      <c r="Z500" s="181"/>
      <c r="AA500" s="181"/>
      <c r="AB500" s="181"/>
      <c r="AC500" s="181"/>
      <c r="AD500" s="181"/>
      <c r="AE500" s="181"/>
      <c r="AF500" s="181"/>
      <c r="AG500" s="181"/>
      <c r="AH500" s="181"/>
      <c r="AI500" s="181"/>
      <c r="AJ500" s="181"/>
      <c r="AK500" s="181"/>
      <c r="AL500" s="181"/>
      <c r="AM500" s="181"/>
      <c r="AN500" s="181"/>
      <c r="AO500" s="181"/>
      <c r="AP500" s="181"/>
      <c r="AQ500" s="181"/>
      <c r="AR500" s="181"/>
      <c r="AS500" s="181"/>
      <c r="AT500" s="181"/>
      <c r="AU500" s="181"/>
      <c r="AV500" s="181"/>
      <c r="AW500" s="181"/>
      <c r="AX500" s="181"/>
      <c r="AY500" s="181"/>
      <c r="AZ500" s="181"/>
      <c r="BA500" s="181"/>
      <c r="BB500" s="32"/>
      <c r="BC500" s="32"/>
      <c r="BD500" s="32"/>
      <c r="BE500" s="32"/>
      <c r="BF500" s="32"/>
      <c r="BG500" s="32"/>
      <c r="BH500" s="32"/>
      <c r="BI500" s="32"/>
      <c r="BJ500" s="32"/>
      <c r="BK500" s="32"/>
      <c r="BL500" s="32"/>
      <c r="BM500" s="32"/>
      <c r="BN500" s="32"/>
      <c r="BO500" s="32"/>
      <c r="BP500" s="32"/>
      <c r="BQ500" s="32"/>
      <c r="BR500" s="32"/>
      <c r="BS500" s="32"/>
      <c r="BT500" s="32"/>
      <c r="BU500" s="32"/>
      <c r="BV500" s="32"/>
      <c r="BW500" s="32"/>
      <c r="BX500" s="32"/>
      <c r="BY500" s="32"/>
      <c r="BZ500" s="32"/>
      <c r="CA500" s="32"/>
      <c r="CB500" s="32"/>
      <c r="CC500" s="32"/>
      <c r="CD500" s="32"/>
    </row>
    <row r="501" spans="1:8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181"/>
      <c r="S501" s="181"/>
      <c r="T501" s="181"/>
      <c r="U501" s="181"/>
      <c r="V501" s="181"/>
      <c r="W501" s="181"/>
      <c r="X501" s="181"/>
      <c r="Y501" s="181"/>
      <c r="Z501" s="181"/>
      <c r="AA501" s="181"/>
      <c r="AB501" s="181"/>
      <c r="AC501" s="181"/>
      <c r="AD501" s="181"/>
      <c r="AE501" s="181"/>
      <c r="AF501" s="181"/>
      <c r="AG501" s="181"/>
      <c r="AH501" s="181"/>
      <c r="AI501" s="181"/>
      <c r="AJ501" s="181"/>
      <c r="AK501" s="181"/>
      <c r="AL501" s="181"/>
      <c r="AM501" s="181"/>
      <c r="AN501" s="181"/>
      <c r="AO501" s="181"/>
      <c r="AP501" s="181"/>
      <c r="AQ501" s="181"/>
      <c r="AR501" s="181"/>
      <c r="AS501" s="181"/>
      <c r="AT501" s="181"/>
      <c r="AU501" s="181"/>
      <c r="AV501" s="181"/>
      <c r="AW501" s="181"/>
      <c r="AX501" s="181"/>
      <c r="AY501" s="181"/>
      <c r="AZ501" s="181"/>
      <c r="BA501" s="181"/>
      <c r="BB501" s="32"/>
      <c r="BC501" s="32"/>
      <c r="BD501" s="32"/>
      <c r="BE501" s="32"/>
      <c r="BF501" s="32"/>
      <c r="BG501" s="32"/>
      <c r="BH501" s="32"/>
      <c r="BI501" s="32"/>
      <c r="BJ501" s="32"/>
      <c r="BK501" s="32"/>
      <c r="BL501" s="32"/>
      <c r="BM501" s="32"/>
      <c r="BN501" s="32"/>
      <c r="BO501" s="32"/>
      <c r="BP501" s="32"/>
      <c r="BQ501" s="32"/>
      <c r="BR501" s="32"/>
      <c r="BS501" s="32"/>
      <c r="BT501" s="32"/>
      <c r="BU501" s="32"/>
      <c r="BV501" s="32"/>
      <c r="BW501" s="32"/>
      <c r="BX501" s="32"/>
      <c r="BY501" s="32"/>
      <c r="BZ501" s="32"/>
      <c r="CA501" s="32"/>
      <c r="CB501" s="32"/>
      <c r="CC501" s="32"/>
      <c r="CD501" s="32"/>
    </row>
    <row r="502" spans="1:8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181"/>
      <c r="S502" s="181"/>
      <c r="T502" s="181"/>
      <c r="U502" s="181"/>
      <c r="V502" s="181"/>
      <c r="W502" s="181"/>
      <c r="X502" s="181"/>
      <c r="Y502" s="181"/>
      <c r="Z502" s="181"/>
      <c r="AA502" s="181"/>
      <c r="AB502" s="181"/>
      <c r="AC502" s="181"/>
      <c r="AD502" s="181"/>
      <c r="AE502" s="181"/>
      <c r="AF502" s="181"/>
      <c r="AG502" s="181"/>
      <c r="AH502" s="181"/>
      <c r="AI502" s="181"/>
      <c r="AJ502" s="181"/>
      <c r="AK502" s="181"/>
      <c r="AL502" s="181"/>
      <c r="AM502" s="181"/>
      <c r="AN502" s="181"/>
      <c r="AO502" s="181"/>
      <c r="AP502" s="181"/>
      <c r="AQ502" s="181"/>
      <c r="AR502" s="181"/>
      <c r="AS502" s="181"/>
      <c r="AT502" s="181"/>
      <c r="AU502" s="181"/>
      <c r="AV502" s="181"/>
      <c r="AW502" s="181"/>
      <c r="AX502" s="181"/>
      <c r="AY502" s="181"/>
      <c r="AZ502" s="181"/>
      <c r="BA502" s="181"/>
      <c r="BB502" s="32"/>
      <c r="BC502" s="32"/>
      <c r="BD502" s="32"/>
      <c r="BE502" s="32"/>
      <c r="BF502" s="32"/>
      <c r="BG502" s="32"/>
      <c r="BH502" s="32"/>
      <c r="BI502" s="32"/>
      <c r="BJ502" s="32"/>
      <c r="BK502" s="32"/>
      <c r="BL502" s="32"/>
      <c r="BM502" s="32"/>
      <c r="BN502" s="32"/>
      <c r="BO502" s="32"/>
      <c r="BP502" s="32"/>
      <c r="BQ502" s="32"/>
      <c r="BR502" s="32"/>
      <c r="BS502" s="32"/>
      <c r="BT502" s="32"/>
      <c r="BU502" s="32"/>
      <c r="BV502" s="32"/>
      <c r="BW502" s="32"/>
      <c r="BX502" s="32"/>
      <c r="BY502" s="32"/>
      <c r="BZ502" s="32"/>
      <c r="CA502" s="32"/>
      <c r="CB502" s="32"/>
      <c r="CC502" s="32"/>
      <c r="CD502" s="32"/>
    </row>
    <row r="503" spans="1:8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181"/>
      <c r="S503" s="181"/>
      <c r="T503" s="181"/>
      <c r="U503" s="181"/>
      <c r="V503" s="181"/>
      <c r="W503" s="181"/>
      <c r="X503" s="181"/>
      <c r="Y503" s="181"/>
      <c r="Z503" s="181"/>
      <c r="AA503" s="181"/>
      <c r="AB503" s="181"/>
      <c r="AC503" s="181"/>
      <c r="AD503" s="181"/>
      <c r="AE503" s="181"/>
      <c r="AF503" s="181"/>
      <c r="AG503" s="181"/>
      <c r="AH503" s="181"/>
      <c r="AI503" s="181"/>
      <c r="AJ503" s="181"/>
      <c r="AK503" s="181"/>
      <c r="AL503" s="181"/>
      <c r="AM503" s="181"/>
      <c r="AN503" s="181"/>
      <c r="AO503" s="181"/>
      <c r="AP503" s="181"/>
      <c r="AQ503" s="181"/>
      <c r="AR503" s="181"/>
      <c r="AS503" s="181"/>
      <c r="AT503" s="181"/>
      <c r="AU503" s="181"/>
      <c r="AV503" s="181"/>
      <c r="AW503" s="181"/>
      <c r="AX503" s="181"/>
      <c r="AY503" s="181"/>
      <c r="AZ503" s="181"/>
      <c r="BA503" s="181"/>
      <c r="BB503" s="32"/>
      <c r="BC503" s="32"/>
      <c r="BD503" s="32"/>
      <c r="BE503" s="32"/>
      <c r="BF503" s="32"/>
      <c r="BG503" s="32"/>
      <c r="BH503" s="32"/>
      <c r="BI503" s="32"/>
      <c r="BJ503" s="32"/>
      <c r="BK503" s="32"/>
      <c r="BL503" s="32"/>
      <c r="BM503" s="32"/>
      <c r="BN503" s="32"/>
      <c r="BO503" s="32"/>
      <c r="BP503" s="32"/>
      <c r="BQ503" s="32"/>
      <c r="BR503" s="32"/>
      <c r="BS503" s="32"/>
      <c r="BT503" s="32"/>
      <c r="BU503" s="32"/>
      <c r="BV503" s="32"/>
      <c r="BW503" s="32"/>
      <c r="BX503" s="32"/>
      <c r="BY503" s="32"/>
      <c r="BZ503" s="32"/>
      <c r="CA503" s="32"/>
      <c r="CB503" s="32"/>
      <c r="CC503" s="32"/>
      <c r="CD503" s="32"/>
    </row>
    <row r="504" spans="1:8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181"/>
      <c r="S504" s="181"/>
      <c r="T504" s="181"/>
      <c r="U504" s="181"/>
      <c r="V504" s="181"/>
      <c r="W504" s="181"/>
      <c r="X504" s="181"/>
      <c r="Y504" s="181"/>
      <c r="Z504" s="181"/>
      <c r="AA504" s="181"/>
      <c r="AB504" s="181"/>
      <c r="AC504" s="181"/>
      <c r="AD504" s="181"/>
      <c r="AE504" s="181"/>
      <c r="AF504" s="181"/>
      <c r="AG504" s="181"/>
      <c r="AH504" s="181"/>
      <c r="AI504" s="181"/>
      <c r="AJ504" s="181"/>
      <c r="AK504" s="181"/>
      <c r="AL504" s="181"/>
      <c r="AM504" s="181"/>
      <c r="AN504" s="181"/>
      <c r="AO504" s="181"/>
      <c r="AP504" s="181"/>
      <c r="AQ504" s="181"/>
      <c r="AR504" s="181"/>
      <c r="AS504" s="181"/>
      <c r="AT504" s="181"/>
      <c r="AU504" s="181"/>
      <c r="AV504" s="181"/>
      <c r="AW504" s="181"/>
      <c r="AX504" s="181"/>
      <c r="AY504" s="181"/>
      <c r="AZ504" s="181"/>
      <c r="BA504" s="181"/>
      <c r="BB504" s="32"/>
      <c r="BC504" s="32"/>
      <c r="BD504" s="32"/>
      <c r="BE504" s="32"/>
      <c r="BF504" s="32"/>
      <c r="BG504" s="32"/>
      <c r="BH504" s="32"/>
      <c r="BI504" s="32"/>
      <c r="BJ504" s="32"/>
      <c r="BK504" s="32"/>
      <c r="BL504" s="32"/>
      <c r="BM504" s="32"/>
      <c r="BN504" s="32"/>
      <c r="BO504" s="32"/>
      <c r="BP504" s="32"/>
      <c r="BQ504" s="32"/>
      <c r="BR504" s="32"/>
      <c r="BS504" s="32"/>
      <c r="BT504" s="32"/>
      <c r="BU504" s="32"/>
      <c r="BV504" s="32"/>
      <c r="BW504" s="32"/>
      <c r="BX504" s="32"/>
      <c r="BY504" s="32"/>
      <c r="BZ504" s="32"/>
      <c r="CA504" s="32"/>
      <c r="CB504" s="32"/>
      <c r="CC504" s="32"/>
      <c r="CD504" s="32"/>
    </row>
    <row r="505" spans="1:8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181"/>
      <c r="S505" s="181"/>
      <c r="T505" s="181"/>
      <c r="U505" s="181"/>
      <c r="V505" s="181"/>
      <c r="W505" s="181"/>
      <c r="X505" s="181"/>
      <c r="Y505" s="181"/>
      <c r="Z505" s="181"/>
      <c r="AA505" s="181"/>
      <c r="AB505" s="181"/>
      <c r="AC505" s="181"/>
      <c r="AD505" s="181"/>
      <c r="AE505" s="181"/>
      <c r="AF505" s="181"/>
      <c r="AG505" s="181"/>
      <c r="AH505" s="181"/>
      <c r="AI505" s="181"/>
      <c r="AJ505" s="181"/>
      <c r="AK505" s="181"/>
      <c r="AL505" s="181"/>
      <c r="AM505" s="181"/>
      <c r="AN505" s="181"/>
      <c r="AO505" s="181"/>
      <c r="AP505" s="181"/>
      <c r="AQ505" s="181"/>
      <c r="AR505" s="181"/>
      <c r="AS505" s="181"/>
      <c r="AT505" s="181"/>
      <c r="AU505" s="181"/>
      <c r="AV505" s="181"/>
      <c r="AW505" s="181"/>
      <c r="AX505" s="181"/>
      <c r="AY505" s="181"/>
      <c r="AZ505" s="181"/>
      <c r="BA505" s="181"/>
      <c r="BB505" s="32"/>
      <c r="BC505" s="32"/>
      <c r="BD505" s="32"/>
      <c r="BE505" s="32"/>
      <c r="BF505" s="32"/>
      <c r="BG505" s="32"/>
      <c r="BH505" s="32"/>
      <c r="BI505" s="32"/>
      <c r="BJ505" s="32"/>
      <c r="BK505" s="32"/>
      <c r="BL505" s="32"/>
      <c r="BM505" s="32"/>
      <c r="BN505" s="32"/>
      <c r="BO505" s="32"/>
      <c r="BP505" s="32"/>
      <c r="BQ505" s="32"/>
      <c r="BR505" s="32"/>
      <c r="BS505" s="32"/>
      <c r="BT505" s="32"/>
      <c r="BU505" s="32"/>
      <c r="BV505" s="32"/>
      <c r="BW505" s="32"/>
      <c r="BX505" s="32"/>
      <c r="BY505" s="32"/>
      <c r="BZ505" s="32"/>
      <c r="CA505" s="32"/>
      <c r="CB505" s="32"/>
      <c r="CC505" s="32"/>
      <c r="CD505" s="32"/>
    </row>
    <row r="506" spans="1:8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181"/>
      <c r="S506" s="181"/>
      <c r="T506" s="181"/>
      <c r="U506" s="181"/>
      <c r="V506" s="181"/>
      <c r="W506" s="181"/>
      <c r="X506" s="181"/>
      <c r="Y506" s="181"/>
      <c r="Z506" s="181"/>
      <c r="AA506" s="181"/>
      <c r="AB506" s="181"/>
      <c r="AC506" s="181"/>
      <c r="AD506" s="181"/>
      <c r="AE506" s="181"/>
      <c r="AF506" s="181"/>
      <c r="AG506" s="181"/>
      <c r="AH506" s="181"/>
      <c r="AI506" s="181"/>
      <c r="AJ506" s="181"/>
      <c r="AK506" s="181"/>
      <c r="AL506" s="181"/>
      <c r="AM506" s="181"/>
      <c r="AN506" s="181"/>
      <c r="AO506" s="181"/>
      <c r="AP506" s="181"/>
      <c r="AQ506" s="181"/>
      <c r="AR506" s="181"/>
      <c r="AS506" s="181"/>
      <c r="AT506" s="181"/>
      <c r="AU506" s="181"/>
      <c r="AV506" s="181"/>
      <c r="AW506" s="181"/>
      <c r="AX506" s="181"/>
      <c r="AY506" s="181"/>
      <c r="AZ506" s="181"/>
      <c r="BA506" s="181"/>
      <c r="BB506" s="32"/>
      <c r="BC506" s="32"/>
      <c r="BD506" s="32"/>
      <c r="BE506" s="32"/>
      <c r="BF506" s="32"/>
      <c r="BG506" s="32"/>
      <c r="BH506" s="32"/>
      <c r="BI506" s="32"/>
      <c r="BJ506" s="32"/>
      <c r="BK506" s="32"/>
      <c r="BL506" s="32"/>
      <c r="BM506" s="32"/>
      <c r="BN506" s="32"/>
      <c r="BO506" s="32"/>
      <c r="BP506" s="32"/>
      <c r="BQ506" s="32"/>
      <c r="BR506" s="32"/>
      <c r="BS506" s="32"/>
      <c r="BT506" s="32"/>
      <c r="BU506" s="32"/>
      <c r="BV506" s="32"/>
      <c r="BW506" s="32"/>
      <c r="BX506" s="32"/>
      <c r="BY506" s="32"/>
      <c r="BZ506" s="32"/>
      <c r="CA506" s="32"/>
      <c r="CB506" s="32"/>
      <c r="CC506" s="32"/>
      <c r="CD506" s="32"/>
    </row>
    <row r="507" spans="1:8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181"/>
      <c r="S507" s="181"/>
      <c r="T507" s="181"/>
      <c r="U507" s="181"/>
      <c r="V507" s="181"/>
      <c r="W507" s="181"/>
      <c r="X507" s="181"/>
      <c r="Y507" s="181"/>
      <c r="Z507" s="181"/>
      <c r="AA507" s="181"/>
      <c r="AB507" s="181"/>
      <c r="AC507" s="181"/>
      <c r="AD507" s="181"/>
      <c r="AE507" s="181"/>
      <c r="AF507" s="181"/>
      <c r="AG507" s="181"/>
      <c r="AH507" s="181"/>
      <c r="AI507" s="181"/>
      <c r="AJ507" s="181"/>
      <c r="AK507" s="181"/>
      <c r="AL507" s="181"/>
      <c r="AM507" s="181"/>
      <c r="AN507" s="181"/>
      <c r="AO507" s="181"/>
      <c r="AP507" s="181"/>
      <c r="AQ507" s="181"/>
      <c r="AR507" s="181"/>
      <c r="AS507" s="181"/>
      <c r="AT507" s="181"/>
      <c r="AU507" s="181"/>
      <c r="AV507" s="181"/>
      <c r="AW507" s="181"/>
      <c r="AX507" s="181"/>
      <c r="AY507" s="181"/>
      <c r="AZ507" s="181"/>
      <c r="BA507" s="181"/>
      <c r="BB507" s="32"/>
      <c r="BC507" s="32"/>
      <c r="BD507" s="32"/>
      <c r="BE507" s="32"/>
      <c r="BF507" s="32"/>
      <c r="BG507" s="32"/>
      <c r="BH507" s="32"/>
      <c r="BI507" s="32"/>
      <c r="BJ507" s="32"/>
      <c r="BK507" s="32"/>
      <c r="BL507" s="32"/>
      <c r="BM507" s="32"/>
      <c r="BN507" s="32"/>
      <c r="BO507" s="32"/>
      <c r="BP507" s="32"/>
      <c r="BQ507" s="32"/>
      <c r="BR507" s="32"/>
      <c r="BS507" s="32"/>
      <c r="BT507" s="32"/>
      <c r="BU507" s="32"/>
      <c r="BV507" s="32"/>
      <c r="BW507" s="32"/>
      <c r="BX507" s="32"/>
      <c r="BY507" s="32"/>
      <c r="BZ507" s="32"/>
      <c r="CA507" s="32"/>
      <c r="CB507" s="32"/>
      <c r="CC507" s="32"/>
      <c r="CD507" s="32"/>
    </row>
    <row r="508" spans="1:8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181"/>
      <c r="S508" s="181"/>
      <c r="T508" s="181"/>
      <c r="U508" s="181"/>
      <c r="V508" s="181"/>
      <c r="W508" s="181"/>
      <c r="X508" s="181"/>
      <c r="Y508" s="181"/>
      <c r="Z508" s="181"/>
      <c r="AA508" s="181"/>
      <c r="AB508" s="181"/>
      <c r="AC508" s="181"/>
      <c r="AD508" s="181"/>
      <c r="AE508" s="181"/>
      <c r="AF508" s="181"/>
      <c r="AG508" s="181"/>
      <c r="AH508" s="181"/>
      <c r="AI508" s="181"/>
      <c r="AJ508" s="181"/>
      <c r="AK508" s="181"/>
      <c r="AL508" s="181"/>
      <c r="AM508" s="181"/>
      <c r="AN508" s="181"/>
      <c r="AO508" s="181"/>
      <c r="AP508" s="181"/>
      <c r="AQ508" s="181"/>
      <c r="AR508" s="181"/>
      <c r="AS508" s="181"/>
      <c r="AT508" s="181"/>
      <c r="AU508" s="181"/>
      <c r="AV508" s="181"/>
      <c r="AW508" s="181"/>
      <c r="AX508" s="181"/>
      <c r="AY508" s="181"/>
      <c r="AZ508" s="181"/>
      <c r="BA508" s="181"/>
      <c r="BB508" s="32"/>
      <c r="BC508" s="32"/>
      <c r="BD508" s="32"/>
      <c r="BE508" s="32"/>
      <c r="BF508" s="32"/>
      <c r="BG508" s="32"/>
      <c r="BH508" s="32"/>
      <c r="BI508" s="32"/>
      <c r="BJ508" s="32"/>
      <c r="BK508" s="32"/>
      <c r="BL508" s="32"/>
      <c r="BM508" s="32"/>
      <c r="BN508" s="32"/>
      <c r="BO508" s="32"/>
      <c r="BP508" s="32"/>
      <c r="BQ508" s="32"/>
      <c r="BR508" s="32"/>
      <c r="BS508" s="32"/>
      <c r="BT508" s="32"/>
      <c r="BU508" s="32"/>
      <c r="BV508" s="32"/>
      <c r="BW508" s="32"/>
      <c r="BX508" s="32"/>
      <c r="BY508" s="32"/>
      <c r="BZ508" s="32"/>
      <c r="CA508" s="32"/>
      <c r="CB508" s="32"/>
      <c r="CC508" s="32"/>
      <c r="CD508" s="32"/>
    </row>
    <row r="509" spans="1:8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181"/>
      <c r="S509" s="181"/>
      <c r="T509" s="181"/>
      <c r="U509" s="181"/>
      <c r="V509" s="181"/>
      <c r="W509" s="181"/>
      <c r="X509" s="181"/>
      <c r="Y509" s="181"/>
      <c r="Z509" s="181"/>
      <c r="AA509" s="181"/>
      <c r="AB509" s="181"/>
      <c r="AC509" s="181"/>
      <c r="AD509" s="181"/>
      <c r="AE509" s="181"/>
      <c r="AF509" s="181"/>
      <c r="AG509" s="181"/>
      <c r="AH509" s="181"/>
      <c r="AI509" s="181"/>
      <c r="AJ509" s="181"/>
      <c r="AK509" s="181"/>
      <c r="AL509" s="181"/>
      <c r="AM509" s="181"/>
      <c r="AN509" s="181"/>
      <c r="AO509" s="181"/>
      <c r="AP509" s="181"/>
      <c r="AQ509" s="181"/>
      <c r="AR509" s="181"/>
      <c r="AS509" s="181"/>
      <c r="AT509" s="181"/>
      <c r="AU509" s="181"/>
      <c r="AV509" s="181"/>
      <c r="AW509" s="181"/>
      <c r="AX509" s="181"/>
      <c r="AY509" s="181"/>
      <c r="AZ509" s="181"/>
      <c r="BA509" s="181"/>
      <c r="BB509" s="32"/>
      <c r="BC509" s="32"/>
      <c r="BD509" s="32"/>
      <c r="BE509" s="32"/>
      <c r="BF509" s="32"/>
      <c r="BG509" s="32"/>
      <c r="BH509" s="32"/>
      <c r="BI509" s="32"/>
      <c r="BJ509" s="32"/>
      <c r="BK509" s="32"/>
      <c r="BL509" s="32"/>
      <c r="BM509" s="32"/>
      <c r="BN509" s="32"/>
      <c r="BO509" s="32"/>
      <c r="BP509" s="32"/>
      <c r="BQ509" s="32"/>
      <c r="BR509" s="32"/>
      <c r="BS509" s="32"/>
      <c r="BT509" s="32"/>
      <c r="BU509" s="32"/>
      <c r="BV509" s="32"/>
      <c r="BW509" s="32"/>
      <c r="BX509" s="32"/>
      <c r="BY509" s="32"/>
      <c r="BZ509" s="32"/>
      <c r="CA509" s="32"/>
      <c r="CB509" s="32"/>
      <c r="CC509" s="32"/>
      <c r="CD509" s="32"/>
    </row>
    <row r="510" spans="1:8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181"/>
      <c r="S510" s="181"/>
      <c r="T510" s="181"/>
      <c r="U510" s="181"/>
      <c r="V510" s="181"/>
      <c r="W510" s="181"/>
      <c r="X510" s="181"/>
      <c r="Y510" s="181"/>
      <c r="Z510" s="181"/>
      <c r="AA510" s="181"/>
      <c r="AB510" s="181"/>
      <c r="AC510" s="181"/>
      <c r="AD510" s="181"/>
      <c r="AE510" s="181"/>
      <c r="AF510" s="181"/>
      <c r="AG510" s="181"/>
      <c r="AH510" s="181"/>
      <c r="AI510" s="181"/>
      <c r="AJ510" s="181"/>
      <c r="AK510" s="181"/>
      <c r="AL510" s="181"/>
      <c r="AM510" s="181"/>
      <c r="AN510" s="181"/>
      <c r="AO510" s="181"/>
      <c r="AP510" s="181"/>
      <c r="AQ510" s="181"/>
      <c r="AR510" s="181"/>
      <c r="AS510" s="181"/>
      <c r="AT510" s="181"/>
      <c r="AU510" s="181"/>
      <c r="AV510" s="181"/>
      <c r="AW510" s="181"/>
      <c r="AX510" s="181"/>
      <c r="AY510" s="181"/>
      <c r="AZ510" s="181"/>
      <c r="BA510" s="181"/>
      <c r="BB510" s="32"/>
      <c r="BC510" s="32"/>
      <c r="BD510" s="32"/>
      <c r="BE510" s="32"/>
      <c r="BF510" s="32"/>
      <c r="BG510" s="32"/>
      <c r="BH510" s="32"/>
      <c r="BI510" s="32"/>
      <c r="BJ510" s="32"/>
      <c r="BK510" s="32"/>
      <c r="BL510" s="32"/>
      <c r="BM510" s="32"/>
      <c r="BN510" s="32"/>
      <c r="BO510" s="32"/>
      <c r="BP510" s="32"/>
      <c r="BQ510" s="32"/>
      <c r="BR510" s="32"/>
      <c r="BS510" s="32"/>
      <c r="BT510" s="32"/>
      <c r="BU510" s="32"/>
      <c r="BV510" s="32"/>
      <c r="BW510" s="32"/>
      <c r="BX510" s="32"/>
      <c r="BY510" s="32"/>
      <c r="BZ510" s="32"/>
      <c r="CA510" s="32"/>
      <c r="CB510" s="32"/>
      <c r="CC510" s="32"/>
      <c r="CD510" s="32"/>
    </row>
    <row r="511" spans="1:8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181"/>
      <c r="S511" s="181"/>
      <c r="T511" s="181"/>
      <c r="U511" s="181"/>
      <c r="V511" s="181"/>
      <c r="W511" s="181"/>
      <c r="X511" s="181"/>
      <c r="Y511" s="181"/>
      <c r="Z511" s="181"/>
      <c r="AA511" s="181"/>
      <c r="AB511" s="181"/>
      <c r="AC511" s="181"/>
      <c r="AD511" s="181"/>
      <c r="AE511" s="181"/>
      <c r="AF511" s="181"/>
      <c r="AG511" s="181"/>
      <c r="AH511" s="181"/>
      <c r="AI511" s="181"/>
      <c r="AJ511" s="181"/>
      <c r="AK511" s="181"/>
      <c r="AL511" s="181"/>
      <c r="AM511" s="181"/>
      <c r="AN511" s="181"/>
      <c r="AO511" s="181"/>
      <c r="AP511" s="181"/>
      <c r="AQ511" s="181"/>
      <c r="AR511" s="181"/>
      <c r="AS511" s="181"/>
      <c r="AT511" s="181"/>
      <c r="AU511" s="181"/>
      <c r="AV511" s="181"/>
      <c r="AW511" s="181"/>
      <c r="AX511" s="181"/>
      <c r="AY511" s="181"/>
      <c r="AZ511" s="181"/>
      <c r="BA511" s="181"/>
      <c r="BB511" s="32"/>
      <c r="BC511" s="32"/>
      <c r="BD511" s="32"/>
      <c r="BE511" s="32"/>
      <c r="BF511" s="32"/>
      <c r="BG511" s="32"/>
      <c r="BH511" s="32"/>
      <c r="BI511" s="32"/>
      <c r="BJ511" s="32"/>
      <c r="BK511" s="32"/>
      <c r="BL511" s="32"/>
      <c r="BM511" s="32"/>
      <c r="BN511" s="32"/>
      <c r="BO511" s="32"/>
      <c r="BP511" s="32"/>
      <c r="BQ511" s="32"/>
      <c r="BR511" s="32"/>
      <c r="BS511" s="32"/>
      <c r="BT511" s="32"/>
      <c r="BU511" s="32"/>
      <c r="BV511" s="32"/>
      <c r="BW511" s="32"/>
      <c r="BX511" s="32"/>
      <c r="BY511" s="32"/>
      <c r="BZ511" s="32"/>
      <c r="CA511" s="32"/>
      <c r="CB511" s="32"/>
      <c r="CC511" s="32"/>
      <c r="CD511" s="32"/>
    </row>
    <row r="512" spans="1:8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181"/>
      <c r="S512" s="181"/>
      <c r="T512" s="181"/>
      <c r="U512" s="181"/>
      <c r="V512" s="181"/>
      <c r="W512" s="181"/>
      <c r="X512" s="181"/>
      <c r="Y512" s="181"/>
      <c r="Z512" s="181"/>
      <c r="AA512" s="181"/>
      <c r="AB512" s="181"/>
      <c r="AC512" s="181"/>
      <c r="AD512" s="181"/>
      <c r="AE512" s="181"/>
      <c r="AF512" s="181"/>
      <c r="AG512" s="181"/>
      <c r="AH512" s="181"/>
      <c r="AI512" s="181"/>
      <c r="AJ512" s="181"/>
      <c r="AK512" s="181"/>
      <c r="AL512" s="181"/>
      <c r="AM512" s="181"/>
      <c r="AN512" s="181"/>
      <c r="AO512" s="181"/>
      <c r="AP512" s="181"/>
      <c r="AQ512" s="181"/>
      <c r="AR512" s="181"/>
      <c r="AS512" s="181"/>
      <c r="AT512" s="181"/>
      <c r="AU512" s="181"/>
      <c r="AV512" s="181"/>
      <c r="AW512" s="181"/>
      <c r="AX512" s="181"/>
      <c r="AY512" s="181"/>
      <c r="AZ512" s="181"/>
      <c r="BA512" s="181"/>
      <c r="BB512" s="32"/>
      <c r="BC512" s="32"/>
      <c r="BD512" s="32"/>
      <c r="BE512" s="32"/>
      <c r="BF512" s="32"/>
      <c r="BG512" s="32"/>
      <c r="BH512" s="32"/>
      <c r="BI512" s="32"/>
      <c r="BJ512" s="32"/>
      <c r="BK512" s="32"/>
      <c r="BL512" s="32"/>
      <c r="BM512" s="32"/>
      <c r="BN512" s="32"/>
      <c r="BO512" s="32"/>
      <c r="BP512" s="32"/>
      <c r="BQ512" s="32"/>
      <c r="BR512" s="32"/>
      <c r="BS512" s="32"/>
      <c r="BT512" s="32"/>
      <c r="BU512" s="32"/>
      <c r="BV512" s="32"/>
      <c r="BW512" s="32"/>
      <c r="BX512" s="32"/>
      <c r="BY512" s="32"/>
      <c r="BZ512" s="32"/>
      <c r="CA512" s="32"/>
      <c r="CB512" s="32"/>
      <c r="CC512" s="32"/>
      <c r="CD512" s="32"/>
    </row>
    <row r="513" spans="1:8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181"/>
      <c r="S513" s="181"/>
      <c r="T513" s="181"/>
      <c r="U513" s="181"/>
      <c r="V513" s="181"/>
      <c r="W513" s="181"/>
      <c r="X513" s="181"/>
      <c r="Y513" s="181"/>
      <c r="Z513" s="181"/>
      <c r="AA513" s="181"/>
      <c r="AB513" s="181"/>
      <c r="AC513" s="181"/>
      <c r="AD513" s="181"/>
      <c r="AE513" s="181"/>
      <c r="AF513" s="181"/>
      <c r="AG513" s="181"/>
      <c r="AH513" s="181"/>
      <c r="AI513" s="181"/>
      <c r="AJ513" s="181"/>
      <c r="AK513" s="181"/>
      <c r="AL513" s="181"/>
      <c r="AM513" s="181"/>
      <c r="AN513" s="181"/>
      <c r="AO513" s="181"/>
      <c r="AP513" s="181"/>
      <c r="AQ513" s="181"/>
      <c r="AR513" s="181"/>
      <c r="AS513" s="181"/>
      <c r="AT513" s="181"/>
      <c r="AU513" s="181"/>
      <c r="AV513" s="181"/>
      <c r="AW513" s="181"/>
      <c r="AX513" s="181"/>
      <c r="AY513" s="181"/>
      <c r="AZ513" s="181"/>
      <c r="BA513" s="181"/>
      <c r="BB513" s="32"/>
      <c r="BC513" s="32"/>
      <c r="BD513" s="32"/>
      <c r="BE513" s="32"/>
      <c r="BF513" s="32"/>
      <c r="BG513" s="32"/>
      <c r="BH513" s="32"/>
      <c r="BI513" s="32"/>
      <c r="BJ513" s="32"/>
      <c r="BK513" s="32"/>
      <c r="BL513" s="32"/>
      <c r="BM513" s="32"/>
      <c r="BN513" s="32"/>
      <c r="BO513" s="32"/>
      <c r="BP513" s="32"/>
      <c r="BQ513" s="32"/>
      <c r="BR513" s="32"/>
      <c r="BS513" s="32"/>
      <c r="BT513" s="32"/>
      <c r="BU513" s="32"/>
      <c r="BV513" s="32"/>
      <c r="BW513" s="32"/>
      <c r="BX513" s="32"/>
      <c r="BY513" s="32"/>
      <c r="BZ513" s="32"/>
      <c r="CA513" s="32"/>
      <c r="CB513" s="32"/>
      <c r="CC513" s="32"/>
      <c r="CD513" s="32"/>
    </row>
    <row r="514" spans="1:8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181"/>
      <c r="S514" s="181"/>
      <c r="T514" s="181"/>
      <c r="U514" s="181"/>
      <c r="V514" s="181"/>
      <c r="W514" s="181"/>
      <c r="X514" s="181"/>
      <c r="Y514" s="181"/>
      <c r="Z514" s="181"/>
      <c r="AA514" s="181"/>
      <c r="AB514" s="181"/>
      <c r="AC514" s="181"/>
      <c r="AD514" s="181"/>
      <c r="AE514" s="181"/>
      <c r="AF514" s="181"/>
      <c r="AG514" s="181"/>
      <c r="AH514" s="181"/>
      <c r="AI514" s="181"/>
      <c r="AJ514" s="181"/>
      <c r="AK514" s="181"/>
      <c r="AL514" s="181"/>
      <c r="AM514" s="181"/>
      <c r="AN514" s="181"/>
      <c r="AO514" s="181"/>
      <c r="AP514" s="181"/>
      <c r="AQ514" s="181"/>
      <c r="AR514" s="181"/>
      <c r="AS514" s="181"/>
      <c r="AT514" s="181"/>
      <c r="AU514" s="181"/>
      <c r="AV514" s="181"/>
      <c r="AW514" s="181"/>
      <c r="AX514" s="181"/>
      <c r="AY514" s="181"/>
      <c r="AZ514" s="181"/>
      <c r="BA514" s="181"/>
      <c r="BB514" s="32"/>
      <c r="BC514" s="32"/>
      <c r="BD514" s="32"/>
      <c r="BE514" s="32"/>
      <c r="BF514" s="32"/>
      <c r="BG514" s="32"/>
      <c r="BH514" s="32"/>
      <c r="BI514" s="32"/>
      <c r="BJ514" s="32"/>
      <c r="BK514" s="32"/>
      <c r="BL514" s="32"/>
      <c r="BM514" s="32"/>
      <c r="BN514" s="32"/>
      <c r="BO514" s="32"/>
      <c r="BP514" s="32"/>
      <c r="BQ514" s="32"/>
      <c r="BR514" s="32"/>
      <c r="BS514" s="32"/>
      <c r="BT514" s="32"/>
      <c r="BU514" s="32"/>
      <c r="BV514" s="32"/>
      <c r="BW514" s="32"/>
      <c r="BX514" s="32"/>
      <c r="BY514" s="32"/>
      <c r="BZ514" s="32"/>
      <c r="CA514" s="32"/>
      <c r="CB514" s="32"/>
      <c r="CC514" s="32"/>
      <c r="CD514" s="32"/>
    </row>
    <row r="515" spans="1:8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181"/>
      <c r="S515" s="181"/>
      <c r="T515" s="181"/>
      <c r="U515" s="181"/>
      <c r="V515" s="181"/>
      <c r="W515" s="181"/>
      <c r="X515" s="181"/>
      <c r="Y515" s="181"/>
      <c r="Z515" s="181"/>
      <c r="AA515" s="181"/>
      <c r="AB515" s="181"/>
      <c r="AC515" s="181"/>
      <c r="AD515" s="181"/>
      <c r="AE515" s="181"/>
      <c r="AF515" s="181"/>
      <c r="AG515" s="181"/>
      <c r="AH515" s="181"/>
      <c r="AI515" s="181"/>
      <c r="AJ515" s="181"/>
      <c r="AK515" s="181"/>
      <c r="AL515" s="181"/>
      <c r="AM515" s="181"/>
      <c r="AN515" s="181"/>
      <c r="AO515" s="181"/>
      <c r="AP515" s="181"/>
      <c r="AQ515" s="181"/>
      <c r="AR515" s="181"/>
      <c r="AS515" s="181"/>
      <c r="AT515" s="181"/>
      <c r="AU515" s="181"/>
      <c r="AV515" s="181"/>
      <c r="AW515" s="181"/>
      <c r="AX515" s="181"/>
      <c r="AY515" s="181"/>
      <c r="AZ515" s="181"/>
      <c r="BA515" s="181"/>
      <c r="BB515" s="32"/>
      <c r="BC515" s="32"/>
      <c r="BD515" s="32"/>
      <c r="BE515" s="32"/>
      <c r="BF515" s="32"/>
      <c r="BG515" s="32"/>
      <c r="BH515" s="32"/>
      <c r="BI515" s="32"/>
      <c r="BJ515" s="32"/>
      <c r="BK515" s="32"/>
      <c r="BL515" s="32"/>
      <c r="BM515" s="32"/>
      <c r="BN515" s="32"/>
      <c r="BO515" s="32"/>
      <c r="BP515" s="32"/>
      <c r="BQ515" s="32"/>
      <c r="BR515" s="32"/>
      <c r="BS515" s="32"/>
      <c r="BT515" s="32"/>
      <c r="BU515" s="32"/>
      <c r="BV515" s="32"/>
      <c r="BW515" s="32"/>
      <c r="BX515" s="32"/>
      <c r="BY515" s="32"/>
      <c r="BZ515" s="32"/>
      <c r="CA515" s="32"/>
      <c r="CB515" s="32"/>
      <c r="CC515" s="32"/>
      <c r="CD515" s="32"/>
    </row>
    <row r="516" spans="1:8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181"/>
      <c r="S516" s="181"/>
      <c r="T516" s="181"/>
      <c r="U516" s="181"/>
      <c r="V516" s="181"/>
      <c r="W516" s="181"/>
      <c r="X516" s="181"/>
      <c r="Y516" s="181"/>
      <c r="Z516" s="181"/>
      <c r="AA516" s="181"/>
      <c r="AB516" s="181"/>
      <c r="AC516" s="181"/>
      <c r="AD516" s="181"/>
      <c r="AE516" s="181"/>
      <c r="AF516" s="181"/>
      <c r="AG516" s="181"/>
      <c r="AH516" s="181"/>
      <c r="AI516" s="181"/>
      <c r="AJ516" s="181"/>
      <c r="AK516" s="181"/>
      <c r="AL516" s="181"/>
      <c r="AM516" s="181"/>
      <c r="AN516" s="181"/>
      <c r="AO516" s="181"/>
      <c r="AP516" s="181"/>
      <c r="AQ516" s="181"/>
      <c r="AR516" s="181"/>
      <c r="AS516" s="181"/>
      <c r="AT516" s="181"/>
      <c r="AU516" s="181"/>
      <c r="AV516" s="181"/>
      <c r="AW516" s="181"/>
      <c r="AX516" s="181"/>
      <c r="AY516" s="181"/>
      <c r="AZ516" s="181"/>
      <c r="BA516" s="181"/>
      <c r="BB516" s="32"/>
      <c r="BC516" s="32"/>
      <c r="BD516" s="32"/>
      <c r="BE516" s="32"/>
      <c r="BF516" s="32"/>
      <c r="BG516" s="32"/>
      <c r="BH516" s="32"/>
      <c r="BI516" s="32"/>
      <c r="BJ516" s="32"/>
      <c r="BK516" s="32"/>
      <c r="BL516" s="32"/>
      <c r="BM516" s="32"/>
      <c r="BN516" s="32"/>
      <c r="BO516" s="32"/>
      <c r="BP516" s="32"/>
      <c r="BQ516" s="32"/>
      <c r="BR516" s="32"/>
      <c r="BS516" s="32"/>
      <c r="BT516" s="32"/>
      <c r="BU516" s="32"/>
      <c r="BV516" s="32"/>
      <c r="BW516" s="32"/>
      <c r="BX516" s="32"/>
      <c r="BY516" s="32"/>
      <c r="BZ516" s="32"/>
      <c r="CA516" s="32"/>
      <c r="CB516" s="32"/>
      <c r="CC516" s="32"/>
      <c r="CD516" s="32"/>
    </row>
    <row r="517" spans="1:8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181"/>
      <c r="S517" s="181"/>
      <c r="T517" s="181"/>
      <c r="U517" s="181"/>
      <c r="V517" s="181"/>
      <c r="W517" s="181"/>
      <c r="X517" s="181"/>
      <c r="Y517" s="181"/>
      <c r="Z517" s="181"/>
      <c r="AA517" s="181"/>
      <c r="AB517" s="181"/>
      <c r="AC517" s="181"/>
      <c r="AD517" s="181"/>
      <c r="AE517" s="181"/>
      <c r="AF517" s="181"/>
      <c r="AG517" s="181"/>
      <c r="AH517" s="181"/>
      <c r="AI517" s="181"/>
      <c r="AJ517" s="181"/>
      <c r="AK517" s="181"/>
      <c r="AL517" s="181"/>
      <c r="AM517" s="181"/>
      <c r="AN517" s="181"/>
      <c r="AO517" s="181"/>
      <c r="AP517" s="181"/>
      <c r="AQ517" s="181"/>
      <c r="AR517" s="181"/>
      <c r="AS517" s="181"/>
      <c r="AT517" s="181"/>
      <c r="AU517" s="181"/>
      <c r="AV517" s="181"/>
      <c r="AW517" s="181"/>
      <c r="AX517" s="181"/>
      <c r="AY517" s="181"/>
      <c r="AZ517" s="181"/>
      <c r="BA517" s="181"/>
      <c r="BB517" s="32"/>
      <c r="BC517" s="32"/>
      <c r="BD517" s="32"/>
      <c r="BE517" s="32"/>
      <c r="BF517" s="32"/>
      <c r="BG517" s="32"/>
      <c r="BH517" s="32"/>
      <c r="BI517" s="32"/>
      <c r="BJ517" s="32"/>
      <c r="BK517" s="32"/>
      <c r="BL517" s="32"/>
      <c r="BM517" s="32"/>
      <c r="BN517" s="32"/>
      <c r="BO517" s="32"/>
      <c r="BP517" s="32"/>
      <c r="BQ517" s="32"/>
      <c r="BR517" s="32"/>
      <c r="BS517" s="32"/>
      <c r="BT517" s="32"/>
      <c r="BU517" s="32"/>
      <c r="BV517" s="32"/>
      <c r="BW517" s="32"/>
      <c r="BX517" s="32"/>
      <c r="BY517" s="32"/>
      <c r="BZ517" s="32"/>
      <c r="CA517" s="32"/>
      <c r="CB517" s="32"/>
      <c r="CC517" s="32"/>
      <c r="CD517" s="32"/>
    </row>
    <row r="518" spans="1:8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181"/>
      <c r="S518" s="181"/>
      <c r="T518" s="181"/>
      <c r="U518" s="181"/>
      <c r="V518" s="181"/>
      <c r="W518" s="181"/>
      <c r="X518" s="181"/>
      <c r="Y518" s="181"/>
      <c r="Z518" s="181"/>
      <c r="AA518" s="181"/>
      <c r="AB518" s="181"/>
      <c r="AC518" s="181"/>
      <c r="AD518" s="181"/>
      <c r="AE518" s="181"/>
      <c r="AF518" s="181"/>
      <c r="AG518" s="181"/>
      <c r="AH518" s="181"/>
      <c r="AI518" s="181"/>
      <c r="AJ518" s="181"/>
      <c r="AK518" s="181"/>
      <c r="AL518" s="181"/>
      <c r="AM518" s="181"/>
      <c r="AN518" s="181"/>
      <c r="AO518" s="181"/>
      <c r="AP518" s="181"/>
      <c r="AQ518" s="181"/>
      <c r="AR518" s="181"/>
      <c r="AS518" s="181"/>
      <c r="AT518" s="181"/>
      <c r="AU518" s="181"/>
      <c r="AV518" s="181"/>
      <c r="AW518" s="181"/>
      <c r="AX518" s="181"/>
      <c r="AY518" s="181"/>
      <c r="AZ518" s="181"/>
      <c r="BA518" s="181"/>
      <c r="BB518" s="32"/>
      <c r="BC518" s="32"/>
      <c r="BD518" s="32"/>
      <c r="BE518" s="32"/>
      <c r="BF518" s="32"/>
      <c r="BG518" s="32"/>
      <c r="BH518" s="32"/>
      <c r="BI518" s="32"/>
      <c r="BJ518" s="32"/>
      <c r="BK518" s="32"/>
      <c r="BL518" s="32"/>
      <c r="BM518" s="32"/>
      <c r="BN518" s="32"/>
      <c r="BO518" s="32"/>
      <c r="BP518" s="32"/>
      <c r="BQ518" s="32"/>
      <c r="BR518" s="32"/>
      <c r="BS518" s="32"/>
      <c r="BT518" s="32"/>
      <c r="BU518" s="32"/>
      <c r="BV518" s="32"/>
      <c r="BW518" s="32"/>
      <c r="BX518" s="32"/>
      <c r="BY518" s="32"/>
      <c r="BZ518" s="32"/>
      <c r="CA518" s="32"/>
      <c r="CB518" s="32"/>
      <c r="CC518" s="32"/>
      <c r="CD518" s="32"/>
    </row>
    <row r="519" spans="1:8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181"/>
      <c r="S519" s="181"/>
      <c r="T519" s="181"/>
      <c r="U519" s="181"/>
      <c r="V519" s="181"/>
      <c r="W519" s="181"/>
      <c r="X519" s="181"/>
      <c r="Y519" s="181"/>
      <c r="Z519" s="181"/>
      <c r="AA519" s="181"/>
      <c r="AB519" s="181"/>
      <c r="AC519" s="181"/>
      <c r="AD519" s="181"/>
      <c r="AE519" s="181"/>
      <c r="AF519" s="181"/>
      <c r="AG519" s="181"/>
      <c r="AH519" s="181"/>
      <c r="AI519" s="181"/>
      <c r="AJ519" s="181"/>
      <c r="AK519" s="181"/>
      <c r="AL519" s="181"/>
      <c r="AM519" s="181"/>
      <c r="AN519" s="181"/>
      <c r="AO519" s="181"/>
      <c r="AP519" s="181"/>
      <c r="AQ519" s="181"/>
      <c r="AR519" s="181"/>
      <c r="AS519" s="181"/>
      <c r="AT519" s="181"/>
      <c r="AU519" s="181"/>
      <c r="AV519" s="181"/>
      <c r="AW519" s="181"/>
      <c r="AX519" s="181"/>
      <c r="AY519" s="181"/>
      <c r="AZ519" s="181"/>
      <c r="BA519" s="181"/>
      <c r="BB519" s="32"/>
      <c r="BC519" s="32"/>
      <c r="BD519" s="32"/>
      <c r="BE519" s="32"/>
      <c r="BF519" s="32"/>
      <c r="BG519" s="32"/>
      <c r="BH519" s="32"/>
      <c r="BI519" s="32"/>
      <c r="BJ519" s="32"/>
      <c r="BK519" s="32"/>
      <c r="BL519" s="32"/>
      <c r="BM519" s="32"/>
      <c r="BN519" s="32"/>
      <c r="BO519" s="32"/>
      <c r="BP519" s="32"/>
      <c r="BQ519" s="32"/>
      <c r="BR519" s="32"/>
      <c r="BS519" s="32"/>
      <c r="BT519" s="32"/>
      <c r="BU519" s="32"/>
      <c r="BV519" s="32"/>
      <c r="BW519" s="32"/>
      <c r="BX519" s="32"/>
      <c r="BY519" s="32"/>
      <c r="BZ519" s="32"/>
      <c r="CA519" s="32"/>
      <c r="CB519" s="32"/>
      <c r="CC519" s="32"/>
      <c r="CD519" s="32"/>
    </row>
    <row r="520" spans="1:8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181"/>
      <c r="S520" s="181"/>
      <c r="T520" s="181"/>
      <c r="U520" s="181"/>
      <c r="V520" s="181"/>
      <c r="W520" s="181"/>
      <c r="X520" s="181"/>
      <c r="Y520" s="181"/>
      <c r="Z520" s="181"/>
      <c r="AA520" s="181"/>
      <c r="AB520" s="181"/>
      <c r="AC520" s="181"/>
      <c r="AD520" s="181"/>
      <c r="AE520" s="181"/>
      <c r="AF520" s="181"/>
      <c r="AG520" s="181"/>
      <c r="AH520" s="181"/>
      <c r="AI520" s="181"/>
      <c r="AJ520" s="181"/>
      <c r="AK520" s="181"/>
      <c r="AL520" s="181"/>
      <c r="AM520" s="181"/>
      <c r="AN520" s="181"/>
      <c r="AO520" s="181"/>
      <c r="AP520" s="181"/>
      <c r="AQ520" s="181"/>
      <c r="AR520" s="181"/>
      <c r="AS520" s="181"/>
      <c r="AT520" s="181"/>
      <c r="AU520" s="181"/>
      <c r="AV520" s="181"/>
      <c r="AW520" s="181"/>
      <c r="AX520" s="181"/>
      <c r="AY520" s="181"/>
      <c r="AZ520" s="181"/>
      <c r="BA520" s="181"/>
      <c r="BB520" s="32"/>
      <c r="BC520" s="32"/>
      <c r="BD520" s="32"/>
      <c r="BE520" s="32"/>
      <c r="BF520" s="32"/>
      <c r="BG520" s="32"/>
      <c r="BH520" s="32"/>
      <c r="BI520" s="32"/>
      <c r="BJ520" s="32"/>
      <c r="BK520" s="32"/>
      <c r="BL520" s="32"/>
      <c r="BM520" s="32"/>
      <c r="BN520" s="32"/>
      <c r="BO520" s="32"/>
      <c r="BP520" s="32"/>
      <c r="BQ520" s="32"/>
      <c r="BR520" s="32"/>
      <c r="BS520" s="32"/>
      <c r="BT520" s="32"/>
      <c r="BU520" s="32"/>
      <c r="BV520" s="32"/>
      <c r="BW520" s="32"/>
      <c r="BX520" s="32"/>
      <c r="BY520" s="32"/>
      <c r="BZ520" s="32"/>
      <c r="CA520" s="32"/>
      <c r="CB520" s="32"/>
      <c r="CC520" s="32"/>
      <c r="CD520" s="32"/>
    </row>
    <row r="521" spans="1:8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181"/>
      <c r="S521" s="181"/>
      <c r="T521" s="181"/>
      <c r="U521" s="181"/>
      <c r="V521" s="181"/>
      <c r="W521" s="181"/>
      <c r="X521" s="181"/>
      <c r="Y521" s="181"/>
      <c r="Z521" s="181"/>
      <c r="AA521" s="181"/>
      <c r="AB521" s="181"/>
      <c r="AC521" s="181"/>
      <c r="AD521" s="181"/>
      <c r="AE521" s="181"/>
      <c r="AF521" s="181"/>
      <c r="AG521" s="181"/>
      <c r="AH521" s="181"/>
      <c r="AI521" s="181"/>
      <c r="AJ521" s="181"/>
      <c r="AK521" s="181"/>
      <c r="AL521" s="181"/>
      <c r="AM521" s="181"/>
      <c r="AN521" s="181"/>
      <c r="AO521" s="181"/>
      <c r="AP521" s="181"/>
      <c r="AQ521" s="181"/>
      <c r="AR521" s="181"/>
      <c r="AS521" s="181"/>
      <c r="AT521" s="181"/>
      <c r="AU521" s="181"/>
      <c r="AV521" s="181"/>
      <c r="AW521" s="181"/>
      <c r="AX521" s="181"/>
      <c r="AY521" s="181"/>
      <c r="AZ521" s="181"/>
      <c r="BA521" s="181"/>
      <c r="BB521" s="32"/>
      <c r="BC521" s="32"/>
      <c r="BD521" s="32"/>
      <c r="BE521" s="32"/>
      <c r="BF521" s="32"/>
      <c r="BG521" s="32"/>
      <c r="BH521" s="32"/>
      <c r="BI521" s="32"/>
      <c r="BJ521" s="32"/>
      <c r="BK521" s="32"/>
      <c r="BL521" s="32"/>
      <c r="BM521" s="32"/>
      <c r="BN521" s="32"/>
      <c r="BO521" s="32"/>
      <c r="BP521" s="32"/>
      <c r="BQ521" s="32"/>
      <c r="BR521" s="32"/>
      <c r="BS521" s="32"/>
      <c r="BT521" s="32"/>
      <c r="BU521" s="32"/>
      <c r="BV521" s="32"/>
      <c r="BW521" s="32"/>
      <c r="BX521" s="32"/>
      <c r="BY521" s="32"/>
      <c r="BZ521" s="32"/>
      <c r="CA521" s="32"/>
      <c r="CB521" s="32"/>
      <c r="CC521" s="32"/>
      <c r="CD521" s="32"/>
    </row>
    <row r="522" spans="1:8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181"/>
      <c r="S522" s="181"/>
      <c r="T522" s="181"/>
      <c r="U522" s="181"/>
      <c r="V522" s="181"/>
      <c r="W522" s="181"/>
      <c r="X522" s="181"/>
      <c r="Y522" s="181"/>
      <c r="Z522" s="181"/>
      <c r="AA522" s="181"/>
      <c r="AB522" s="181"/>
      <c r="AC522" s="181"/>
      <c r="AD522" s="181"/>
      <c r="AE522" s="181"/>
      <c r="AF522" s="181"/>
      <c r="AG522" s="181"/>
      <c r="AH522" s="181"/>
      <c r="AI522" s="181"/>
      <c r="AJ522" s="181"/>
      <c r="AK522" s="181"/>
      <c r="AL522" s="181"/>
      <c r="AM522" s="181"/>
      <c r="AN522" s="181"/>
      <c r="AO522" s="181"/>
      <c r="AP522" s="181"/>
      <c r="AQ522" s="181"/>
      <c r="AR522" s="181"/>
      <c r="AS522" s="181"/>
      <c r="AT522" s="181"/>
      <c r="AU522" s="181"/>
      <c r="AV522" s="181"/>
      <c r="AW522" s="181"/>
      <c r="AX522" s="181"/>
      <c r="AY522" s="181"/>
      <c r="AZ522" s="181"/>
      <c r="BA522" s="181"/>
      <c r="BB522" s="32"/>
      <c r="BC522" s="32"/>
      <c r="BD522" s="32"/>
      <c r="BE522" s="32"/>
      <c r="BF522" s="32"/>
      <c r="BG522" s="32"/>
      <c r="BH522" s="32"/>
      <c r="BI522" s="32"/>
      <c r="BJ522" s="32"/>
      <c r="BK522" s="32"/>
      <c r="BL522" s="32"/>
      <c r="BM522" s="32"/>
      <c r="BN522" s="32"/>
      <c r="BO522" s="32"/>
      <c r="BP522" s="32"/>
      <c r="BQ522" s="32"/>
      <c r="BR522" s="32"/>
      <c r="BS522" s="32"/>
      <c r="BT522" s="32"/>
      <c r="BU522" s="32"/>
      <c r="BV522" s="32"/>
      <c r="BW522" s="32"/>
      <c r="BX522" s="32"/>
      <c r="BY522" s="32"/>
      <c r="BZ522" s="32"/>
      <c r="CA522" s="32"/>
      <c r="CB522" s="32"/>
      <c r="CC522" s="32"/>
      <c r="CD522" s="32"/>
    </row>
    <row r="523" spans="1:8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181"/>
      <c r="S523" s="181"/>
      <c r="T523" s="181"/>
      <c r="U523" s="181"/>
      <c r="V523" s="181"/>
      <c r="W523" s="181"/>
      <c r="X523" s="181"/>
      <c r="Y523" s="181"/>
      <c r="Z523" s="181"/>
      <c r="AA523" s="181"/>
      <c r="AB523" s="181"/>
      <c r="AC523" s="181"/>
      <c r="AD523" s="181"/>
      <c r="AE523" s="181"/>
      <c r="AF523" s="181"/>
      <c r="AG523" s="181"/>
      <c r="AH523" s="181"/>
      <c r="AI523" s="181"/>
      <c r="AJ523" s="181"/>
      <c r="AK523" s="181"/>
      <c r="AL523" s="181"/>
      <c r="AM523" s="181"/>
      <c r="AN523" s="181"/>
      <c r="AO523" s="181"/>
      <c r="AP523" s="181"/>
      <c r="AQ523" s="181"/>
      <c r="AR523" s="181"/>
      <c r="AS523" s="181"/>
      <c r="AT523" s="181"/>
      <c r="AU523" s="181"/>
      <c r="AV523" s="181"/>
      <c r="AW523" s="181"/>
      <c r="AX523" s="181"/>
      <c r="AY523" s="181"/>
      <c r="AZ523" s="181"/>
      <c r="BA523" s="181"/>
      <c r="BB523" s="32"/>
      <c r="BC523" s="32"/>
      <c r="BD523" s="32"/>
      <c r="BE523" s="32"/>
      <c r="BF523" s="32"/>
      <c r="BG523" s="32"/>
      <c r="BH523" s="32"/>
      <c r="BI523" s="32"/>
      <c r="BJ523" s="32"/>
      <c r="BK523" s="32"/>
      <c r="BL523" s="32"/>
      <c r="BM523" s="32"/>
      <c r="BN523" s="32"/>
      <c r="BO523" s="32"/>
      <c r="BP523" s="32"/>
      <c r="BQ523" s="32"/>
      <c r="BR523" s="32"/>
      <c r="BS523" s="32"/>
      <c r="BT523" s="32"/>
      <c r="BU523" s="32"/>
      <c r="BV523" s="32"/>
      <c r="BW523" s="32"/>
      <c r="BX523" s="32"/>
      <c r="BY523" s="32"/>
      <c r="BZ523" s="32"/>
      <c r="CA523" s="32"/>
      <c r="CB523" s="32"/>
      <c r="CC523" s="32"/>
      <c r="CD523" s="32"/>
    </row>
    <row r="524" spans="1:8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181"/>
      <c r="S524" s="181"/>
      <c r="T524" s="181"/>
      <c r="U524" s="181"/>
      <c r="V524" s="181"/>
      <c r="W524" s="181"/>
      <c r="X524" s="181"/>
      <c r="Y524" s="181"/>
      <c r="Z524" s="181"/>
      <c r="AA524" s="181"/>
      <c r="AB524" s="181"/>
      <c r="AC524" s="181"/>
      <c r="AD524" s="181"/>
      <c r="AE524" s="181"/>
      <c r="AF524" s="181"/>
      <c r="AG524" s="181"/>
      <c r="AH524" s="181"/>
      <c r="AI524" s="181"/>
      <c r="AJ524" s="181"/>
      <c r="AK524" s="181"/>
      <c r="AL524" s="181"/>
      <c r="AM524" s="181"/>
      <c r="AN524" s="181"/>
      <c r="AO524" s="181"/>
      <c r="AP524" s="181"/>
      <c r="AQ524" s="181"/>
      <c r="AR524" s="181"/>
      <c r="AS524" s="181"/>
      <c r="AT524" s="181"/>
      <c r="AU524" s="181"/>
      <c r="AV524" s="181"/>
      <c r="AW524" s="181"/>
      <c r="AX524" s="181"/>
      <c r="AY524" s="181"/>
      <c r="AZ524" s="181"/>
      <c r="BA524" s="181"/>
      <c r="BB524" s="32"/>
      <c r="BC524" s="32"/>
      <c r="BD524" s="32"/>
      <c r="BE524" s="32"/>
      <c r="BF524" s="32"/>
      <c r="BG524" s="32"/>
      <c r="BH524" s="32"/>
      <c r="BI524" s="32"/>
      <c r="BJ524" s="32"/>
      <c r="BK524" s="32"/>
      <c r="BL524" s="32"/>
      <c r="BM524" s="32"/>
      <c r="BN524" s="32"/>
      <c r="BO524" s="32"/>
      <c r="BP524" s="32"/>
      <c r="BQ524" s="32"/>
      <c r="BR524" s="32"/>
      <c r="BS524" s="32"/>
      <c r="BT524" s="32"/>
      <c r="BU524" s="32"/>
      <c r="BV524" s="32"/>
      <c r="BW524" s="32"/>
      <c r="BX524" s="32"/>
      <c r="BY524" s="32"/>
      <c r="BZ524" s="32"/>
      <c r="CA524" s="32"/>
      <c r="CB524" s="32"/>
      <c r="CC524" s="32"/>
      <c r="CD524" s="32"/>
    </row>
    <row r="525" spans="1:8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181"/>
      <c r="S525" s="181"/>
      <c r="T525" s="181"/>
      <c r="U525" s="181"/>
      <c r="V525" s="181"/>
      <c r="W525" s="181"/>
      <c r="X525" s="181"/>
      <c r="Y525" s="181"/>
      <c r="Z525" s="181"/>
      <c r="AA525" s="181"/>
      <c r="AB525" s="181"/>
      <c r="AC525" s="181"/>
      <c r="AD525" s="181"/>
      <c r="AE525" s="181"/>
      <c r="AF525" s="181"/>
      <c r="AG525" s="181"/>
      <c r="AH525" s="181"/>
      <c r="AI525" s="181"/>
      <c r="AJ525" s="181"/>
      <c r="AK525" s="181"/>
      <c r="AL525" s="181"/>
      <c r="AM525" s="181"/>
      <c r="AN525" s="181"/>
      <c r="AO525" s="181"/>
      <c r="AP525" s="181"/>
      <c r="AQ525" s="181"/>
      <c r="AR525" s="181"/>
      <c r="AS525" s="181"/>
      <c r="AT525" s="181"/>
      <c r="AU525" s="181"/>
      <c r="AV525" s="181"/>
      <c r="AW525" s="181"/>
      <c r="AX525" s="181"/>
      <c r="AY525" s="181"/>
      <c r="AZ525" s="181"/>
      <c r="BA525" s="181"/>
      <c r="BB525" s="32"/>
      <c r="BC525" s="32"/>
      <c r="BD525" s="32"/>
      <c r="BE525" s="32"/>
      <c r="BF525" s="32"/>
      <c r="BG525" s="32"/>
      <c r="BH525" s="32"/>
      <c r="BI525" s="32"/>
      <c r="BJ525" s="32"/>
      <c r="BK525" s="32"/>
      <c r="BL525" s="32"/>
      <c r="BM525" s="32"/>
      <c r="BN525" s="32"/>
      <c r="BO525" s="32"/>
      <c r="BP525" s="32"/>
      <c r="BQ525" s="32"/>
      <c r="BR525" s="32"/>
      <c r="BS525" s="32"/>
      <c r="BT525" s="32"/>
      <c r="BU525" s="32"/>
      <c r="BV525" s="32"/>
      <c r="BW525" s="32"/>
      <c r="BX525" s="32"/>
      <c r="BY525" s="32"/>
      <c r="BZ525" s="32"/>
      <c r="CA525" s="32"/>
      <c r="CB525" s="32"/>
      <c r="CC525" s="32"/>
      <c r="CD525" s="32"/>
    </row>
    <row r="526" spans="1:8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181"/>
      <c r="S526" s="181"/>
      <c r="T526" s="181"/>
      <c r="U526" s="181"/>
      <c r="V526" s="181"/>
      <c r="W526" s="181"/>
      <c r="X526" s="181"/>
      <c r="Y526" s="181"/>
      <c r="Z526" s="181"/>
      <c r="AA526" s="181"/>
      <c r="AB526" s="181"/>
      <c r="AC526" s="181"/>
      <c r="AD526" s="181"/>
      <c r="AE526" s="181"/>
      <c r="AF526" s="181"/>
      <c r="AG526" s="181"/>
      <c r="AH526" s="181"/>
      <c r="AI526" s="181"/>
      <c r="AJ526" s="181"/>
      <c r="AK526" s="181"/>
      <c r="AL526" s="181"/>
      <c r="AM526" s="181"/>
      <c r="AN526" s="181"/>
      <c r="AO526" s="181"/>
      <c r="AP526" s="181"/>
      <c r="AQ526" s="181"/>
      <c r="AR526" s="181"/>
      <c r="AS526" s="181"/>
      <c r="AT526" s="181"/>
      <c r="AU526" s="181"/>
      <c r="AV526" s="181"/>
      <c r="AW526" s="181"/>
      <c r="AX526" s="181"/>
      <c r="AY526" s="181"/>
      <c r="AZ526" s="181"/>
      <c r="BA526" s="181"/>
      <c r="BB526" s="32"/>
      <c r="BC526" s="32"/>
      <c r="BD526" s="32"/>
      <c r="BE526" s="32"/>
      <c r="BF526" s="32"/>
      <c r="BG526" s="32"/>
      <c r="BH526" s="32"/>
      <c r="BI526" s="32"/>
      <c r="BJ526" s="32"/>
      <c r="BK526" s="32"/>
      <c r="BL526" s="32"/>
      <c r="BM526" s="32"/>
      <c r="BN526" s="32"/>
      <c r="BO526" s="32"/>
      <c r="BP526" s="32"/>
      <c r="BQ526" s="32"/>
      <c r="BR526" s="32"/>
      <c r="BS526" s="32"/>
      <c r="BT526" s="32"/>
      <c r="BU526" s="32"/>
      <c r="BV526" s="32"/>
      <c r="BW526" s="32"/>
      <c r="BX526" s="32"/>
      <c r="BY526" s="32"/>
      <c r="BZ526" s="32"/>
      <c r="CA526" s="32"/>
      <c r="CB526" s="32"/>
      <c r="CC526" s="32"/>
      <c r="CD526" s="32"/>
    </row>
    <row r="527" spans="1:8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181"/>
      <c r="S527" s="181"/>
      <c r="T527" s="181"/>
      <c r="U527" s="181"/>
      <c r="V527" s="181"/>
      <c r="W527" s="181"/>
      <c r="X527" s="181"/>
      <c r="Y527" s="181"/>
      <c r="Z527" s="181"/>
      <c r="AA527" s="181"/>
      <c r="AB527" s="181"/>
      <c r="AC527" s="181"/>
      <c r="AD527" s="181"/>
      <c r="AE527" s="181"/>
      <c r="AF527" s="181"/>
      <c r="AG527" s="181"/>
      <c r="AH527" s="181"/>
      <c r="AI527" s="181"/>
      <c r="AJ527" s="181"/>
      <c r="AK527" s="181"/>
      <c r="AL527" s="181"/>
      <c r="AM527" s="181"/>
      <c r="AN527" s="181"/>
      <c r="AO527" s="181"/>
      <c r="AP527" s="181"/>
      <c r="AQ527" s="181"/>
      <c r="AR527" s="181"/>
      <c r="AS527" s="181"/>
      <c r="AT527" s="181"/>
      <c r="AU527" s="181"/>
      <c r="AV527" s="181"/>
      <c r="AW527" s="181"/>
      <c r="AX527" s="181"/>
      <c r="AY527" s="181"/>
      <c r="AZ527" s="181"/>
      <c r="BA527" s="181"/>
      <c r="BB527" s="32"/>
      <c r="BC527" s="32"/>
      <c r="BD527" s="32"/>
      <c r="BE527" s="32"/>
      <c r="BF527" s="32"/>
      <c r="BG527" s="32"/>
      <c r="BH527" s="32"/>
      <c r="BI527" s="32"/>
      <c r="BJ527" s="32"/>
      <c r="BK527" s="32"/>
      <c r="BL527" s="32"/>
      <c r="BM527" s="32"/>
      <c r="BN527" s="32"/>
      <c r="BO527" s="32"/>
      <c r="BP527" s="32"/>
      <c r="BQ527" s="32"/>
      <c r="BR527" s="32"/>
      <c r="BS527" s="32"/>
      <c r="BT527" s="32"/>
      <c r="BU527" s="32"/>
      <c r="BV527" s="32"/>
      <c r="BW527" s="32"/>
      <c r="BX527" s="32"/>
      <c r="BY527" s="32"/>
      <c r="BZ527" s="32"/>
      <c r="CA527" s="32"/>
      <c r="CB527" s="32"/>
      <c r="CC527" s="32"/>
      <c r="CD527" s="32"/>
    </row>
    <row r="528" spans="1:8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181"/>
      <c r="S528" s="181"/>
      <c r="T528" s="181"/>
      <c r="U528" s="181"/>
      <c r="V528" s="181"/>
      <c r="W528" s="181"/>
      <c r="X528" s="181"/>
      <c r="Y528" s="181"/>
      <c r="Z528" s="181"/>
      <c r="AA528" s="181"/>
      <c r="AB528" s="181"/>
      <c r="AC528" s="181"/>
      <c r="AD528" s="181"/>
      <c r="AE528" s="181"/>
      <c r="AF528" s="181"/>
      <c r="AG528" s="181"/>
      <c r="AH528" s="181"/>
      <c r="AI528" s="181"/>
      <c r="AJ528" s="181"/>
      <c r="AK528" s="181"/>
      <c r="AL528" s="181"/>
      <c r="AM528" s="181"/>
      <c r="AN528" s="181"/>
      <c r="AO528" s="181"/>
      <c r="AP528" s="181"/>
      <c r="AQ528" s="181"/>
      <c r="AR528" s="181"/>
      <c r="AS528" s="181"/>
      <c r="AT528" s="181"/>
      <c r="AU528" s="181"/>
      <c r="AV528" s="181"/>
      <c r="AW528" s="181"/>
      <c r="AX528" s="181"/>
      <c r="AY528" s="181"/>
      <c r="AZ528" s="181"/>
      <c r="BA528" s="181"/>
      <c r="BB528" s="32"/>
      <c r="BC528" s="32"/>
      <c r="BD528" s="32"/>
      <c r="BE528" s="32"/>
      <c r="BF528" s="32"/>
      <c r="BG528" s="32"/>
      <c r="BH528" s="32"/>
      <c r="BI528" s="32"/>
      <c r="BJ528" s="32"/>
      <c r="BK528" s="32"/>
      <c r="BL528" s="32"/>
      <c r="BM528" s="32"/>
      <c r="BN528" s="32"/>
      <c r="BO528" s="32"/>
      <c r="BP528" s="32"/>
      <c r="BQ528" s="32"/>
      <c r="BR528" s="32"/>
      <c r="BS528" s="32"/>
      <c r="BT528" s="32"/>
      <c r="BU528" s="32"/>
      <c r="BV528" s="32"/>
      <c r="BW528" s="32"/>
      <c r="BX528" s="32"/>
      <c r="BY528" s="32"/>
      <c r="BZ528" s="32"/>
      <c r="CA528" s="32"/>
      <c r="CB528" s="32"/>
      <c r="CC528" s="32"/>
      <c r="CD528" s="32"/>
    </row>
    <row r="529" spans="1:8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181"/>
      <c r="S529" s="181"/>
      <c r="T529" s="181"/>
      <c r="U529" s="181"/>
      <c r="V529" s="181"/>
      <c r="W529" s="181"/>
      <c r="X529" s="181"/>
      <c r="Y529" s="181"/>
      <c r="Z529" s="181"/>
      <c r="AA529" s="181"/>
      <c r="AB529" s="181"/>
      <c r="AC529" s="181"/>
      <c r="AD529" s="181"/>
      <c r="AE529" s="181"/>
      <c r="AF529" s="181"/>
      <c r="AG529" s="181"/>
      <c r="AH529" s="181"/>
      <c r="AI529" s="181"/>
      <c r="AJ529" s="181"/>
      <c r="AK529" s="181"/>
      <c r="AL529" s="181"/>
      <c r="AM529" s="181"/>
      <c r="AN529" s="181"/>
      <c r="AO529" s="181"/>
      <c r="AP529" s="181"/>
      <c r="AQ529" s="181"/>
      <c r="AR529" s="181"/>
      <c r="AS529" s="181"/>
      <c r="AT529" s="181"/>
      <c r="AU529" s="181"/>
      <c r="AV529" s="181"/>
      <c r="AW529" s="181"/>
      <c r="AX529" s="181"/>
      <c r="AY529" s="181"/>
      <c r="AZ529" s="181"/>
      <c r="BA529" s="181"/>
      <c r="BB529" s="32"/>
      <c r="BC529" s="32"/>
      <c r="BD529" s="32"/>
      <c r="BE529" s="32"/>
      <c r="BF529" s="32"/>
      <c r="BG529" s="32"/>
      <c r="BH529" s="32"/>
      <c r="BI529" s="32"/>
      <c r="BJ529" s="32"/>
      <c r="BK529" s="32"/>
      <c r="BL529" s="32"/>
      <c r="BM529" s="32"/>
      <c r="BN529" s="32"/>
      <c r="BO529" s="32"/>
      <c r="BP529" s="32"/>
      <c r="BQ529" s="32"/>
      <c r="BR529" s="32"/>
      <c r="BS529" s="32"/>
      <c r="BT529" s="32"/>
      <c r="BU529" s="32"/>
      <c r="BV529" s="32"/>
      <c r="BW529" s="32"/>
      <c r="BX529" s="32"/>
      <c r="BY529" s="32"/>
      <c r="BZ529" s="32"/>
      <c r="CA529" s="32"/>
      <c r="CB529" s="32"/>
      <c r="CC529" s="32"/>
      <c r="CD529" s="32"/>
    </row>
    <row r="530" spans="1:8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181"/>
      <c r="S530" s="181"/>
      <c r="T530" s="181"/>
      <c r="U530" s="181"/>
      <c r="V530" s="181"/>
      <c r="W530" s="181"/>
      <c r="X530" s="181"/>
      <c r="Y530" s="181"/>
      <c r="Z530" s="181"/>
      <c r="AA530" s="181"/>
      <c r="AB530" s="181"/>
      <c r="AC530" s="181"/>
      <c r="AD530" s="181"/>
      <c r="AE530" s="181"/>
      <c r="AF530" s="181"/>
      <c r="AG530" s="181"/>
      <c r="AH530" s="181"/>
      <c r="AI530" s="181"/>
      <c r="AJ530" s="181"/>
      <c r="AK530" s="181"/>
      <c r="AL530" s="181"/>
      <c r="AM530" s="181"/>
      <c r="AN530" s="181"/>
      <c r="AO530" s="181"/>
      <c r="AP530" s="181"/>
      <c r="AQ530" s="181"/>
      <c r="AR530" s="181"/>
      <c r="AS530" s="181"/>
      <c r="AT530" s="181"/>
      <c r="AU530" s="181"/>
      <c r="AV530" s="181"/>
      <c r="AW530" s="181"/>
      <c r="AX530" s="181"/>
      <c r="AY530" s="181"/>
      <c r="AZ530" s="181"/>
      <c r="BA530" s="181"/>
      <c r="BB530" s="32"/>
      <c r="BC530" s="32"/>
      <c r="BD530" s="32"/>
      <c r="BE530" s="32"/>
      <c r="BF530" s="32"/>
      <c r="BG530" s="32"/>
      <c r="BH530" s="32"/>
      <c r="BI530" s="32"/>
      <c r="BJ530" s="32"/>
      <c r="BK530" s="32"/>
      <c r="BL530" s="32"/>
      <c r="BM530" s="32"/>
      <c r="BN530" s="32"/>
      <c r="BO530" s="32"/>
      <c r="BP530" s="32"/>
      <c r="BQ530" s="32"/>
      <c r="BR530" s="32"/>
      <c r="BS530" s="32"/>
      <c r="BT530" s="32"/>
      <c r="BU530" s="32"/>
      <c r="BV530" s="32"/>
      <c r="BW530" s="32"/>
      <c r="BX530" s="32"/>
      <c r="BY530" s="32"/>
      <c r="BZ530" s="32"/>
      <c r="CA530" s="32"/>
      <c r="CB530" s="32"/>
      <c r="CC530" s="32"/>
      <c r="CD530" s="32"/>
    </row>
    <row r="531" spans="1:8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181"/>
      <c r="S531" s="181"/>
      <c r="T531" s="181"/>
      <c r="U531" s="181"/>
      <c r="V531" s="181"/>
      <c r="W531" s="181"/>
      <c r="X531" s="181"/>
      <c r="Y531" s="181"/>
      <c r="Z531" s="181"/>
      <c r="AA531" s="181"/>
      <c r="AB531" s="181"/>
      <c r="AC531" s="181"/>
      <c r="AD531" s="181"/>
      <c r="AE531" s="181"/>
      <c r="AF531" s="181"/>
      <c r="AG531" s="181"/>
      <c r="AH531" s="181"/>
      <c r="AI531" s="181"/>
      <c r="AJ531" s="181"/>
      <c r="AK531" s="181"/>
      <c r="AL531" s="181"/>
      <c r="AM531" s="181"/>
      <c r="AN531" s="181"/>
      <c r="AO531" s="181"/>
      <c r="AP531" s="181"/>
      <c r="AQ531" s="181"/>
      <c r="AR531" s="181"/>
      <c r="AS531" s="181"/>
      <c r="AT531" s="181"/>
      <c r="AU531" s="181"/>
      <c r="AV531" s="181"/>
      <c r="AW531" s="181"/>
      <c r="AX531" s="181"/>
      <c r="AY531" s="181"/>
      <c r="AZ531" s="181"/>
      <c r="BA531" s="181"/>
      <c r="BB531" s="32"/>
      <c r="BC531" s="32"/>
      <c r="BD531" s="32"/>
      <c r="BE531" s="32"/>
      <c r="BF531" s="32"/>
      <c r="BG531" s="32"/>
      <c r="BH531" s="32"/>
      <c r="BI531" s="32"/>
      <c r="BJ531" s="32"/>
      <c r="BK531" s="32"/>
      <c r="BL531" s="32"/>
      <c r="BM531" s="32"/>
      <c r="BN531" s="32"/>
      <c r="BO531" s="32"/>
      <c r="BP531" s="32"/>
      <c r="BQ531" s="32"/>
      <c r="BR531" s="32"/>
      <c r="BS531" s="32"/>
      <c r="BT531" s="32"/>
      <c r="BU531" s="32"/>
      <c r="BV531" s="32"/>
      <c r="BW531" s="32"/>
      <c r="BX531" s="32"/>
      <c r="BY531" s="32"/>
      <c r="BZ531" s="32"/>
      <c r="CA531" s="32"/>
      <c r="CB531" s="32"/>
      <c r="CC531" s="32"/>
      <c r="CD531" s="32"/>
    </row>
    <row r="532" spans="1:8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181"/>
      <c r="S532" s="181"/>
      <c r="T532" s="181"/>
      <c r="U532" s="181"/>
      <c r="V532" s="181"/>
      <c r="W532" s="181"/>
      <c r="X532" s="181"/>
      <c r="Y532" s="181"/>
      <c r="Z532" s="181"/>
      <c r="AA532" s="181"/>
      <c r="AB532" s="181"/>
      <c r="AC532" s="181"/>
      <c r="AD532" s="181"/>
      <c r="AE532" s="181"/>
      <c r="AF532" s="181"/>
      <c r="AG532" s="181"/>
      <c r="AH532" s="181"/>
      <c r="AI532" s="181"/>
      <c r="AJ532" s="181"/>
      <c r="AK532" s="181"/>
      <c r="AL532" s="181"/>
      <c r="AM532" s="181"/>
      <c r="AN532" s="181"/>
      <c r="AO532" s="181"/>
      <c r="AP532" s="181"/>
      <c r="AQ532" s="181"/>
      <c r="AR532" s="181"/>
      <c r="AS532" s="181"/>
      <c r="AT532" s="181"/>
      <c r="AU532" s="181"/>
      <c r="AV532" s="181"/>
      <c r="AW532" s="181"/>
      <c r="AX532" s="181"/>
      <c r="AY532" s="181"/>
      <c r="AZ532" s="181"/>
      <c r="BA532" s="181"/>
      <c r="BB532" s="32"/>
      <c r="BC532" s="32"/>
      <c r="BD532" s="32"/>
      <c r="BE532" s="32"/>
      <c r="BF532" s="32"/>
      <c r="BG532" s="32"/>
      <c r="BH532" s="32"/>
      <c r="BI532" s="32"/>
      <c r="BJ532" s="32"/>
      <c r="BK532" s="32"/>
      <c r="BL532" s="32"/>
      <c r="BM532" s="32"/>
      <c r="BN532" s="32"/>
      <c r="BO532" s="32"/>
      <c r="BP532" s="32"/>
      <c r="BQ532" s="32"/>
      <c r="BR532" s="32"/>
      <c r="BS532" s="32"/>
      <c r="BT532" s="32"/>
      <c r="BU532" s="32"/>
      <c r="BV532" s="32"/>
      <c r="BW532" s="32"/>
      <c r="BX532" s="32"/>
      <c r="BY532" s="32"/>
      <c r="BZ532" s="32"/>
      <c r="CA532" s="32"/>
      <c r="CB532" s="32"/>
      <c r="CC532" s="32"/>
      <c r="CD532" s="32"/>
    </row>
    <row r="533" spans="1:8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181"/>
      <c r="S533" s="181"/>
      <c r="T533" s="181"/>
      <c r="U533" s="181"/>
      <c r="V533" s="181"/>
      <c r="W533" s="181"/>
      <c r="X533" s="181"/>
      <c r="Y533" s="181"/>
      <c r="Z533" s="181"/>
      <c r="AA533" s="181"/>
      <c r="AB533" s="181"/>
      <c r="AC533" s="181"/>
      <c r="AD533" s="181"/>
      <c r="AE533" s="181"/>
      <c r="AF533" s="181"/>
      <c r="AG533" s="181"/>
      <c r="AH533" s="181"/>
      <c r="AI533" s="181"/>
      <c r="AJ533" s="181"/>
      <c r="AK533" s="181"/>
      <c r="AL533" s="181"/>
      <c r="AM533" s="181"/>
      <c r="AN533" s="181"/>
      <c r="AO533" s="181"/>
      <c r="AP533" s="181"/>
      <c r="AQ533" s="181"/>
      <c r="AR533" s="181"/>
      <c r="AS533" s="181"/>
      <c r="AT533" s="181"/>
      <c r="AU533" s="181"/>
      <c r="AV533" s="181"/>
      <c r="AW533" s="181"/>
      <c r="AX533" s="181"/>
      <c r="AY533" s="181"/>
      <c r="AZ533" s="181"/>
      <c r="BA533" s="181"/>
      <c r="BB533" s="32"/>
      <c r="BC533" s="32"/>
      <c r="BD533" s="32"/>
      <c r="BE533" s="32"/>
      <c r="BF533" s="32"/>
      <c r="BG533" s="32"/>
      <c r="BH533" s="32"/>
      <c r="BI533" s="32"/>
      <c r="BJ533" s="32"/>
      <c r="BK533" s="32"/>
      <c r="BL533" s="32"/>
      <c r="BM533" s="32"/>
      <c r="BN533" s="32"/>
      <c r="BO533" s="32"/>
      <c r="BP533" s="32"/>
      <c r="BQ533" s="32"/>
      <c r="BR533" s="32"/>
      <c r="BS533" s="32"/>
      <c r="BT533" s="32"/>
      <c r="BU533" s="32"/>
      <c r="BV533" s="32"/>
      <c r="BW533" s="32"/>
      <c r="BX533" s="32"/>
      <c r="BY533" s="32"/>
      <c r="BZ533" s="32"/>
      <c r="CA533" s="32"/>
      <c r="CB533" s="32"/>
      <c r="CC533" s="32"/>
      <c r="CD533" s="32"/>
    </row>
    <row r="534" spans="1:8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181"/>
      <c r="S534" s="181"/>
      <c r="T534" s="181"/>
      <c r="U534" s="181"/>
      <c r="V534" s="181"/>
      <c r="W534" s="181"/>
      <c r="X534" s="181"/>
      <c r="Y534" s="181"/>
      <c r="Z534" s="181"/>
      <c r="AA534" s="181"/>
      <c r="AB534" s="181"/>
      <c r="AC534" s="181"/>
      <c r="AD534" s="181"/>
      <c r="AE534" s="181"/>
      <c r="AF534" s="181"/>
      <c r="AG534" s="181"/>
      <c r="AH534" s="181"/>
      <c r="AI534" s="181"/>
      <c r="AJ534" s="181"/>
      <c r="AK534" s="181"/>
      <c r="AL534" s="181"/>
      <c r="AM534" s="181"/>
      <c r="AN534" s="181"/>
      <c r="AO534" s="181"/>
      <c r="AP534" s="181"/>
      <c r="AQ534" s="181"/>
      <c r="AR534" s="181"/>
      <c r="AS534" s="181"/>
      <c r="AT534" s="181"/>
      <c r="AU534" s="181"/>
      <c r="AV534" s="181"/>
      <c r="AW534" s="181"/>
      <c r="AX534" s="181"/>
      <c r="AY534" s="181"/>
      <c r="AZ534" s="181"/>
      <c r="BA534" s="181"/>
      <c r="BB534" s="32"/>
      <c r="BC534" s="32"/>
      <c r="BD534" s="32"/>
      <c r="BE534" s="32"/>
      <c r="BF534" s="32"/>
      <c r="BG534" s="32"/>
      <c r="BH534" s="32"/>
      <c r="BI534" s="32"/>
      <c r="BJ534" s="32"/>
      <c r="BK534" s="32"/>
      <c r="BL534" s="32"/>
      <c r="BM534" s="32"/>
      <c r="BN534" s="32"/>
      <c r="BO534" s="32"/>
      <c r="BP534" s="32"/>
      <c r="BQ534" s="32"/>
      <c r="BR534" s="32"/>
      <c r="BS534" s="32"/>
      <c r="BT534" s="32"/>
      <c r="BU534" s="32"/>
      <c r="BV534" s="32"/>
      <c r="BW534" s="32"/>
      <c r="BX534" s="32"/>
      <c r="BY534" s="32"/>
      <c r="BZ534" s="32"/>
      <c r="CA534" s="32"/>
      <c r="CB534" s="32"/>
      <c r="CC534" s="32"/>
      <c r="CD534" s="32"/>
    </row>
    <row r="535" spans="1:8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181"/>
      <c r="S535" s="181"/>
      <c r="T535" s="181"/>
      <c r="U535" s="181"/>
      <c r="V535" s="181"/>
      <c r="W535" s="181"/>
      <c r="X535" s="181"/>
      <c r="Y535" s="181"/>
      <c r="Z535" s="181"/>
      <c r="AA535" s="181"/>
      <c r="AB535" s="181"/>
      <c r="AC535" s="181"/>
      <c r="AD535" s="181"/>
      <c r="AE535" s="181"/>
      <c r="AF535" s="181"/>
      <c r="AG535" s="181"/>
      <c r="AH535" s="181"/>
      <c r="AI535" s="181"/>
      <c r="AJ535" s="181"/>
      <c r="AK535" s="181"/>
      <c r="AL535" s="181"/>
      <c r="AM535" s="181"/>
      <c r="AN535" s="181"/>
      <c r="AO535" s="181"/>
      <c r="AP535" s="181"/>
      <c r="AQ535" s="181"/>
      <c r="AR535" s="181"/>
      <c r="AS535" s="181"/>
      <c r="AT535" s="181"/>
      <c r="AU535" s="181"/>
      <c r="AV535" s="181"/>
      <c r="AW535" s="181"/>
      <c r="AX535" s="181"/>
      <c r="AY535" s="181"/>
      <c r="AZ535" s="181"/>
      <c r="BA535" s="181"/>
      <c r="BB535" s="32"/>
      <c r="BC535" s="32"/>
      <c r="BD535" s="32"/>
      <c r="BE535" s="32"/>
      <c r="BF535" s="32"/>
      <c r="BG535" s="32"/>
      <c r="BH535" s="32"/>
      <c r="BI535" s="32"/>
      <c r="BJ535" s="32"/>
      <c r="BK535" s="32"/>
      <c r="BL535" s="32"/>
      <c r="BM535" s="32"/>
      <c r="BN535" s="32"/>
      <c r="BO535" s="32"/>
      <c r="BP535" s="32"/>
      <c r="BQ535" s="32"/>
      <c r="BR535" s="32"/>
      <c r="BS535" s="32"/>
      <c r="BT535" s="32"/>
      <c r="BU535" s="32"/>
      <c r="BV535" s="32"/>
      <c r="BW535" s="32"/>
      <c r="BX535" s="32"/>
      <c r="BY535" s="32"/>
      <c r="BZ535" s="32"/>
      <c r="CA535" s="32"/>
      <c r="CB535" s="32"/>
      <c r="CC535" s="32"/>
      <c r="CD535" s="32"/>
    </row>
    <row r="536" spans="1:8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181"/>
      <c r="S536" s="181"/>
      <c r="T536" s="181"/>
      <c r="U536" s="181"/>
      <c r="V536" s="181"/>
      <c r="W536" s="181"/>
      <c r="X536" s="181"/>
      <c r="Y536" s="181"/>
      <c r="Z536" s="181"/>
      <c r="AA536" s="181"/>
      <c r="AB536" s="181"/>
      <c r="AC536" s="181"/>
      <c r="AD536" s="181"/>
      <c r="AE536" s="181"/>
      <c r="AF536" s="181"/>
      <c r="AG536" s="181"/>
      <c r="AH536" s="181"/>
      <c r="AI536" s="181"/>
      <c r="AJ536" s="181"/>
      <c r="AK536" s="181"/>
      <c r="AL536" s="181"/>
      <c r="AM536" s="181"/>
      <c r="AN536" s="181"/>
      <c r="AO536" s="181"/>
      <c r="AP536" s="181"/>
      <c r="AQ536" s="181"/>
      <c r="AR536" s="181"/>
      <c r="AS536" s="181"/>
      <c r="AT536" s="181"/>
      <c r="AU536" s="181"/>
      <c r="AV536" s="181"/>
      <c r="AW536" s="181"/>
      <c r="AX536" s="181"/>
      <c r="AY536" s="181"/>
      <c r="AZ536" s="181"/>
      <c r="BA536" s="181"/>
      <c r="BB536" s="32"/>
      <c r="BC536" s="32"/>
      <c r="BD536" s="32"/>
      <c r="BE536" s="32"/>
      <c r="BF536" s="32"/>
      <c r="BG536" s="32"/>
      <c r="BH536" s="32"/>
      <c r="BI536" s="32"/>
      <c r="BJ536" s="32"/>
      <c r="BK536" s="32"/>
      <c r="BL536" s="32"/>
      <c r="BM536" s="32"/>
      <c r="BN536" s="32"/>
      <c r="BO536" s="32"/>
      <c r="BP536" s="32"/>
      <c r="BQ536" s="32"/>
      <c r="BR536" s="32"/>
      <c r="BS536" s="32"/>
      <c r="BT536" s="32"/>
      <c r="BU536" s="32"/>
      <c r="BV536" s="32"/>
      <c r="BW536" s="32"/>
      <c r="BX536" s="32"/>
      <c r="BY536" s="32"/>
      <c r="BZ536" s="32"/>
      <c r="CA536" s="32"/>
      <c r="CB536" s="32"/>
      <c r="CC536" s="32"/>
      <c r="CD536" s="32"/>
    </row>
    <row r="537" spans="1:8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181"/>
      <c r="S537" s="181"/>
      <c r="T537" s="181"/>
      <c r="U537" s="181"/>
      <c r="V537" s="181"/>
      <c r="W537" s="181"/>
      <c r="X537" s="181"/>
      <c r="Y537" s="181"/>
      <c r="Z537" s="181"/>
      <c r="AA537" s="181"/>
      <c r="AB537" s="181"/>
      <c r="AC537" s="181"/>
      <c r="AD537" s="181"/>
      <c r="AE537" s="181"/>
      <c r="AF537" s="181"/>
      <c r="AG537" s="181"/>
      <c r="AH537" s="181"/>
      <c r="AI537" s="181"/>
      <c r="AJ537" s="181"/>
      <c r="AK537" s="181"/>
      <c r="AL537" s="181"/>
      <c r="AM537" s="181"/>
      <c r="AN537" s="181"/>
      <c r="AO537" s="181"/>
      <c r="AP537" s="181"/>
      <c r="AQ537" s="181"/>
      <c r="AR537" s="181"/>
      <c r="AS537" s="181"/>
      <c r="AT537" s="181"/>
      <c r="AU537" s="181"/>
      <c r="AV537" s="181"/>
      <c r="AW537" s="181"/>
      <c r="AX537" s="181"/>
      <c r="AY537" s="181"/>
      <c r="AZ537" s="181"/>
      <c r="BA537" s="181"/>
      <c r="BB537" s="32"/>
      <c r="BC537" s="32"/>
      <c r="BD537" s="32"/>
      <c r="BE537" s="32"/>
      <c r="BF537" s="32"/>
      <c r="BG537" s="32"/>
      <c r="BH537" s="32"/>
      <c r="BI537" s="32"/>
      <c r="BJ537" s="32"/>
      <c r="BK537" s="32"/>
      <c r="BL537" s="32"/>
      <c r="BM537" s="32"/>
      <c r="BN537" s="32"/>
      <c r="BO537" s="32"/>
      <c r="BP537" s="32"/>
      <c r="BQ537" s="32"/>
      <c r="BR537" s="32"/>
      <c r="BS537" s="32"/>
      <c r="BT537" s="32"/>
      <c r="BU537" s="32"/>
      <c r="BV537" s="32"/>
      <c r="BW537" s="32"/>
      <c r="BX537" s="32"/>
      <c r="BY537" s="32"/>
      <c r="BZ537" s="32"/>
      <c r="CA537" s="32"/>
      <c r="CB537" s="32"/>
      <c r="CC537" s="32"/>
      <c r="CD537" s="32"/>
    </row>
    <row r="538" spans="1:8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181"/>
      <c r="S538" s="181"/>
      <c r="T538" s="181"/>
      <c r="U538" s="181"/>
      <c r="V538" s="181"/>
      <c r="W538" s="181"/>
      <c r="X538" s="181"/>
      <c r="Y538" s="181"/>
      <c r="Z538" s="181"/>
      <c r="AA538" s="181"/>
      <c r="AB538" s="181"/>
      <c r="AC538" s="181"/>
      <c r="AD538" s="181"/>
      <c r="AE538" s="181"/>
      <c r="AF538" s="181"/>
      <c r="AG538" s="181"/>
      <c r="AH538" s="181"/>
      <c r="AI538" s="181"/>
      <c r="AJ538" s="181"/>
      <c r="AK538" s="181"/>
      <c r="AL538" s="181"/>
      <c r="AM538" s="181"/>
      <c r="AN538" s="181"/>
      <c r="AO538" s="181"/>
      <c r="AP538" s="181"/>
      <c r="AQ538" s="181"/>
      <c r="AR538" s="181"/>
      <c r="AS538" s="181"/>
      <c r="AT538" s="181"/>
      <c r="AU538" s="181"/>
      <c r="AV538" s="181"/>
      <c r="AW538" s="181"/>
      <c r="AX538" s="181"/>
      <c r="AY538" s="181"/>
      <c r="AZ538" s="181"/>
      <c r="BA538" s="181"/>
      <c r="BB538" s="32"/>
      <c r="BC538" s="32"/>
      <c r="BD538" s="32"/>
      <c r="BE538" s="32"/>
      <c r="BF538" s="32"/>
      <c r="BG538" s="32"/>
      <c r="BH538" s="32"/>
      <c r="BI538" s="32"/>
      <c r="BJ538" s="32"/>
      <c r="BK538" s="32"/>
      <c r="BL538" s="32"/>
      <c r="BM538" s="32"/>
      <c r="BN538" s="32"/>
      <c r="BO538" s="32"/>
      <c r="BP538" s="32"/>
      <c r="BQ538" s="32"/>
      <c r="BR538" s="32"/>
      <c r="BS538" s="32"/>
      <c r="BT538" s="32"/>
      <c r="BU538" s="32"/>
      <c r="BV538" s="32"/>
      <c r="BW538" s="32"/>
      <c r="BX538" s="32"/>
      <c r="BY538" s="32"/>
      <c r="BZ538" s="32"/>
      <c r="CA538" s="32"/>
      <c r="CB538" s="32"/>
      <c r="CC538" s="32"/>
      <c r="CD538" s="32"/>
    </row>
    <row r="539" spans="1:8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181"/>
      <c r="S539" s="181"/>
      <c r="T539" s="181"/>
      <c r="U539" s="181"/>
      <c r="V539" s="181"/>
      <c r="W539" s="181"/>
      <c r="X539" s="181"/>
      <c r="Y539" s="181"/>
      <c r="Z539" s="181"/>
      <c r="AA539" s="181"/>
      <c r="AB539" s="181"/>
      <c r="AC539" s="181"/>
      <c r="AD539" s="181"/>
      <c r="AE539" s="181"/>
      <c r="AF539" s="181"/>
      <c r="AG539" s="181"/>
      <c r="AH539" s="181"/>
      <c r="AI539" s="181"/>
      <c r="AJ539" s="181"/>
      <c r="AK539" s="181"/>
      <c r="AL539" s="181"/>
      <c r="AM539" s="181"/>
      <c r="AN539" s="181"/>
      <c r="AO539" s="181"/>
      <c r="AP539" s="181"/>
      <c r="AQ539" s="181"/>
      <c r="AR539" s="181"/>
      <c r="AS539" s="181"/>
      <c r="AT539" s="181"/>
      <c r="AU539" s="181"/>
      <c r="AV539" s="181"/>
      <c r="AW539" s="181"/>
      <c r="AX539" s="181"/>
      <c r="AY539" s="181"/>
      <c r="AZ539" s="181"/>
      <c r="BA539" s="181"/>
      <c r="BB539" s="32"/>
      <c r="BC539" s="32"/>
      <c r="BD539" s="32"/>
      <c r="BE539" s="32"/>
      <c r="BF539" s="32"/>
      <c r="BG539" s="32"/>
      <c r="BH539" s="32"/>
      <c r="BI539" s="32"/>
      <c r="BJ539" s="32"/>
      <c r="BK539" s="32"/>
      <c r="BL539" s="32"/>
      <c r="BM539" s="32"/>
      <c r="BN539" s="32"/>
      <c r="BO539" s="32"/>
      <c r="BP539" s="32"/>
      <c r="BQ539" s="32"/>
      <c r="BR539" s="32"/>
      <c r="BS539" s="32"/>
      <c r="BT539" s="32"/>
      <c r="BU539" s="32"/>
      <c r="BV539" s="32"/>
      <c r="BW539" s="32"/>
      <c r="BX539" s="32"/>
      <c r="BY539" s="32"/>
      <c r="BZ539" s="32"/>
      <c r="CA539" s="32"/>
      <c r="CB539" s="32"/>
      <c r="CC539" s="32"/>
      <c r="CD539" s="32"/>
    </row>
    <row r="540" spans="1:8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181"/>
      <c r="S540" s="181"/>
      <c r="T540" s="181"/>
      <c r="U540" s="181"/>
      <c r="V540" s="181"/>
      <c r="W540" s="181"/>
      <c r="X540" s="181"/>
      <c r="Y540" s="181"/>
      <c r="Z540" s="181"/>
      <c r="AA540" s="181"/>
      <c r="AB540" s="181"/>
      <c r="AC540" s="181"/>
      <c r="AD540" s="181"/>
      <c r="AE540" s="181"/>
      <c r="AF540" s="181"/>
      <c r="AG540" s="181"/>
      <c r="AH540" s="181"/>
      <c r="AI540" s="181"/>
      <c r="AJ540" s="181"/>
      <c r="AK540" s="181"/>
      <c r="AL540" s="181"/>
      <c r="AM540" s="181"/>
      <c r="AN540" s="181"/>
      <c r="AO540" s="181"/>
      <c r="AP540" s="181"/>
      <c r="AQ540" s="181"/>
      <c r="AR540" s="181"/>
      <c r="AS540" s="181"/>
      <c r="AT540" s="181"/>
      <c r="AU540" s="181"/>
      <c r="AV540" s="181"/>
      <c r="AW540" s="181"/>
      <c r="AX540" s="181"/>
      <c r="AY540" s="181"/>
      <c r="AZ540" s="181"/>
      <c r="BA540" s="181"/>
      <c r="BB540" s="32"/>
      <c r="BC540" s="32"/>
      <c r="BD540" s="32"/>
      <c r="BE540" s="32"/>
      <c r="BF540" s="32"/>
      <c r="BG540" s="32"/>
      <c r="BH540" s="32"/>
      <c r="BI540" s="32"/>
      <c r="BJ540" s="32"/>
      <c r="BK540" s="32"/>
      <c r="BL540" s="32"/>
      <c r="BM540" s="32"/>
      <c r="BN540" s="32"/>
      <c r="BO540" s="32"/>
      <c r="BP540" s="32"/>
      <c r="BQ540" s="32"/>
      <c r="BR540" s="32"/>
      <c r="BS540" s="32"/>
      <c r="BT540" s="32"/>
      <c r="BU540" s="32"/>
      <c r="BV540" s="32"/>
      <c r="BW540" s="32"/>
      <c r="BX540" s="32"/>
      <c r="BY540" s="32"/>
      <c r="BZ540" s="32"/>
      <c r="CA540" s="32"/>
      <c r="CB540" s="32"/>
      <c r="CC540" s="32"/>
      <c r="CD540" s="32"/>
    </row>
    <row r="541" spans="1:8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181"/>
      <c r="S541" s="181"/>
      <c r="T541" s="181"/>
      <c r="U541" s="181"/>
      <c r="V541" s="181"/>
      <c r="W541" s="181"/>
      <c r="X541" s="181"/>
      <c r="Y541" s="181"/>
      <c r="Z541" s="181"/>
      <c r="AA541" s="181"/>
      <c r="AB541" s="181"/>
      <c r="AC541" s="181"/>
      <c r="AD541" s="181"/>
      <c r="AE541" s="181"/>
      <c r="AF541" s="181"/>
      <c r="AG541" s="181"/>
      <c r="AH541" s="181"/>
      <c r="AI541" s="181"/>
      <c r="AJ541" s="181"/>
      <c r="AK541" s="181"/>
      <c r="AL541" s="181"/>
      <c r="AM541" s="181"/>
      <c r="AN541" s="181"/>
      <c r="AO541" s="181"/>
      <c r="AP541" s="181"/>
      <c r="AQ541" s="181"/>
      <c r="AR541" s="181"/>
      <c r="AS541" s="181"/>
      <c r="AT541" s="181"/>
      <c r="AU541" s="181"/>
      <c r="AV541" s="181"/>
      <c r="AW541" s="181"/>
      <c r="AX541" s="181"/>
      <c r="AY541" s="181"/>
      <c r="AZ541" s="181"/>
      <c r="BA541" s="181"/>
      <c r="BB541" s="32"/>
      <c r="BC541" s="32"/>
      <c r="BD541" s="32"/>
      <c r="BE541" s="32"/>
      <c r="BF541" s="32"/>
      <c r="BG541" s="32"/>
      <c r="BH541" s="32"/>
      <c r="BI541" s="32"/>
      <c r="BJ541" s="32"/>
      <c r="BK541" s="32"/>
      <c r="BL541" s="32"/>
      <c r="BM541" s="32"/>
      <c r="BN541" s="32"/>
      <c r="BO541" s="32"/>
      <c r="BP541" s="32"/>
      <c r="BQ541" s="32"/>
      <c r="BR541" s="32"/>
      <c r="BS541" s="32"/>
      <c r="BT541" s="32"/>
      <c r="BU541" s="32"/>
      <c r="BV541" s="32"/>
      <c r="BW541" s="32"/>
      <c r="BX541" s="32"/>
      <c r="BY541" s="32"/>
      <c r="BZ541" s="32"/>
      <c r="CA541" s="32"/>
      <c r="CB541" s="32"/>
      <c r="CC541" s="32"/>
      <c r="CD541" s="32"/>
    </row>
    <row r="542" spans="1:8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181"/>
      <c r="S542" s="181"/>
      <c r="T542" s="181"/>
      <c r="U542" s="181"/>
      <c r="V542" s="181"/>
      <c r="W542" s="181"/>
      <c r="X542" s="181"/>
      <c r="Y542" s="181"/>
      <c r="Z542" s="181"/>
      <c r="AA542" s="181"/>
      <c r="AB542" s="181"/>
      <c r="AC542" s="181"/>
      <c r="AD542" s="181"/>
      <c r="AE542" s="181"/>
      <c r="AF542" s="181"/>
      <c r="AG542" s="181"/>
      <c r="AH542" s="181"/>
      <c r="AI542" s="181"/>
      <c r="AJ542" s="181"/>
      <c r="AK542" s="181"/>
      <c r="AL542" s="181"/>
      <c r="AM542" s="181"/>
      <c r="AN542" s="181"/>
      <c r="AO542" s="181"/>
      <c r="AP542" s="181"/>
      <c r="AQ542" s="181"/>
      <c r="AR542" s="181"/>
      <c r="AS542" s="181"/>
      <c r="AT542" s="181"/>
      <c r="AU542" s="181"/>
      <c r="AV542" s="181"/>
      <c r="AW542" s="181"/>
      <c r="AX542" s="181"/>
      <c r="AY542" s="181"/>
      <c r="AZ542" s="181"/>
      <c r="BA542" s="181"/>
      <c r="BB542" s="32"/>
      <c r="BC542" s="32"/>
      <c r="BD542" s="32"/>
      <c r="BE542" s="32"/>
      <c r="BF542" s="32"/>
      <c r="BG542" s="32"/>
      <c r="BH542" s="32"/>
      <c r="BI542" s="32"/>
      <c r="BJ542" s="32"/>
      <c r="BK542" s="32"/>
      <c r="BL542" s="32"/>
      <c r="BM542" s="32"/>
      <c r="BN542" s="32"/>
      <c r="BO542" s="32"/>
      <c r="BP542" s="32"/>
      <c r="BQ542" s="32"/>
      <c r="BR542" s="32"/>
      <c r="BS542" s="32"/>
      <c r="BT542" s="32"/>
      <c r="BU542" s="32"/>
      <c r="BV542" s="32"/>
      <c r="BW542" s="32"/>
      <c r="BX542" s="32"/>
      <c r="BY542" s="32"/>
      <c r="BZ542" s="32"/>
      <c r="CA542" s="32"/>
      <c r="CB542" s="32"/>
      <c r="CC542" s="32"/>
      <c r="CD542" s="32"/>
    </row>
    <row r="543" spans="1:8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181"/>
      <c r="S543" s="181"/>
      <c r="T543" s="181"/>
      <c r="U543" s="181"/>
      <c r="V543" s="181"/>
      <c r="W543" s="181"/>
      <c r="X543" s="181"/>
      <c r="Y543" s="181"/>
      <c r="Z543" s="181"/>
      <c r="AA543" s="181"/>
      <c r="AB543" s="181"/>
      <c r="AC543" s="181"/>
      <c r="AD543" s="181"/>
      <c r="AE543" s="181"/>
      <c r="AF543" s="181"/>
      <c r="AG543" s="181"/>
      <c r="AH543" s="181"/>
      <c r="AI543" s="181"/>
      <c r="AJ543" s="181"/>
      <c r="AK543" s="181"/>
      <c r="AL543" s="181"/>
      <c r="AM543" s="181"/>
      <c r="AN543" s="181"/>
      <c r="AO543" s="181"/>
      <c r="AP543" s="181"/>
      <c r="AQ543" s="181"/>
      <c r="AR543" s="181"/>
      <c r="AS543" s="181"/>
      <c r="AT543" s="181"/>
      <c r="AU543" s="181"/>
      <c r="AV543" s="181"/>
      <c r="AW543" s="181"/>
      <c r="AX543" s="181"/>
      <c r="AY543" s="181"/>
      <c r="AZ543" s="181"/>
      <c r="BA543" s="181"/>
      <c r="BB543" s="32"/>
      <c r="BC543" s="32"/>
      <c r="BD543" s="32"/>
      <c r="BE543" s="32"/>
      <c r="BF543" s="32"/>
      <c r="BG543" s="32"/>
      <c r="BH543" s="32"/>
      <c r="BI543" s="32"/>
      <c r="BJ543" s="32"/>
      <c r="BK543" s="32"/>
      <c r="BL543" s="32"/>
      <c r="BM543" s="32"/>
      <c r="BN543" s="32"/>
      <c r="BO543" s="32"/>
      <c r="BP543" s="32"/>
      <c r="BQ543" s="32"/>
      <c r="BR543" s="32"/>
      <c r="BS543" s="32"/>
      <c r="BT543" s="32"/>
      <c r="BU543" s="32"/>
      <c r="BV543" s="32"/>
      <c r="BW543" s="32"/>
      <c r="BX543" s="32"/>
      <c r="BY543" s="32"/>
      <c r="BZ543" s="32"/>
      <c r="CA543" s="32"/>
      <c r="CB543" s="32"/>
      <c r="CC543" s="32"/>
      <c r="CD543" s="32"/>
    </row>
    <row r="544" spans="1:8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181"/>
      <c r="S544" s="181"/>
      <c r="T544" s="181"/>
      <c r="U544" s="181"/>
      <c r="V544" s="181"/>
      <c r="W544" s="181"/>
      <c r="X544" s="181"/>
      <c r="Y544" s="181"/>
      <c r="Z544" s="181"/>
      <c r="AA544" s="181"/>
      <c r="AB544" s="181"/>
      <c r="AC544" s="181"/>
      <c r="AD544" s="181"/>
      <c r="AE544" s="181"/>
      <c r="AF544" s="181"/>
      <c r="AG544" s="181"/>
      <c r="AH544" s="181"/>
      <c r="AI544" s="181"/>
      <c r="AJ544" s="181"/>
      <c r="AK544" s="181"/>
      <c r="AL544" s="181"/>
      <c r="AM544" s="181"/>
      <c r="AN544" s="181"/>
      <c r="AO544" s="181"/>
      <c r="AP544" s="181"/>
      <c r="AQ544" s="181"/>
      <c r="AR544" s="181"/>
      <c r="AS544" s="181"/>
      <c r="AT544" s="181"/>
      <c r="AU544" s="181"/>
      <c r="AV544" s="181"/>
      <c r="AW544" s="181"/>
      <c r="AX544" s="181"/>
      <c r="AY544" s="181"/>
      <c r="AZ544" s="181"/>
      <c r="BA544" s="181"/>
      <c r="BB544" s="32"/>
      <c r="BC544" s="32"/>
      <c r="BD544" s="32"/>
      <c r="BE544" s="32"/>
      <c r="BF544" s="32"/>
      <c r="BG544" s="32"/>
      <c r="BH544" s="32"/>
      <c r="BI544" s="32"/>
      <c r="BJ544" s="32"/>
      <c r="BK544" s="32"/>
      <c r="BL544" s="32"/>
      <c r="BM544" s="32"/>
      <c r="BN544" s="32"/>
      <c r="BO544" s="32"/>
      <c r="BP544" s="32"/>
      <c r="BQ544" s="32"/>
      <c r="BR544" s="32"/>
      <c r="BS544" s="32"/>
      <c r="BT544" s="32"/>
      <c r="BU544" s="32"/>
      <c r="BV544" s="32"/>
      <c r="BW544" s="32"/>
      <c r="BX544" s="32"/>
      <c r="BY544" s="32"/>
      <c r="BZ544" s="32"/>
      <c r="CA544" s="32"/>
      <c r="CB544" s="32"/>
      <c r="CC544" s="32"/>
      <c r="CD544" s="32"/>
    </row>
    <row r="545" spans="1:8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181"/>
      <c r="S545" s="181"/>
      <c r="T545" s="181"/>
      <c r="U545" s="181"/>
      <c r="V545" s="181"/>
      <c r="W545" s="181"/>
      <c r="X545" s="181"/>
      <c r="Y545" s="181"/>
      <c r="Z545" s="181"/>
      <c r="AA545" s="181"/>
      <c r="AB545" s="181"/>
      <c r="AC545" s="181"/>
      <c r="AD545" s="181"/>
      <c r="AE545" s="181"/>
      <c r="AF545" s="181"/>
      <c r="AG545" s="181"/>
      <c r="AH545" s="181"/>
      <c r="AI545" s="181"/>
      <c r="AJ545" s="181"/>
      <c r="AK545" s="181"/>
      <c r="AL545" s="181"/>
      <c r="AM545" s="181"/>
      <c r="AN545" s="181"/>
      <c r="AO545" s="181"/>
      <c r="AP545" s="181"/>
      <c r="AQ545" s="181"/>
      <c r="AR545" s="181"/>
      <c r="AS545" s="181"/>
      <c r="AT545" s="181"/>
      <c r="AU545" s="181"/>
      <c r="AV545" s="181"/>
      <c r="AW545" s="181"/>
      <c r="AX545" s="181"/>
      <c r="AY545" s="181"/>
      <c r="AZ545" s="181"/>
      <c r="BA545" s="181"/>
      <c r="BB545" s="32"/>
      <c r="BC545" s="32"/>
      <c r="BD545" s="32"/>
      <c r="BE545" s="32"/>
      <c r="BF545" s="32"/>
      <c r="BG545" s="32"/>
      <c r="BH545" s="32"/>
      <c r="BI545" s="32"/>
      <c r="BJ545" s="32"/>
      <c r="BK545" s="32"/>
      <c r="BL545" s="32"/>
      <c r="BM545" s="32"/>
      <c r="BN545" s="32"/>
      <c r="BO545" s="32"/>
      <c r="BP545" s="32"/>
      <c r="BQ545" s="32"/>
      <c r="BR545" s="32"/>
      <c r="BS545" s="32"/>
      <c r="BT545" s="32"/>
      <c r="BU545" s="32"/>
      <c r="BV545" s="32"/>
      <c r="BW545" s="32"/>
      <c r="BX545" s="32"/>
      <c r="BY545" s="32"/>
      <c r="BZ545" s="32"/>
      <c r="CA545" s="32"/>
      <c r="CB545" s="32"/>
      <c r="CC545" s="32"/>
      <c r="CD545" s="32"/>
    </row>
    <row r="546" spans="1:8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181"/>
      <c r="S546" s="181"/>
      <c r="T546" s="181"/>
      <c r="U546" s="181"/>
      <c r="V546" s="181"/>
      <c r="W546" s="181"/>
      <c r="X546" s="181"/>
      <c r="Y546" s="181"/>
      <c r="Z546" s="181"/>
      <c r="AA546" s="181"/>
      <c r="AB546" s="181"/>
      <c r="AC546" s="181"/>
      <c r="AD546" s="181"/>
      <c r="AE546" s="181"/>
      <c r="AF546" s="181"/>
      <c r="AG546" s="181"/>
      <c r="AH546" s="181"/>
      <c r="AI546" s="181"/>
      <c r="AJ546" s="181"/>
      <c r="AK546" s="181"/>
      <c r="AL546" s="181"/>
      <c r="AM546" s="181"/>
      <c r="AN546" s="181"/>
      <c r="AO546" s="181"/>
      <c r="AP546" s="181"/>
      <c r="AQ546" s="181"/>
      <c r="AR546" s="181"/>
      <c r="AS546" s="181"/>
      <c r="AT546" s="181"/>
      <c r="AU546" s="181"/>
      <c r="AV546" s="181"/>
      <c r="AW546" s="181"/>
      <c r="AX546" s="181"/>
      <c r="AY546" s="181"/>
      <c r="AZ546" s="181"/>
      <c r="BA546" s="181"/>
      <c r="BB546" s="32"/>
      <c r="BC546" s="32"/>
      <c r="BD546" s="32"/>
      <c r="BE546" s="32"/>
      <c r="BF546" s="32"/>
      <c r="BG546" s="32"/>
      <c r="BH546" s="32"/>
      <c r="BI546" s="32"/>
      <c r="BJ546" s="32"/>
      <c r="BK546" s="32"/>
      <c r="BL546" s="32"/>
      <c r="BM546" s="32"/>
      <c r="BN546" s="32"/>
      <c r="BO546" s="32"/>
      <c r="BP546" s="32"/>
      <c r="BQ546" s="32"/>
      <c r="BR546" s="32"/>
      <c r="BS546" s="32"/>
      <c r="BT546" s="32"/>
      <c r="BU546" s="32"/>
      <c r="BV546" s="32"/>
      <c r="BW546" s="32"/>
      <c r="BX546" s="32"/>
      <c r="BY546" s="32"/>
      <c r="BZ546" s="32"/>
      <c r="CA546" s="32"/>
      <c r="CB546" s="32"/>
      <c r="CC546" s="32"/>
      <c r="CD546" s="32"/>
    </row>
    <row r="547" spans="1:8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181"/>
      <c r="S547" s="181"/>
      <c r="T547" s="181"/>
      <c r="U547" s="181"/>
      <c r="V547" s="181"/>
      <c r="W547" s="181"/>
      <c r="X547" s="181"/>
      <c r="Y547" s="181"/>
      <c r="Z547" s="181"/>
      <c r="AA547" s="181"/>
      <c r="AB547" s="181"/>
      <c r="AC547" s="181"/>
      <c r="AD547" s="181"/>
      <c r="AE547" s="181"/>
      <c r="AF547" s="181"/>
      <c r="AG547" s="181"/>
      <c r="AH547" s="181"/>
      <c r="AI547" s="181"/>
      <c r="AJ547" s="181"/>
      <c r="AK547" s="181"/>
      <c r="AL547" s="181"/>
      <c r="AM547" s="181"/>
      <c r="AN547" s="181"/>
      <c r="AO547" s="181"/>
      <c r="AP547" s="181"/>
      <c r="AQ547" s="181"/>
      <c r="AR547" s="181"/>
      <c r="AS547" s="181"/>
      <c r="AT547" s="181"/>
      <c r="AU547" s="181"/>
      <c r="AV547" s="181"/>
      <c r="AW547" s="181"/>
      <c r="AX547" s="181"/>
      <c r="AY547" s="181"/>
      <c r="AZ547" s="181"/>
      <c r="BA547" s="181"/>
      <c r="BB547" s="32"/>
      <c r="BC547" s="32"/>
      <c r="BD547" s="32"/>
      <c r="BE547" s="32"/>
      <c r="BF547" s="32"/>
      <c r="BG547" s="32"/>
      <c r="BH547" s="32"/>
      <c r="BI547" s="32"/>
      <c r="BJ547" s="32"/>
      <c r="BK547" s="32"/>
      <c r="BL547" s="32"/>
      <c r="BM547" s="32"/>
      <c r="BN547" s="32"/>
      <c r="BO547" s="32"/>
      <c r="BP547" s="32"/>
      <c r="BQ547" s="32"/>
      <c r="BR547" s="32"/>
      <c r="BS547" s="32"/>
      <c r="BT547" s="32"/>
      <c r="BU547" s="32"/>
      <c r="BV547" s="32"/>
      <c r="BW547" s="32"/>
      <c r="BX547" s="32"/>
      <c r="BY547" s="32"/>
      <c r="BZ547" s="32"/>
      <c r="CA547" s="32"/>
      <c r="CB547" s="32"/>
      <c r="CC547" s="32"/>
      <c r="CD547" s="32"/>
    </row>
    <row r="548" spans="1:8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181"/>
      <c r="S548" s="181"/>
      <c r="T548" s="181"/>
      <c r="U548" s="181"/>
      <c r="V548" s="181"/>
      <c r="W548" s="181"/>
      <c r="X548" s="181"/>
      <c r="Y548" s="181"/>
      <c r="Z548" s="181"/>
      <c r="AA548" s="181"/>
      <c r="AB548" s="181"/>
      <c r="AC548" s="181"/>
      <c r="AD548" s="181"/>
      <c r="AE548" s="181"/>
      <c r="AF548" s="181"/>
      <c r="AG548" s="181"/>
      <c r="AH548" s="181"/>
      <c r="AI548" s="181"/>
      <c r="AJ548" s="181"/>
      <c r="AK548" s="181"/>
      <c r="AL548" s="181"/>
      <c r="AM548" s="181"/>
      <c r="AN548" s="181"/>
      <c r="AO548" s="181"/>
      <c r="AP548" s="181"/>
      <c r="AQ548" s="181"/>
      <c r="AR548" s="181"/>
      <c r="AS548" s="181"/>
      <c r="AT548" s="181"/>
      <c r="AU548" s="181"/>
      <c r="AV548" s="181"/>
      <c r="AW548" s="181"/>
      <c r="AX548" s="181"/>
      <c r="AY548" s="181"/>
      <c r="AZ548" s="181"/>
      <c r="BA548" s="181"/>
      <c r="BB548" s="32"/>
      <c r="BC548" s="32"/>
      <c r="BD548" s="32"/>
      <c r="BE548" s="32"/>
      <c r="BF548" s="32"/>
      <c r="BG548" s="32"/>
      <c r="BH548" s="32"/>
      <c r="BI548" s="32"/>
      <c r="BJ548" s="32"/>
      <c r="BK548" s="32"/>
      <c r="BL548" s="32"/>
      <c r="BM548" s="32"/>
      <c r="BN548" s="32"/>
      <c r="BO548" s="32"/>
      <c r="BP548" s="32"/>
      <c r="BQ548" s="32"/>
      <c r="BR548" s="32"/>
      <c r="BS548" s="32"/>
      <c r="BT548" s="32"/>
      <c r="BU548" s="32"/>
      <c r="BV548" s="32"/>
      <c r="BW548" s="32"/>
      <c r="BX548" s="32"/>
      <c r="BY548" s="32"/>
      <c r="BZ548" s="32"/>
      <c r="CA548" s="32"/>
      <c r="CB548" s="32"/>
      <c r="CC548" s="32"/>
      <c r="CD548" s="32"/>
    </row>
    <row r="549" spans="1:8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181"/>
      <c r="S549" s="181"/>
      <c r="T549" s="181"/>
      <c r="U549" s="181"/>
      <c r="V549" s="181"/>
      <c r="W549" s="181"/>
      <c r="X549" s="181"/>
      <c r="Y549" s="181"/>
      <c r="Z549" s="181"/>
      <c r="AA549" s="181"/>
      <c r="AB549" s="181"/>
      <c r="AC549" s="181"/>
      <c r="AD549" s="181"/>
      <c r="AE549" s="181"/>
      <c r="AF549" s="181"/>
      <c r="AG549" s="181"/>
      <c r="AH549" s="181"/>
      <c r="AI549" s="181"/>
      <c r="AJ549" s="181"/>
      <c r="AK549" s="181"/>
      <c r="AL549" s="181"/>
      <c r="AM549" s="181"/>
      <c r="AN549" s="181"/>
      <c r="AO549" s="181"/>
      <c r="AP549" s="181"/>
      <c r="AQ549" s="181"/>
      <c r="AR549" s="181"/>
      <c r="AS549" s="181"/>
      <c r="AT549" s="181"/>
      <c r="AU549" s="181"/>
      <c r="AV549" s="181"/>
      <c r="AW549" s="181"/>
      <c r="AX549" s="181"/>
      <c r="AY549" s="181"/>
      <c r="AZ549" s="181"/>
      <c r="BA549" s="181"/>
      <c r="BB549" s="32"/>
      <c r="BC549" s="32"/>
      <c r="BD549" s="32"/>
      <c r="BE549" s="32"/>
      <c r="BF549" s="32"/>
      <c r="BG549" s="32"/>
      <c r="BH549" s="32"/>
      <c r="BI549" s="32"/>
      <c r="BJ549" s="32"/>
      <c r="BK549" s="32"/>
      <c r="BL549" s="32"/>
      <c r="BM549" s="32"/>
      <c r="BN549" s="32"/>
      <c r="BO549" s="32"/>
      <c r="BP549" s="32"/>
      <c r="BQ549" s="32"/>
      <c r="BR549" s="32"/>
      <c r="BS549" s="32"/>
      <c r="BT549" s="32"/>
      <c r="BU549" s="32"/>
      <c r="BV549" s="32"/>
      <c r="BW549" s="32"/>
      <c r="BX549" s="32"/>
      <c r="BY549" s="32"/>
      <c r="BZ549" s="32"/>
      <c r="CA549" s="32"/>
      <c r="CB549" s="32"/>
      <c r="CC549" s="32"/>
      <c r="CD549" s="32"/>
    </row>
    <row r="550" spans="1:8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181"/>
      <c r="S550" s="181"/>
      <c r="T550" s="181"/>
      <c r="U550" s="181"/>
      <c r="V550" s="181"/>
      <c r="W550" s="181"/>
      <c r="X550" s="181"/>
      <c r="Y550" s="181"/>
      <c r="Z550" s="181"/>
      <c r="AA550" s="181"/>
      <c r="AB550" s="181"/>
      <c r="AC550" s="181"/>
      <c r="AD550" s="181"/>
      <c r="AE550" s="181"/>
      <c r="AF550" s="181"/>
      <c r="AG550" s="181"/>
      <c r="AH550" s="181"/>
      <c r="AI550" s="181"/>
      <c r="AJ550" s="181"/>
      <c r="AK550" s="181"/>
      <c r="AL550" s="181"/>
      <c r="AM550" s="181"/>
      <c r="AN550" s="181"/>
      <c r="AO550" s="181"/>
      <c r="AP550" s="181"/>
      <c r="AQ550" s="181"/>
      <c r="AR550" s="181"/>
      <c r="AS550" s="181"/>
      <c r="AT550" s="181"/>
      <c r="AU550" s="181"/>
      <c r="AV550" s="181"/>
      <c r="AW550" s="181"/>
      <c r="AX550" s="181"/>
      <c r="AY550" s="181"/>
      <c r="AZ550" s="181"/>
      <c r="BA550" s="181"/>
      <c r="BB550" s="32"/>
      <c r="BC550" s="32"/>
      <c r="BD550" s="32"/>
      <c r="BE550" s="32"/>
      <c r="BF550" s="32"/>
      <c r="BG550" s="32"/>
      <c r="BH550" s="32"/>
      <c r="BI550" s="32"/>
      <c r="BJ550" s="32"/>
      <c r="BK550" s="32"/>
      <c r="BL550" s="32"/>
      <c r="BM550" s="32"/>
      <c r="BN550" s="32"/>
      <c r="BO550" s="32"/>
      <c r="BP550" s="32"/>
      <c r="BQ550" s="32"/>
      <c r="BR550" s="32"/>
      <c r="BS550" s="32"/>
      <c r="BT550" s="32"/>
      <c r="BU550" s="32"/>
      <c r="BV550" s="32"/>
      <c r="BW550" s="32"/>
      <c r="BX550" s="32"/>
      <c r="BY550" s="32"/>
      <c r="BZ550" s="32"/>
      <c r="CA550" s="32"/>
      <c r="CB550" s="32"/>
      <c r="CC550" s="32"/>
      <c r="CD550" s="32"/>
    </row>
    <row r="551" spans="1:8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181"/>
      <c r="S551" s="181"/>
      <c r="T551" s="181"/>
      <c r="U551" s="181"/>
      <c r="V551" s="181"/>
      <c r="W551" s="181"/>
      <c r="X551" s="181"/>
      <c r="Y551" s="181"/>
      <c r="Z551" s="181"/>
      <c r="AA551" s="181"/>
      <c r="AB551" s="181"/>
      <c r="AC551" s="181"/>
      <c r="AD551" s="181"/>
      <c r="AE551" s="181"/>
      <c r="AF551" s="181"/>
      <c r="AG551" s="181"/>
      <c r="AH551" s="181"/>
      <c r="AI551" s="181"/>
      <c r="AJ551" s="181"/>
      <c r="AK551" s="181"/>
      <c r="AL551" s="181"/>
      <c r="AM551" s="181"/>
      <c r="AN551" s="181"/>
      <c r="AO551" s="181"/>
      <c r="AP551" s="181"/>
      <c r="AQ551" s="181"/>
      <c r="AR551" s="181"/>
      <c r="AS551" s="181"/>
      <c r="AT551" s="181"/>
      <c r="AU551" s="181"/>
      <c r="AV551" s="181"/>
      <c r="AW551" s="181"/>
      <c r="AX551" s="181"/>
      <c r="AY551" s="181"/>
      <c r="AZ551" s="181"/>
      <c r="BA551" s="181"/>
      <c r="BB551" s="32"/>
      <c r="BC551" s="32"/>
      <c r="BD551" s="32"/>
      <c r="BE551" s="32"/>
      <c r="BF551" s="32"/>
      <c r="BG551" s="32"/>
      <c r="BH551" s="32"/>
      <c r="BI551" s="32"/>
      <c r="BJ551" s="32"/>
      <c r="BK551" s="32"/>
      <c r="BL551" s="32"/>
      <c r="BM551" s="32"/>
      <c r="BN551" s="32"/>
      <c r="BO551" s="32"/>
      <c r="BP551" s="32"/>
      <c r="BQ551" s="32"/>
      <c r="BR551" s="32"/>
      <c r="BS551" s="32"/>
      <c r="BT551" s="32"/>
      <c r="BU551" s="32"/>
      <c r="BV551" s="32"/>
      <c r="BW551" s="32"/>
      <c r="BX551" s="32"/>
      <c r="BY551" s="32"/>
      <c r="BZ551" s="32"/>
      <c r="CA551" s="32"/>
      <c r="CB551" s="32"/>
      <c r="CC551" s="32"/>
      <c r="CD551" s="32"/>
    </row>
    <row r="552" spans="1:8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181"/>
      <c r="S552" s="181"/>
      <c r="T552" s="181"/>
      <c r="U552" s="181"/>
      <c r="V552" s="181"/>
      <c r="W552" s="181"/>
      <c r="X552" s="181"/>
      <c r="Y552" s="181"/>
      <c r="Z552" s="181"/>
      <c r="AA552" s="181"/>
      <c r="AB552" s="181"/>
      <c r="AC552" s="181"/>
      <c r="AD552" s="181"/>
      <c r="AE552" s="181"/>
      <c r="AF552" s="181"/>
      <c r="AG552" s="181"/>
      <c r="AH552" s="181"/>
      <c r="AI552" s="181"/>
      <c r="AJ552" s="181"/>
      <c r="AK552" s="181"/>
      <c r="AL552" s="181"/>
      <c r="AM552" s="181"/>
      <c r="AN552" s="181"/>
      <c r="AO552" s="181"/>
      <c r="AP552" s="181"/>
      <c r="AQ552" s="181"/>
      <c r="AR552" s="181"/>
      <c r="AS552" s="181"/>
      <c r="AT552" s="181"/>
      <c r="AU552" s="181"/>
      <c r="AV552" s="181"/>
      <c r="AW552" s="181"/>
      <c r="AX552" s="181"/>
      <c r="AY552" s="181"/>
      <c r="AZ552" s="181"/>
      <c r="BA552" s="181"/>
      <c r="BB552" s="32"/>
      <c r="BC552" s="32"/>
      <c r="BD552" s="32"/>
      <c r="BE552" s="32"/>
      <c r="BF552" s="32"/>
      <c r="BG552" s="32"/>
      <c r="BH552" s="32"/>
      <c r="BI552" s="32"/>
      <c r="BJ552" s="32"/>
      <c r="BK552" s="32"/>
      <c r="BL552" s="32"/>
      <c r="BM552" s="32"/>
      <c r="BN552" s="32"/>
      <c r="BO552" s="32"/>
      <c r="BP552" s="32"/>
      <c r="BQ552" s="32"/>
      <c r="BR552" s="32"/>
      <c r="BS552" s="32"/>
      <c r="BT552" s="32"/>
      <c r="BU552" s="32"/>
      <c r="BV552" s="32"/>
      <c r="BW552" s="32"/>
      <c r="BX552" s="32"/>
      <c r="BY552" s="32"/>
      <c r="BZ552" s="32"/>
      <c r="CA552" s="32"/>
      <c r="CB552" s="32"/>
      <c r="CC552" s="32"/>
      <c r="CD552" s="32"/>
    </row>
    <row r="553" spans="1:8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181"/>
      <c r="S553" s="181"/>
      <c r="T553" s="181"/>
      <c r="U553" s="181"/>
      <c r="V553" s="181"/>
      <c r="W553" s="181"/>
      <c r="X553" s="181"/>
      <c r="Y553" s="181"/>
      <c r="Z553" s="181"/>
      <c r="AA553" s="181"/>
      <c r="AB553" s="181"/>
      <c r="AC553" s="181"/>
      <c r="AD553" s="181"/>
      <c r="AE553" s="181"/>
      <c r="AF553" s="181"/>
      <c r="AG553" s="181"/>
      <c r="AH553" s="181"/>
      <c r="AI553" s="181"/>
      <c r="AJ553" s="181"/>
      <c r="AK553" s="181"/>
      <c r="AL553" s="181"/>
      <c r="AM553" s="181"/>
      <c r="AN553" s="181"/>
      <c r="AO553" s="181"/>
      <c r="AP553" s="181"/>
      <c r="AQ553" s="181"/>
      <c r="AR553" s="181"/>
      <c r="AS553" s="181"/>
      <c r="AT553" s="181"/>
      <c r="AU553" s="181"/>
      <c r="AV553" s="181"/>
      <c r="AW553" s="181"/>
      <c r="AX553" s="181"/>
      <c r="AY553" s="181"/>
      <c r="AZ553" s="181"/>
      <c r="BA553" s="181"/>
      <c r="BB553" s="32"/>
      <c r="BC553" s="32"/>
      <c r="BD553" s="32"/>
      <c r="BE553" s="32"/>
      <c r="BF553" s="32"/>
      <c r="BG553" s="32"/>
      <c r="BH553" s="32"/>
      <c r="BI553" s="32"/>
      <c r="BJ553" s="32"/>
      <c r="BK553" s="32"/>
      <c r="BL553" s="32"/>
      <c r="BM553" s="32"/>
      <c r="BN553" s="32"/>
      <c r="BO553" s="32"/>
      <c r="BP553" s="32"/>
      <c r="BQ553" s="32"/>
      <c r="BR553" s="32"/>
      <c r="BS553" s="32"/>
      <c r="BT553" s="32"/>
      <c r="BU553" s="32"/>
      <c r="BV553" s="32"/>
      <c r="BW553" s="32"/>
      <c r="BX553" s="32"/>
      <c r="BY553" s="32"/>
      <c r="BZ553" s="32"/>
      <c r="CA553" s="32"/>
      <c r="CB553" s="32"/>
      <c r="CC553" s="32"/>
      <c r="CD553" s="32"/>
    </row>
    <row r="554" spans="1:8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181"/>
      <c r="S554" s="181"/>
      <c r="T554" s="181"/>
      <c r="U554" s="181"/>
      <c r="V554" s="181"/>
      <c r="W554" s="181"/>
      <c r="X554" s="181"/>
      <c r="Y554" s="181"/>
      <c r="Z554" s="181"/>
      <c r="AA554" s="181"/>
      <c r="AB554" s="181"/>
      <c r="AC554" s="181"/>
      <c r="AD554" s="181"/>
      <c r="AE554" s="181"/>
      <c r="AF554" s="181"/>
      <c r="AG554" s="181"/>
      <c r="AH554" s="181"/>
      <c r="AI554" s="181"/>
      <c r="AJ554" s="181"/>
      <c r="AK554" s="181"/>
      <c r="AL554" s="181"/>
      <c r="AM554" s="181"/>
      <c r="AN554" s="181"/>
      <c r="AO554" s="181"/>
      <c r="AP554" s="181"/>
      <c r="AQ554" s="181"/>
      <c r="AR554" s="181"/>
      <c r="AS554" s="181"/>
      <c r="AT554" s="181"/>
      <c r="AU554" s="181"/>
      <c r="AV554" s="181"/>
      <c r="AW554" s="181"/>
      <c r="AX554" s="181"/>
      <c r="AY554" s="181"/>
      <c r="AZ554" s="181"/>
      <c r="BA554" s="181"/>
      <c r="BB554" s="32"/>
      <c r="BC554" s="32"/>
      <c r="BD554" s="32"/>
      <c r="BE554" s="32"/>
      <c r="BF554" s="32"/>
      <c r="BG554" s="32"/>
      <c r="BH554" s="32"/>
      <c r="BI554" s="32"/>
      <c r="BJ554" s="32"/>
      <c r="BK554" s="32"/>
      <c r="BL554" s="32"/>
      <c r="BM554" s="32"/>
      <c r="BN554" s="32"/>
      <c r="BO554" s="32"/>
      <c r="BP554" s="32"/>
      <c r="BQ554" s="32"/>
      <c r="BR554" s="32"/>
      <c r="BS554" s="32"/>
      <c r="BT554" s="32"/>
      <c r="BU554" s="32"/>
      <c r="BV554" s="32"/>
      <c r="BW554" s="32"/>
      <c r="BX554" s="32"/>
      <c r="BY554" s="32"/>
      <c r="BZ554" s="32"/>
      <c r="CA554" s="32"/>
      <c r="CB554" s="32"/>
      <c r="CC554" s="32"/>
      <c r="CD554" s="32"/>
    </row>
    <row r="555" spans="1:8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181"/>
      <c r="S555" s="181"/>
      <c r="T555" s="181"/>
      <c r="U555" s="181"/>
      <c r="V555" s="181"/>
      <c r="W555" s="181"/>
      <c r="X555" s="181"/>
      <c r="Y555" s="181"/>
      <c r="Z555" s="181"/>
      <c r="AA555" s="181"/>
      <c r="AB555" s="181"/>
      <c r="AC555" s="181"/>
      <c r="AD555" s="181"/>
      <c r="AE555" s="181"/>
      <c r="AF555" s="181"/>
      <c r="AG555" s="181"/>
      <c r="AH555" s="181"/>
      <c r="AI555" s="181"/>
      <c r="AJ555" s="181"/>
      <c r="AK555" s="181"/>
      <c r="AL555" s="181"/>
      <c r="AM555" s="181"/>
      <c r="AN555" s="181"/>
      <c r="AO555" s="181"/>
      <c r="AP555" s="181"/>
      <c r="AQ555" s="181"/>
      <c r="AR555" s="181"/>
      <c r="AS555" s="181"/>
      <c r="AT555" s="181"/>
      <c r="AU555" s="181"/>
      <c r="AV555" s="181"/>
      <c r="AW555" s="181"/>
      <c r="AX555" s="181"/>
      <c r="AY555" s="181"/>
      <c r="AZ555" s="181"/>
      <c r="BA555" s="181"/>
      <c r="BB555" s="32"/>
      <c r="BC555" s="32"/>
      <c r="BD555" s="32"/>
      <c r="BE555" s="32"/>
      <c r="BF555" s="32"/>
      <c r="BG555" s="32"/>
      <c r="BH555" s="32"/>
      <c r="BI555" s="32"/>
      <c r="BJ555" s="32"/>
      <c r="BK555" s="32"/>
      <c r="BL555" s="32"/>
      <c r="BM555" s="32"/>
      <c r="BN555" s="32"/>
      <c r="BO555" s="32"/>
      <c r="BP555" s="32"/>
      <c r="BQ555" s="32"/>
      <c r="BR555" s="32"/>
      <c r="BS555" s="32"/>
      <c r="BT555" s="32"/>
      <c r="BU555" s="32"/>
      <c r="BV555" s="32"/>
      <c r="BW555" s="32"/>
      <c r="BX555" s="32"/>
      <c r="BY555" s="32"/>
      <c r="BZ555" s="32"/>
      <c r="CA555" s="32"/>
      <c r="CB555" s="32"/>
      <c r="CC555" s="32"/>
      <c r="CD555" s="32"/>
    </row>
    <row r="556" spans="1:8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181"/>
      <c r="S556" s="181"/>
      <c r="T556" s="181"/>
      <c r="U556" s="181"/>
      <c r="V556" s="181"/>
      <c r="W556" s="181"/>
      <c r="X556" s="181"/>
      <c r="Y556" s="181"/>
      <c r="Z556" s="181"/>
      <c r="AA556" s="181"/>
      <c r="AB556" s="181"/>
      <c r="AC556" s="181"/>
      <c r="AD556" s="181"/>
      <c r="AE556" s="181"/>
      <c r="AF556" s="181"/>
      <c r="AG556" s="181"/>
      <c r="AH556" s="181"/>
      <c r="AI556" s="181"/>
      <c r="AJ556" s="181"/>
      <c r="AK556" s="181"/>
      <c r="AL556" s="181"/>
      <c r="AM556" s="181"/>
      <c r="AN556" s="181"/>
      <c r="AO556" s="181"/>
      <c r="AP556" s="181"/>
      <c r="AQ556" s="181"/>
      <c r="AR556" s="181"/>
      <c r="AS556" s="181"/>
      <c r="AT556" s="181"/>
      <c r="AU556" s="181"/>
      <c r="AV556" s="181"/>
      <c r="AW556" s="181"/>
      <c r="AX556" s="181"/>
      <c r="AY556" s="181"/>
      <c r="AZ556" s="181"/>
      <c r="BA556" s="181"/>
      <c r="BB556" s="32"/>
      <c r="BC556" s="32"/>
      <c r="BD556" s="32"/>
      <c r="BE556" s="32"/>
      <c r="BF556" s="32"/>
      <c r="BG556" s="32"/>
      <c r="BH556" s="32"/>
      <c r="BI556" s="32"/>
      <c r="BJ556" s="32"/>
      <c r="BK556" s="32"/>
      <c r="BL556" s="32"/>
      <c r="BM556" s="32"/>
      <c r="BN556" s="32"/>
      <c r="BO556" s="32"/>
      <c r="BP556" s="32"/>
      <c r="BQ556" s="32"/>
      <c r="BR556" s="32"/>
      <c r="BS556" s="32"/>
      <c r="BT556" s="32"/>
      <c r="BU556" s="32"/>
      <c r="BV556" s="32"/>
      <c r="BW556" s="32"/>
      <c r="BX556" s="32"/>
      <c r="BY556" s="32"/>
      <c r="BZ556" s="32"/>
      <c r="CA556" s="32"/>
      <c r="CB556" s="32"/>
      <c r="CC556" s="32"/>
      <c r="CD556" s="32"/>
    </row>
    <row r="557" spans="1:8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181"/>
      <c r="S557" s="181"/>
      <c r="T557" s="181"/>
      <c r="U557" s="181"/>
      <c r="V557" s="181"/>
      <c r="W557" s="181"/>
      <c r="X557" s="181"/>
      <c r="Y557" s="181"/>
      <c r="Z557" s="181"/>
      <c r="AA557" s="181"/>
      <c r="AB557" s="181"/>
      <c r="AC557" s="181"/>
      <c r="AD557" s="181"/>
      <c r="AE557" s="181"/>
      <c r="AF557" s="181"/>
      <c r="AG557" s="181"/>
      <c r="AH557" s="181"/>
      <c r="AI557" s="181"/>
      <c r="AJ557" s="181"/>
      <c r="AK557" s="181"/>
      <c r="AL557" s="181"/>
      <c r="AM557" s="181"/>
      <c r="AN557" s="181"/>
      <c r="AO557" s="181"/>
      <c r="AP557" s="181"/>
      <c r="AQ557" s="181"/>
      <c r="AR557" s="181"/>
      <c r="AS557" s="181"/>
      <c r="AT557" s="181"/>
      <c r="AU557" s="181"/>
      <c r="AV557" s="181"/>
      <c r="AW557" s="181"/>
      <c r="AX557" s="181"/>
      <c r="AY557" s="181"/>
      <c r="AZ557" s="181"/>
      <c r="BA557" s="181"/>
      <c r="BB557" s="32"/>
      <c r="BC557" s="32"/>
      <c r="BD557" s="32"/>
      <c r="BE557" s="32"/>
      <c r="BF557" s="32"/>
      <c r="BG557" s="32"/>
      <c r="BH557" s="32"/>
      <c r="BI557" s="32"/>
      <c r="BJ557" s="32"/>
      <c r="BK557" s="32"/>
      <c r="BL557" s="32"/>
      <c r="BM557" s="32"/>
      <c r="BN557" s="32"/>
      <c r="BO557" s="32"/>
      <c r="BP557" s="32"/>
      <c r="BQ557" s="32"/>
      <c r="BR557" s="32"/>
      <c r="BS557" s="32"/>
      <c r="BT557" s="32"/>
      <c r="BU557" s="32"/>
      <c r="BV557" s="32"/>
      <c r="BW557" s="32"/>
      <c r="BX557" s="32"/>
      <c r="BY557" s="32"/>
      <c r="BZ557" s="32"/>
      <c r="CA557" s="32"/>
      <c r="CB557" s="32"/>
      <c r="CC557" s="32"/>
      <c r="CD557" s="32"/>
    </row>
    <row r="558" spans="1:8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181"/>
      <c r="S558" s="181"/>
      <c r="T558" s="181"/>
      <c r="U558" s="181"/>
      <c r="V558" s="181"/>
      <c r="W558" s="181"/>
      <c r="X558" s="181"/>
      <c r="Y558" s="181"/>
      <c r="Z558" s="181"/>
      <c r="AA558" s="181"/>
      <c r="AB558" s="181"/>
      <c r="AC558" s="181"/>
      <c r="AD558" s="181"/>
      <c r="AE558" s="181"/>
      <c r="AF558" s="181"/>
      <c r="AG558" s="181"/>
      <c r="AH558" s="181"/>
      <c r="AI558" s="181"/>
      <c r="AJ558" s="181"/>
      <c r="AK558" s="181"/>
      <c r="AL558" s="181"/>
      <c r="AM558" s="181"/>
      <c r="AN558" s="181"/>
      <c r="AO558" s="181"/>
      <c r="AP558" s="181"/>
      <c r="AQ558" s="181"/>
      <c r="AR558" s="181"/>
      <c r="AS558" s="181"/>
      <c r="AT558" s="181"/>
      <c r="AU558" s="181"/>
      <c r="AV558" s="181"/>
      <c r="AW558" s="181"/>
      <c r="AX558" s="181"/>
      <c r="AY558" s="181"/>
      <c r="AZ558" s="181"/>
      <c r="BA558" s="181"/>
      <c r="BB558" s="32"/>
      <c r="BC558" s="32"/>
      <c r="BD558" s="32"/>
      <c r="BE558" s="32"/>
      <c r="BF558" s="32"/>
      <c r="BG558" s="32"/>
      <c r="BH558" s="32"/>
      <c r="BI558" s="32"/>
      <c r="BJ558" s="32"/>
      <c r="BK558" s="32"/>
      <c r="BL558" s="32"/>
      <c r="BM558" s="32"/>
      <c r="BN558" s="32"/>
      <c r="BO558" s="32"/>
      <c r="BP558" s="32"/>
      <c r="BQ558" s="32"/>
      <c r="BR558" s="32"/>
      <c r="BS558" s="32"/>
      <c r="BT558" s="32"/>
      <c r="BU558" s="32"/>
      <c r="BV558" s="32"/>
      <c r="BW558" s="32"/>
      <c r="BX558" s="32"/>
      <c r="BY558" s="32"/>
      <c r="BZ558" s="32"/>
      <c r="CA558" s="32"/>
      <c r="CB558" s="32"/>
      <c r="CC558" s="32"/>
      <c r="CD558" s="32"/>
    </row>
    <row r="559" spans="1:8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181"/>
      <c r="S559" s="181"/>
      <c r="T559" s="181"/>
      <c r="U559" s="181"/>
      <c r="V559" s="181"/>
      <c r="W559" s="181"/>
      <c r="X559" s="181"/>
      <c r="Y559" s="181"/>
      <c r="Z559" s="181"/>
      <c r="AA559" s="181"/>
      <c r="AB559" s="181"/>
      <c r="AC559" s="181"/>
      <c r="AD559" s="181"/>
      <c r="AE559" s="181"/>
      <c r="AF559" s="181"/>
      <c r="AG559" s="181"/>
      <c r="AH559" s="181"/>
      <c r="AI559" s="181"/>
      <c r="AJ559" s="181"/>
      <c r="AK559" s="181"/>
      <c r="AL559" s="181"/>
      <c r="AM559" s="181"/>
      <c r="AN559" s="181"/>
      <c r="AO559" s="181"/>
      <c r="AP559" s="181"/>
      <c r="AQ559" s="181"/>
      <c r="AR559" s="181"/>
      <c r="AS559" s="181"/>
      <c r="AT559" s="181"/>
      <c r="AU559" s="181"/>
      <c r="AV559" s="181"/>
      <c r="AW559" s="181"/>
      <c r="AX559" s="181"/>
      <c r="AY559" s="181"/>
      <c r="AZ559" s="181"/>
      <c r="BA559" s="181"/>
      <c r="BB559" s="32"/>
      <c r="BC559" s="32"/>
      <c r="BD559" s="32"/>
      <c r="BE559" s="32"/>
      <c r="BF559" s="32"/>
      <c r="BG559" s="32"/>
      <c r="BH559" s="32"/>
      <c r="BI559" s="32"/>
      <c r="BJ559" s="32"/>
      <c r="BK559" s="32"/>
      <c r="BL559" s="32"/>
      <c r="BM559" s="32"/>
      <c r="BN559" s="32"/>
      <c r="BO559" s="32"/>
      <c r="BP559" s="32"/>
      <c r="BQ559" s="32"/>
      <c r="BR559" s="32"/>
      <c r="BS559" s="32"/>
      <c r="BT559" s="32"/>
      <c r="BU559" s="32"/>
      <c r="BV559" s="32"/>
      <c r="BW559" s="32"/>
      <c r="BX559" s="32"/>
      <c r="BY559" s="32"/>
      <c r="BZ559" s="32"/>
      <c r="CA559" s="32"/>
      <c r="CB559" s="32"/>
      <c r="CC559" s="32"/>
      <c r="CD559" s="32"/>
    </row>
    <row r="560" spans="1:8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181"/>
      <c r="S560" s="181"/>
      <c r="T560" s="181"/>
      <c r="U560" s="181"/>
      <c r="V560" s="181"/>
      <c r="W560" s="181"/>
      <c r="X560" s="181"/>
      <c r="Y560" s="181"/>
      <c r="Z560" s="181"/>
      <c r="AA560" s="181"/>
      <c r="AB560" s="181"/>
      <c r="AC560" s="181"/>
      <c r="AD560" s="181"/>
      <c r="AE560" s="181"/>
      <c r="AF560" s="181"/>
      <c r="AG560" s="181"/>
      <c r="AH560" s="181"/>
      <c r="AI560" s="181"/>
      <c r="AJ560" s="181"/>
      <c r="AK560" s="181"/>
      <c r="AL560" s="181"/>
      <c r="AM560" s="181"/>
      <c r="AN560" s="181"/>
      <c r="AO560" s="181"/>
      <c r="AP560" s="181"/>
      <c r="AQ560" s="181"/>
      <c r="AR560" s="181"/>
      <c r="AS560" s="181"/>
      <c r="AT560" s="181"/>
      <c r="AU560" s="181"/>
      <c r="AV560" s="181"/>
      <c r="AW560" s="181"/>
      <c r="AX560" s="181"/>
      <c r="AY560" s="181"/>
      <c r="AZ560" s="181"/>
      <c r="BA560" s="181"/>
      <c r="BB560" s="32"/>
      <c r="BC560" s="32"/>
      <c r="BD560" s="32"/>
      <c r="BE560" s="32"/>
      <c r="BF560" s="32"/>
      <c r="BG560" s="32"/>
      <c r="BH560" s="32"/>
      <c r="BI560" s="32"/>
      <c r="BJ560" s="32"/>
      <c r="BK560" s="32"/>
      <c r="BL560" s="32"/>
      <c r="BM560" s="32"/>
      <c r="BN560" s="32"/>
      <c r="BO560" s="32"/>
      <c r="BP560" s="32"/>
      <c r="BQ560" s="32"/>
      <c r="BR560" s="32"/>
      <c r="BS560" s="32"/>
      <c r="BT560" s="32"/>
      <c r="BU560" s="32"/>
      <c r="BV560" s="32"/>
      <c r="BW560" s="32"/>
      <c r="BX560" s="32"/>
      <c r="BY560" s="32"/>
      <c r="BZ560" s="32"/>
      <c r="CA560" s="32"/>
      <c r="CB560" s="32"/>
      <c r="CC560" s="32"/>
      <c r="CD560" s="32"/>
    </row>
    <row r="561" spans="1:8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181"/>
      <c r="S561" s="181"/>
      <c r="T561" s="181"/>
      <c r="U561" s="181"/>
      <c r="V561" s="181"/>
      <c r="W561" s="181"/>
      <c r="X561" s="181"/>
      <c r="Y561" s="181"/>
      <c r="Z561" s="181"/>
      <c r="AA561" s="181"/>
      <c r="AB561" s="181"/>
      <c r="AC561" s="181"/>
      <c r="AD561" s="181"/>
      <c r="AE561" s="181"/>
      <c r="AF561" s="181"/>
      <c r="AG561" s="181"/>
      <c r="AH561" s="181"/>
      <c r="AI561" s="181"/>
      <c r="AJ561" s="181"/>
      <c r="AK561" s="181"/>
      <c r="AL561" s="181"/>
      <c r="AM561" s="181"/>
      <c r="AN561" s="181"/>
      <c r="AO561" s="181"/>
      <c r="AP561" s="181"/>
      <c r="AQ561" s="181"/>
      <c r="AR561" s="181"/>
      <c r="AS561" s="181"/>
      <c r="AT561" s="181"/>
      <c r="AU561" s="181"/>
      <c r="AV561" s="181"/>
      <c r="AW561" s="181"/>
      <c r="AX561" s="181"/>
      <c r="AY561" s="181"/>
      <c r="AZ561" s="181"/>
      <c r="BA561" s="181"/>
      <c r="BB561" s="32"/>
      <c r="BC561" s="32"/>
      <c r="BD561" s="32"/>
      <c r="BE561" s="32"/>
      <c r="BF561" s="32"/>
      <c r="BG561" s="32"/>
      <c r="BH561" s="32"/>
      <c r="BI561" s="32"/>
      <c r="BJ561" s="32"/>
      <c r="BK561" s="32"/>
      <c r="BL561" s="32"/>
      <c r="BM561" s="32"/>
      <c r="BN561" s="32"/>
      <c r="BO561" s="32"/>
      <c r="BP561" s="32"/>
      <c r="BQ561" s="32"/>
      <c r="BR561" s="32"/>
      <c r="BS561" s="32"/>
      <c r="BT561" s="32"/>
      <c r="BU561" s="32"/>
      <c r="BV561" s="32"/>
      <c r="BW561" s="32"/>
      <c r="BX561" s="32"/>
      <c r="BY561" s="32"/>
      <c r="BZ561" s="32"/>
      <c r="CA561" s="32"/>
      <c r="CB561" s="32"/>
      <c r="CC561" s="32"/>
      <c r="CD561" s="32"/>
    </row>
    <row r="562" spans="1:8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181"/>
      <c r="S562" s="181"/>
      <c r="T562" s="181"/>
      <c r="U562" s="181"/>
      <c r="V562" s="181"/>
      <c r="W562" s="181"/>
      <c r="X562" s="181"/>
      <c r="Y562" s="181"/>
      <c r="Z562" s="181"/>
      <c r="AA562" s="181"/>
      <c r="AB562" s="181"/>
      <c r="AC562" s="181"/>
      <c r="AD562" s="181"/>
      <c r="AE562" s="181"/>
      <c r="AF562" s="181"/>
      <c r="AG562" s="181"/>
      <c r="AH562" s="181"/>
      <c r="AI562" s="181"/>
      <c r="AJ562" s="181"/>
      <c r="AK562" s="181"/>
      <c r="AL562" s="181"/>
      <c r="AM562" s="181"/>
      <c r="AN562" s="181"/>
      <c r="AO562" s="181"/>
      <c r="AP562" s="181"/>
      <c r="AQ562" s="181"/>
      <c r="AR562" s="181"/>
      <c r="AS562" s="181"/>
      <c r="AT562" s="181"/>
      <c r="AU562" s="181"/>
      <c r="AV562" s="181"/>
      <c r="AW562" s="181"/>
      <c r="AX562" s="181"/>
      <c r="AY562" s="181"/>
      <c r="AZ562" s="181"/>
      <c r="BA562" s="181"/>
      <c r="BB562" s="32"/>
      <c r="BC562" s="32"/>
      <c r="BD562" s="32"/>
      <c r="BE562" s="32"/>
      <c r="BF562" s="32"/>
      <c r="BG562" s="32"/>
      <c r="BH562" s="32"/>
      <c r="BI562" s="32"/>
      <c r="BJ562" s="32"/>
      <c r="BK562" s="32"/>
      <c r="BL562" s="32"/>
      <c r="BM562" s="32"/>
      <c r="BN562" s="32"/>
      <c r="BO562" s="32"/>
      <c r="BP562" s="32"/>
      <c r="BQ562" s="32"/>
      <c r="BR562" s="32"/>
      <c r="BS562" s="32"/>
      <c r="BT562" s="32"/>
      <c r="BU562" s="32"/>
      <c r="BV562" s="32"/>
      <c r="BW562" s="32"/>
      <c r="BX562" s="32"/>
      <c r="BY562" s="32"/>
      <c r="BZ562" s="32"/>
      <c r="CA562" s="32"/>
      <c r="CB562" s="32"/>
      <c r="CC562" s="32"/>
      <c r="CD562" s="32"/>
    </row>
    <row r="563" spans="1:8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181"/>
      <c r="S563" s="181"/>
      <c r="T563" s="181"/>
      <c r="U563" s="181"/>
      <c r="V563" s="181"/>
      <c r="W563" s="181"/>
      <c r="X563" s="181"/>
      <c r="Y563" s="181"/>
      <c r="Z563" s="181"/>
      <c r="AA563" s="181"/>
      <c r="AB563" s="181"/>
      <c r="AC563" s="181"/>
      <c r="AD563" s="181"/>
      <c r="AE563" s="181"/>
      <c r="AF563" s="181"/>
      <c r="AG563" s="181"/>
      <c r="AH563" s="181"/>
      <c r="AI563" s="181"/>
      <c r="AJ563" s="181"/>
      <c r="AK563" s="181"/>
      <c r="AL563" s="181"/>
      <c r="AM563" s="181"/>
      <c r="AN563" s="181"/>
      <c r="AO563" s="181"/>
      <c r="AP563" s="181"/>
      <c r="AQ563" s="181"/>
      <c r="AR563" s="181"/>
      <c r="AS563" s="181"/>
      <c r="AT563" s="181"/>
      <c r="AU563" s="181"/>
      <c r="AV563" s="181"/>
      <c r="AW563" s="181"/>
      <c r="AX563" s="181"/>
      <c r="AY563" s="181"/>
      <c r="AZ563" s="181"/>
      <c r="BA563" s="181"/>
      <c r="BB563" s="32"/>
      <c r="BC563" s="32"/>
      <c r="BD563" s="32"/>
      <c r="BE563" s="32"/>
      <c r="BF563" s="32"/>
      <c r="BG563" s="32"/>
      <c r="BH563" s="32"/>
      <c r="BI563" s="32"/>
      <c r="BJ563" s="32"/>
      <c r="BK563" s="32"/>
      <c r="BL563" s="32"/>
      <c r="BM563" s="32"/>
      <c r="BN563" s="32"/>
      <c r="BO563" s="32"/>
      <c r="BP563" s="32"/>
      <c r="BQ563" s="32"/>
      <c r="BR563" s="32"/>
      <c r="BS563" s="32"/>
      <c r="BT563" s="32"/>
      <c r="BU563" s="32"/>
      <c r="BV563" s="32"/>
      <c r="BW563" s="32"/>
      <c r="BX563" s="32"/>
      <c r="BY563" s="32"/>
      <c r="BZ563" s="32"/>
      <c r="CA563" s="32"/>
      <c r="CB563" s="32"/>
      <c r="CC563" s="32"/>
      <c r="CD563" s="32"/>
    </row>
    <row r="564" spans="1:8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181"/>
      <c r="S564" s="181"/>
      <c r="T564" s="181"/>
      <c r="U564" s="181"/>
      <c r="V564" s="181"/>
      <c r="W564" s="181"/>
      <c r="X564" s="181"/>
      <c r="Y564" s="181"/>
      <c r="Z564" s="181"/>
      <c r="AA564" s="181"/>
      <c r="AB564" s="181"/>
      <c r="AC564" s="181"/>
      <c r="AD564" s="181"/>
      <c r="AE564" s="181"/>
      <c r="AF564" s="181"/>
      <c r="AG564" s="181"/>
      <c r="AH564" s="181"/>
      <c r="AI564" s="181"/>
      <c r="AJ564" s="181"/>
      <c r="AK564" s="181"/>
      <c r="AL564" s="181"/>
      <c r="AM564" s="181"/>
      <c r="AN564" s="181"/>
      <c r="AO564" s="181"/>
      <c r="AP564" s="181"/>
      <c r="AQ564" s="181"/>
      <c r="AR564" s="181"/>
      <c r="AS564" s="181"/>
      <c r="AT564" s="181"/>
      <c r="AU564" s="181"/>
      <c r="AV564" s="181"/>
      <c r="AW564" s="181"/>
      <c r="AX564" s="181"/>
      <c r="AY564" s="181"/>
      <c r="AZ564" s="181"/>
      <c r="BA564" s="181"/>
      <c r="BB564" s="32"/>
      <c r="BC564" s="32"/>
      <c r="BD564" s="32"/>
      <c r="BE564" s="32"/>
      <c r="BF564" s="32"/>
      <c r="BG564" s="32"/>
      <c r="BH564" s="32"/>
      <c r="BI564" s="32"/>
      <c r="BJ564" s="32"/>
      <c r="BK564" s="32"/>
      <c r="BL564" s="32"/>
      <c r="BM564" s="32"/>
      <c r="BN564" s="32"/>
      <c r="BO564" s="32"/>
      <c r="BP564" s="32"/>
      <c r="BQ564" s="32"/>
      <c r="BR564" s="32"/>
      <c r="BS564" s="32"/>
      <c r="BT564" s="32"/>
      <c r="BU564" s="32"/>
      <c r="BV564" s="32"/>
      <c r="BW564" s="32"/>
      <c r="BX564" s="32"/>
      <c r="BY564" s="32"/>
      <c r="BZ564" s="32"/>
      <c r="CA564" s="32"/>
      <c r="CB564" s="32"/>
      <c r="CC564" s="32"/>
      <c r="CD564" s="32"/>
    </row>
    <row r="565" spans="1:8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181"/>
      <c r="S565" s="181"/>
      <c r="T565" s="181"/>
      <c r="U565" s="181"/>
      <c r="V565" s="181"/>
      <c r="W565" s="181"/>
      <c r="X565" s="181"/>
      <c r="Y565" s="181"/>
      <c r="Z565" s="181"/>
      <c r="AA565" s="181"/>
      <c r="AB565" s="181"/>
      <c r="AC565" s="181"/>
      <c r="AD565" s="181"/>
      <c r="AE565" s="181"/>
      <c r="AF565" s="181"/>
      <c r="AG565" s="181"/>
      <c r="AH565" s="181"/>
      <c r="AI565" s="181"/>
      <c r="AJ565" s="181"/>
      <c r="AK565" s="181"/>
      <c r="AL565" s="181"/>
      <c r="AM565" s="181"/>
      <c r="AN565" s="181"/>
      <c r="AO565" s="181"/>
      <c r="AP565" s="181"/>
      <c r="AQ565" s="181"/>
      <c r="AR565" s="181"/>
      <c r="AS565" s="181"/>
      <c r="AT565" s="181"/>
      <c r="AU565" s="181"/>
      <c r="AV565" s="181"/>
      <c r="AW565" s="181"/>
      <c r="AX565" s="181"/>
      <c r="AY565" s="181"/>
      <c r="AZ565" s="181"/>
      <c r="BA565" s="181"/>
      <c r="BB565" s="32"/>
      <c r="BC565" s="32"/>
      <c r="BD565" s="32"/>
      <c r="BE565" s="32"/>
      <c r="BF565" s="32"/>
      <c r="BG565" s="32"/>
      <c r="BH565" s="32"/>
      <c r="BI565" s="32"/>
      <c r="BJ565" s="32"/>
      <c r="BK565" s="32"/>
      <c r="BL565" s="32"/>
      <c r="BM565" s="32"/>
      <c r="BN565" s="32"/>
      <c r="BO565" s="32"/>
      <c r="BP565" s="32"/>
      <c r="BQ565" s="32"/>
      <c r="BR565" s="32"/>
      <c r="BS565" s="32"/>
      <c r="BT565" s="32"/>
      <c r="BU565" s="32"/>
      <c r="BV565" s="32"/>
      <c r="BW565" s="32"/>
      <c r="BX565" s="32"/>
      <c r="BY565" s="32"/>
      <c r="BZ565" s="32"/>
      <c r="CA565" s="32"/>
      <c r="CB565" s="32"/>
      <c r="CC565" s="32"/>
      <c r="CD565" s="32"/>
    </row>
    <row r="566" spans="1:8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181"/>
      <c r="S566" s="181"/>
      <c r="T566" s="181"/>
      <c r="U566" s="181"/>
      <c r="V566" s="181"/>
      <c r="W566" s="181"/>
      <c r="X566" s="181"/>
      <c r="Y566" s="181"/>
      <c r="Z566" s="181"/>
      <c r="AA566" s="181"/>
      <c r="AB566" s="181"/>
      <c r="AC566" s="181"/>
      <c r="AD566" s="181"/>
      <c r="AE566" s="181"/>
      <c r="AF566" s="181"/>
      <c r="AG566" s="181"/>
      <c r="AH566" s="181"/>
      <c r="AI566" s="181"/>
      <c r="AJ566" s="181"/>
      <c r="AK566" s="181"/>
      <c r="AL566" s="181"/>
      <c r="AM566" s="181"/>
      <c r="AN566" s="181"/>
      <c r="AO566" s="181"/>
      <c r="AP566" s="181"/>
      <c r="AQ566" s="181"/>
      <c r="AR566" s="181"/>
      <c r="AS566" s="181"/>
      <c r="AT566" s="181"/>
      <c r="AU566" s="181"/>
      <c r="AV566" s="181"/>
      <c r="AW566" s="181"/>
      <c r="AX566" s="181"/>
      <c r="AY566" s="181"/>
      <c r="AZ566" s="181"/>
      <c r="BA566" s="181"/>
      <c r="BB566" s="32"/>
      <c r="BC566" s="32"/>
      <c r="BD566" s="32"/>
      <c r="BE566" s="32"/>
      <c r="BF566" s="32"/>
      <c r="BG566" s="32"/>
      <c r="BH566" s="32"/>
      <c r="BI566" s="32"/>
      <c r="BJ566" s="32"/>
      <c r="BK566" s="32"/>
      <c r="BL566" s="32"/>
      <c r="BM566" s="32"/>
      <c r="BN566" s="32"/>
      <c r="BO566" s="32"/>
      <c r="BP566" s="32"/>
      <c r="BQ566" s="32"/>
      <c r="BR566" s="32"/>
      <c r="BS566" s="32"/>
      <c r="BT566" s="32"/>
      <c r="BU566" s="32"/>
      <c r="BV566" s="32"/>
      <c r="BW566" s="32"/>
      <c r="BX566" s="32"/>
      <c r="BY566" s="32"/>
      <c r="BZ566" s="32"/>
      <c r="CA566" s="32"/>
      <c r="CB566" s="32"/>
      <c r="CC566" s="32"/>
      <c r="CD566" s="32"/>
    </row>
    <row r="567" spans="1:8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181"/>
      <c r="S567" s="181"/>
      <c r="T567" s="181"/>
      <c r="U567" s="181"/>
      <c r="V567" s="181"/>
      <c r="W567" s="181"/>
      <c r="X567" s="181"/>
      <c r="Y567" s="181"/>
      <c r="Z567" s="181"/>
      <c r="AA567" s="181"/>
      <c r="AB567" s="181"/>
      <c r="AC567" s="181"/>
      <c r="AD567" s="181"/>
      <c r="AE567" s="181"/>
      <c r="AF567" s="181"/>
      <c r="AG567" s="181"/>
      <c r="AH567" s="181"/>
      <c r="AI567" s="181"/>
      <c r="AJ567" s="181"/>
      <c r="AK567" s="181"/>
      <c r="AL567" s="181"/>
      <c r="AM567" s="181"/>
      <c r="AN567" s="181"/>
      <c r="AO567" s="181"/>
      <c r="AP567" s="181"/>
      <c r="AQ567" s="181"/>
      <c r="AR567" s="181"/>
      <c r="AS567" s="181"/>
      <c r="AT567" s="181"/>
      <c r="AU567" s="181"/>
      <c r="AV567" s="181"/>
      <c r="AW567" s="181"/>
      <c r="AX567" s="181"/>
      <c r="AY567" s="181"/>
      <c r="AZ567" s="181"/>
      <c r="BA567" s="181"/>
      <c r="BB567" s="32"/>
      <c r="BC567" s="32"/>
      <c r="BD567" s="32"/>
      <c r="BE567" s="32"/>
      <c r="BF567" s="32"/>
      <c r="BG567" s="32"/>
      <c r="BH567" s="32"/>
      <c r="BI567" s="32"/>
      <c r="BJ567" s="32"/>
      <c r="BK567" s="32"/>
      <c r="BL567" s="32"/>
      <c r="BM567" s="32"/>
      <c r="BN567" s="32"/>
      <c r="BO567" s="32"/>
      <c r="BP567" s="32"/>
      <c r="BQ567" s="32"/>
      <c r="BR567" s="32"/>
      <c r="BS567" s="32"/>
      <c r="BT567" s="32"/>
      <c r="BU567" s="32"/>
      <c r="BV567" s="32"/>
      <c r="BW567" s="32"/>
      <c r="BX567" s="32"/>
      <c r="BY567" s="32"/>
      <c r="BZ567" s="32"/>
      <c r="CA567" s="32"/>
      <c r="CB567" s="32"/>
      <c r="CC567" s="32"/>
      <c r="CD567" s="32"/>
    </row>
    <row r="568" spans="1:8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181"/>
      <c r="S568" s="181"/>
      <c r="T568" s="181"/>
      <c r="U568" s="181"/>
      <c r="V568" s="181"/>
      <c r="W568" s="181"/>
      <c r="X568" s="181"/>
      <c r="Y568" s="181"/>
      <c r="Z568" s="181"/>
      <c r="AA568" s="181"/>
      <c r="AB568" s="181"/>
      <c r="AC568" s="181"/>
      <c r="AD568" s="181"/>
      <c r="AE568" s="181"/>
      <c r="AF568" s="181"/>
      <c r="AG568" s="181"/>
      <c r="AH568" s="181"/>
      <c r="AI568" s="181"/>
      <c r="AJ568" s="181"/>
      <c r="AK568" s="181"/>
      <c r="AL568" s="181"/>
      <c r="AM568" s="181"/>
      <c r="AN568" s="181"/>
      <c r="AO568" s="181"/>
      <c r="AP568" s="181"/>
      <c r="AQ568" s="181"/>
      <c r="AR568" s="181"/>
      <c r="AS568" s="181"/>
      <c r="AT568" s="181"/>
      <c r="AU568" s="181"/>
      <c r="AV568" s="181"/>
      <c r="AW568" s="181"/>
      <c r="AX568" s="181"/>
      <c r="AY568" s="181"/>
      <c r="AZ568" s="181"/>
      <c r="BA568" s="181"/>
      <c r="BB568" s="32"/>
      <c r="BC568" s="32"/>
      <c r="BD568" s="32"/>
      <c r="BE568" s="32"/>
      <c r="BF568" s="32"/>
      <c r="BG568" s="32"/>
      <c r="BH568" s="32"/>
      <c r="BI568" s="32"/>
      <c r="BJ568" s="32"/>
      <c r="BK568" s="32"/>
      <c r="BL568" s="32"/>
      <c r="BM568" s="32"/>
      <c r="BN568" s="32"/>
      <c r="BO568" s="32"/>
      <c r="BP568" s="32"/>
      <c r="BQ568" s="32"/>
      <c r="BR568" s="32"/>
      <c r="BS568" s="32"/>
      <c r="BT568" s="32"/>
      <c r="BU568" s="32"/>
      <c r="BV568" s="32"/>
      <c r="BW568" s="32"/>
      <c r="BX568" s="32"/>
      <c r="BY568" s="32"/>
      <c r="BZ568" s="32"/>
      <c r="CA568" s="32"/>
      <c r="CB568" s="32"/>
      <c r="CC568" s="32"/>
      <c r="CD568" s="32"/>
    </row>
    <row r="569" spans="1:8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181"/>
      <c r="S569" s="181"/>
      <c r="T569" s="181"/>
      <c r="U569" s="181"/>
      <c r="V569" s="181"/>
      <c r="W569" s="181"/>
      <c r="X569" s="181"/>
      <c r="Y569" s="181"/>
      <c r="Z569" s="181"/>
      <c r="AA569" s="181"/>
      <c r="AB569" s="181"/>
      <c r="AC569" s="181"/>
      <c r="AD569" s="181"/>
      <c r="AE569" s="181"/>
      <c r="AF569" s="181"/>
      <c r="AG569" s="181"/>
      <c r="AH569" s="181"/>
      <c r="AI569" s="181"/>
      <c r="AJ569" s="181"/>
      <c r="AK569" s="181"/>
      <c r="AL569" s="181"/>
      <c r="AM569" s="181"/>
      <c r="AN569" s="181"/>
      <c r="AO569" s="181"/>
      <c r="AP569" s="181"/>
      <c r="AQ569" s="181"/>
      <c r="AR569" s="181"/>
      <c r="AS569" s="181"/>
      <c r="AT569" s="181"/>
      <c r="AU569" s="181"/>
      <c r="AV569" s="181"/>
      <c r="AW569" s="181"/>
      <c r="AX569" s="181"/>
      <c r="AY569" s="181"/>
      <c r="AZ569" s="181"/>
      <c r="BA569" s="181"/>
      <c r="BB569" s="32"/>
      <c r="BC569" s="32"/>
      <c r="BD569" s="32"/>
      <c r="BE569" s="32"/>
      <c r="BF569" s="32"/>
      <c r="BG569" s="32"/>
      <c r="BH569" s="32"/>
      <c r="BI569" s="32"/>
      <c r="BJ569" s="32"/>
      <c r="BK569" s="32"/>
      <c r="BL569" s="32"/>
      <c r="BM569" s="32"/>
      <c r="BN569" s="32"/>
      <c r="BO569" s="32"/>
      <c r="BP569" s="32"/>
      <c r="BQ569" s="32"/>
      <c r="BR569" s="32"/>
      <c r="BS569" s="32"/>
      <c r="BT569" s="32"/>
      <c r="BU569" s="32"/>
      <c r="BV569" s="32"/>
      <c r="BW569" s="32"/>
      <c r="BX569" s="32"/>
      <c r="BY569" s="32"/>
      <c r="BZ569" s="32"/>
      <c r="CA569" s="32"/>
      <c r="CB569" s="32"/>
      <c r="CC569" s="32"/>
      <c r="CD569" s="32"/>
    </row>
    <row r="570" spans="1:8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181"/>
      <c r="S570" s="181"/>
      <c r="T570" s="181"/>
      <c r="U570" s="181"/>
      <c r="V570" s="181"/>
      <c r="W570" s="181"/>
      <c r="X570" s="181"/>
      <c r="Y570" s="181"/>
      <c r="Z570" s="181"/>
      <c r="AA570" s="181"/>
      <c r="AB570" s="181"/>
      <c r="AC570" s="181"/>
      <c r="AD570" s="181"/>
      <c r="AE570" s="181"/>
      <c r="AF570" s="181"/>
      <c r="AG570" s="181"/>
      <c r="AH570" s="181"/>
      <c r="AI570" s="181"/>
      <c r="AJ570" s="181"/>
      <c r="AK570" s="181"/>
      <c r="AL570" s="181"/>
      <c r="AM570" s="181"/>
      <c r="AN570" s="181"/>
      <c r="AO570" s="181"/>
      <c r="AP570" s="181"/>
      <c r="AQ570" s="181"/>
      <c r="AR570" s="181"/>
      <c r="AS570" s="181"/>
      <c r="AT570" s="181"/>
      <c r="AU570" s="181"/>
      <c r="AV570" s="181"/>
      <c r="AW570" s="181"/>
      <c r="AX570" s="181"/>
      <c r="AY570" s="181"/>
      <c r="AZ570" s="181"/>
      <c r="BA570" s="181"/>
      <c r="BB570" s="32"/>
      <c r="BC570" s="32"/>
      <c r="BD570" s="32"/>
      <c r="BE570" s="32"/>
      <c r="BF570" s="32"/>
      <c r="BG570" s="32"/>
      <c r="BH570" s="32"/>
      <c r="BI570" s="32"/>
      <c r="BJ570" s="32"/>
      <c r="BK570" s="32"/>
      <c r="BL570" s="32"/>
      <c r="BM570" s="32"/>
      <c r="BN570" s="32"/>
      <c r="BO570" s="32"/>
      <c r="BP570" s="32"/>
      <c r="BQ570" s="32"/>
      <c r="BR570" s="32"/>
      <c r="BS570" s="32"/>
      <c r="BT570" s="32"/>
      <c r="BU570" s="32"/>
      <c r="BV570" s="32"/>
      <c r="BW570" s="32"/>
      <c r="BX570" s="32"/>
      <c r="BY570" s="32"/>
      <c r="BZ570" s="32"/>
      <c r="CA570" s="32"/>
      <c r="CB570" s="32"/>
      <c r="CC570" s="32"/>
      <c r="CD570" s="32"/>
    </row>
    <row r="571" spans="1:8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181"/>
      <c r="S571" s="181"/>
      <c r="T571" s="181"/>
      <c r="U571" s="181"/>
      <c r="V571" s="181"/>
      <c r="W571" s="181"/>
      <c r="X571" s="181"/>
      <c r="Y571" s="181"/>
      <c r="Z571" s="181"/>
      <c r="AA571" s="181"/>
      <c r="AB571" s="181"/>
      <c r="AC571" s="181"/>
      <c r="AD571" s="181"/>
      <c r="AE571" s="181"/>
      <c r="AF571" s="181"/>
      <c r="AG571" s="181"/>
      <c r="AH571" s="181"/>
      <c r="AI571" s="181"/>
      <c r="AJ571" s="181"/>
      <c r="AK571" s="181"/>
      <c r="AL571" s="181"/>
      <c r="AM571" s="181"/>
      <c r="AN571" s="181"/>
      <c r="AO571" s="181"/>
      <c r="AP571" s="181"/>
      <c r="AQ571" s="181"/>
      <c r="AR571" s="181"/>
      <c r="AS571" s="181"/>
      <c r="AT571" s="181"/>
      <c r="AU571" s="181"/>
      <c r="AV571" s="181"/>
      <c r="AW571" s="181"/>
      <c r="AX571" s="181"/>
      <c r="AY571" s="181"/>
      <c r="AZ571" s="181"/>
      <c r="BA571" s="181"/>
      <c r="BB571" s="32"/>
      <c r="BC571" s="32"/>
      <c r="BD571" s="32"/>
      <c r="BE571" s="32"/>
      <c r="BF571" s="32"/>
      <c r="BG571" s="32"/>
      <c r="BH571" s="32"/>
      <c r="BI571" s="32"/>
      <c r="BJ571" s="32"/>
      <c r="BK571" s="32"/>
      <c r="BL571" s="32"/>
      <c r="BM571" s="32"/>
      <c r="BN571" s="32"/>
      <c r="BO571" s="32"/>
      <c r="BP571" s="32"/>
      <c r="BQ571" s="32"/>
      <c r="BR571" s="32"/>
      <c r="BS571" s="32"/>
      <c r="BT571" s="32"/>
      <c r="BU571" s="32"/>
      <c r="BV571" s="32"/>
      <c r="BW571" s="32"/>
      <c r="BX571" s="32"/>
      <c r="BY571" s="32"/>
      <c r="BZ571" s="32"/>
      <c r="CA571" s="32"/>
      <c r="CB571" s="32"/>
      <c r="CC571" s="32"/>
      <c r="CD571" s="32"/>
    </row>
    <row r="572" spans="1:8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181"/>
      <c r="S572" s="181"/>
      <c r="T572" s="181"/>
      <c r="U572" s="181"/>
      <c r="V572" s="181"/>
      <c r="W572" s="181"/>
      <c r="X572" s="181"/>
      <c r="Y572" s="181"/>
      <c r="Z572" s="181"/>
      <c r="AA572" s="181"/>
      <c r="AB572" s="181"/>
      <c r="AC572" s="181"/>
      <c r="AD572" s="181"/>
      <c r="AE572" s="181"/>
      <c r="AF572" s="181"/>
      <c r="AG572" s="181"/>
      <c r="AH572" s="181"/>
      <c r="AI572" s="181"/>
      <c r="AJ572" s="181"/>
      <c r="AK572" s="181"/>
      <c r="AL572" s="181"/>
      <c r="AM572" s="181"/>
      <c r="AN572" s="181"/>
      <c r="AO572" s="181"/>
      <c r="AP572" s="181"/>
      <c r="AQ572" s="181"/>
      <c r="AR572" s="181"/>
      <c r="AS572" s="181"/>
      <c r="AT572" s="181"/>
      <c r="AU572" s="181"/>
      <c r="AV572" s="181"/>
      <c r="AW572" s="181"/>
      <c r="AX572" s="181"/>
      <c r="AY572" s="181"/>
      <c r="AZ572" s="181"/>
      <c r="BA572" s="181"/>
      <c r="BB572" s="32"/>
      <c r="BC572" s="32"/>
      <c r="BD572" s="32"/>
      <c r="BE572" s="32"/>
      <c r="BF572" s="32"/>
      <c r="BG572" s="32"/>
      <c r="BH572" s="32"/>
      <c r="BI572" s="32"/>
      <c r="BJ572" s="32"/>
      <c r="BK572" s="32"/>
      <c r="BL572" s="32"/>
      <c r="BM572" s="32"/>
      <c r="BN572" s="32"/>
      <c r="BO572" s="32"/>
      <c r="BP572" s="32"/>
      <c r="BQ572" s="32"/>
      <c r="BR572" s="32"/>
      <c r="BS572" s="32"/>
      <c r="BT572" s="32"/>
      <c r="BU572" s="32"/>
      <c r="BV572" s="32"/>
      <c r="BW572" s="32"/>
      <c r="BX572" s="32"/>
      <c r="BY572" s="32"/>
      <c r="BZ572" s="32"/>
      <c r="CA572" s="32"/>
      <c r="CB572" s="32"/>
      <c r="CC572" s="32"/>
      <c r="CD572" s="32"/>
    </row>
    <row r="573" spans="1:8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181"/>
      <c r="S573" s="181"/>
      <c r="T573" s="181"/>
      <c r="U573" s="181"/>
      <c r="V573" s="181"/>
      <c r="W573" s="181"/>
      <c r="X573" s="181"/>
      <c r="Y573" s="181"/>
      <c r="Z573" s="181"/>
      <c r="AA573" s="181"/>
      <c r="AB573" s="181"/>
      <c r="AC573" s="181"/>
      <c r="AD573" s="181"/>
      <c r="AE573" s="181"/>
      <c r="AF573" s="181"/>
      <c r="AG573" s="181"/>
      <c r="AH573" s="181"/>
      <c r="AI573" s="181"/>
      <c r="AJ573" s="181"/>
      <c r="AK573" s="181"/>
      <c r="AL573" s="181"/>
      <c r="AM573" s="181"/>
      <c r="AN573" s="181"/>
      <c r="AO573" s="181"/>
      <c r="AP573" s="181"/>
      <c r="AQ573" s="181"/>
      <c r="AR573" s="181"/>
      <c r="AS573" s="181"/>
      <c r="AT573" s="181"/>
      <c r="AU573" s="181"/>
      <c r="AV573" s="181"/>
      <c r="AW573" s="181"/>
      <c r="AX573" s="181"/>
      <c r="AY573" s="181"/>
      <c r="AZ573" s="181"/>
      <c r="BA573" s="181"/>
      <c r="BB573" s="32"/>
      <c r="BC573" s="32"/>
      <c r="BD573" s="32"/>
      <c r="BE573" s="32"/>
      <c r="BF573" s="32"/>
      <c r="BG573" s="32"/>
      <c r="BH573" s="32"/>
      <c r="BI573" s="32"/>
      <c r="BJ573" s="32"/>
      <c r="BK573" s="32"/>
      <c r="BL573" s="32"/>
      <c r="BM573" s="32"/>
      <c r="BN573" s="32"/>
      <c r="BO573" s="32"/>
      <c r="BP573" s="32"/>
      <c r="BQ573" s="32"/>
      <c r="BR573" s="32"/>
      <c r="BS573" s="32"/>
      <c r="BT573" s="32"/>
      <c r="BU573" s="32"/>
      <c r="BV573" s="32"/>
      <c r="BW573" s="32"/>
      <c r="BX573" s="32"/>
      <c r="BY573" s="32"/>
      <c r="BZ573" s="32"/>
      <c r="CA573" s="32"/>
      <c r="CB573" s="32"/>
      <c r="CC573" s="32"/>
      <c r="CD573" s="32"/>
    </row>
    <row r="574" spans="1:8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181"/>
      <c r="S574" s="181"/>
      <c r="T574" s="181"/>
      <c r="U574" s="181"/>
      <c r="V574" s="181"/>
      <c r="W574" s="181"/>
      <c r="X574" s="181"/>
      <c r="Y574" s="181"/>
      <c r="Z574" s="181"/>
      <c r="AA574" s="181"/>
      <c r="AB574" s="181"/>
      <c r="AC574" s="181"/>
      <c r="AD574" s="181"/>
      <c r="AE574" s="181"/>
      <c r="AF574" s="181"/>
      <c r="AG574" s="181"/>
      <c r="AH574" s="181"/>
      <c r="AI574" s="181"/>
      <c r="AJ574" s="181"/>
      <c r="AK574" s="181"/>
      <c r="AL574" s="181"/>
      <c r="AM574" s="181"/>
      <c r="AN574" s="181"/>
      <c r="AO574" s="181"/>
      <c r="AP574" s="181"/>
      <c r="AQ574" s="181"/>
      <c r="AR574" s="181"/>
      <c r="AS574" s="181"/>
      <c r="AT574" s="181"/>
      <c r="AU574" s="181"/>
      <c r="AV574" s="181"/>
      <c r="AW574" s="181"/>
      <c r="AX574" s="181"/>
      <c r="AY574" s="181"/>
      <c r="AZ574" s="181"/>
      <c r="BA574" s="181"/>
      <c r="BB574" s="32"/>
      <c r="BC574" s="32"/>
      <c r="BD574" s="32"/>
      <c r="BE574" s="32"/>
      <c r="BF574" s="32"/>
      <c r="BG574" s="32"/>
      <c r="BH574" s="32"/>
      <c r="BI574" s="32"/>
      <c r="BJ574" s="32"/>
      <c r="BK574" s="32"/>
      <c r="BL574" s="32"/>
      <c r="BM574" s="32"/>
      <c r="BN574" s="32"/>
      <c r="BO574" s="32"/>
      <c r="BP574" s="32"/>
      <c r="BQ574" s="32"/>
      <c r="BR574" s="32"/>
      <c r="BS574" s="32"/>
      <c r="BT574" s="32"/>
      <c r="BU574" s="32"/>
      <c r="BV574" s="32"/>
      <c r="BW574" s="32"/>
      <c r="BX574" s="32"/>
      <c r="BY574" s="32"/>
      <c r="BZ574" s="32"/>
      <c r="CA574" s="32"/>
      <c r="CB574" s="32"/>
      <c r="CC574" s="32"/>
      <c r="CD574" s="32"/>
    </row>
    <row r="575" spans="1:8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181"/>
      <c r="S575" s="181"/>
      <c r="T575" s="181"/>
      <c r="U575" s="181"/>
      <c r="V575" s="181"/>
      <c r="W575" s="181"/>
      <c r="X575" s="181"/>
      <c r="Y575" s="181"/>
      <c r="Z575" s="181"/>
      <c r="AA575" s="181"/>
      <c r="AB575" s="181"/>
      <c r="AC575" s="181"/>
      <c r="AD575" s="181"/>
      <c r="AE575" s="181"/>
      <c r="AF575" s="181"/>
      <c r="AG575" s="181"/>
      <c r="AH575" s="181"/>
      <c r="AI575" s="181"/>
      <c r="AJ575" s="181"/>
      <c r="AK575" s="181"/>
      <c r="AL575" s="181"/>
      <c r="AM575" s="181"/>
      <c r="AN575" s="181"/>
      <c r="AO575" s="181"/>
      <c r="AP575" s="181"/>
      <c r="AQ575" s="181"/>
      <c r="AR575" s="181"/>
      <c r="AS575" s="181"/>
      <c r="AT575" s="181"/>
      <c r="AU575" s="181"/>
      <c r="AV575" s="181"/>
      <c r="AW575" s="181"/>
      <c r="AX575" s="181"/>
      <c r="AY575" s="181"/>
      <c r="AZ575" s="181"/>
      <c r="BA575" s="181"/>
      <c r="BB575" s="32"/>
      <c r="BC575" s="32"/>
      <c r="BD575" s="32"/>
      <c r="BE575" s="32"/>
      <c r="BF575" s="32"/>
      <c r="BG575" s="32"/>
      <c r="BH575" s="32"/>
      <c r="BI575" s="32"/>
      <c r="BJ575" s="32"/>
      <c r="BK575" s="32"/>
      <c r="BL575" s="32"/>
      <c r="BM575" s="32"/>
      <c r="BN575" s="32"/>
      <c r="BO575" s="32"/>
      <c r="BP575" s="32"/>
      <c r="BQ575" s="32"/>
      <c r="BR575" s="32"/>
      <c r="BS575" s="32"/>
      <c r="BT575" s="32"/>
      <c r="BU575" s="32"/>
      <c r="BV575" s="32"/>
      <c r="BW575" s="32"/>
      <c r="BX575" s="32"/>
      <c r="BY575" s="32"/>
      <c r="BZ575" s="32"/>
      <c r="CA575" s="32"/>
      <c r="CB575" s="32"/>
      <c r="CC575" s="32"/>
      <c r="CD575" s="32"/>
    </row>
    <row r="576" spans="1:8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181"/>
      <c r="S576" s="181"/>
      <c r="T576" s="181"/>
      <c r="U576" s="181"/>
      <c r="V576" s="181"/>
      <c r="W576" s="181"/>
      <c r="X576" s="181"/>
      <c r="Y576" s="181"/>
      <c r="Z576" s="181"/>
      <c r="AA576" s="181"/>
      <c r="AB576" s="181"/>
      <c r="AC576" s="181"/>
      <c r="AD576" s="181"/>
      <c r="AE576" s="181"/>
      <c r="AF576" s="181"/>
      <c r="AG576" s="181"/>
      <c r="AH576" s="181"/>
      <c r="AI576" s="181"/>
      <c r="AJ576" s="181"/>
      <c r="AK576" s="181"/>
      <c r="AL576" s="181"/>
      <c r="AM576" s="181"/>
      <c r="AN576" s="181"/>
      <c r="AO576" s="181"/>
      <c r="AP576" s="181"/>
      <c r="AQ576" s="181"/>
      <c r="AR576" s="181"/>
      <c r="AS576" s="181"/>
      <c r="AT576" s="181"/>
      <c r="AU576" s="181"/>
      <c r="AV576" s="181"/>
      <c r="AW576" s="181"/>
      <c r="AX576" s="181"/>
      <c r="AY576" s="181"/>
      <c r="AZ576" s="181"/>
      <c r="BA576" s="181"/>
      <c r="BB576" s="32"/>
      <c r="BC576" s="32"/>
      <c r="BD576" s="32"/>
      <c r="BE576" s="32"/>
      <c r="BF576" s="32"/>
      <c r="BG576" s="32"/>
      <c r="BH576" s="32"/>
      <c r="BI576" s="32"/>
      <c r="BJ576" s="32"/>
      <c r="BK576" s="32"/>
      <c r="BL576" s="32"/>
      <c r="BM576" s="32"/>
      <c r="BN576" s="32"/>
      <c r="BO576" s="32"/>
      <c r="BP576" s="32"/>
      <c r="BQ576" s="32"/>
      <c r="BR576" s="32"/>
      <c r="BS576" s="32"/>
      <c r="BT576" s="32"/>
      <c r="BU576" s="32"/>
      <c r="BV576" s="32"/>
      <c r="BW576" s="32"/>
      <c r="BX576" s="32"/>
      <c r="BY576" s="32"/>
      <c r="BZ576" s="32"/>
      <c r="CA576" s="32"/>
      <c r="CB576" s="32"/>
      <c r="CC576" s="32"/>
      <c r="CD576" s="32"/>
    </row>
    <row r="577" spans="1:8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181"/>
      <c r="S577" s="181"/>
      <c r="T577" s="181"/>
      <c r="U577" s="181"/>
      <c r="V577" s="181"/>
      <c r="W577" s="181"/>
      <c r="X577" s="181"/>
      <c r="Y577" s="181"/>
      <c r="Z577" s="181"/>
      <c r="AA577" s="181"/>
      <c r="AB577" s="181"/>
      <c r="AC577" s="181"/>
      <c r="AD577" s="181"/>
      <c r="AE577" s="181"/>
      <c r="AF577" s="181"/>
      <c r="AG577" s="181"/>
      <c r="AH577" s="181"/>
      <c r="AI577" s="181"/>
      <c r="AJ577" s="181"/>
      <c r="AK577" s="181"/>
      <c r="AL577" s="181"/>
      <c r="AM577" s="181"/>
      <c r="AN577" s="181"/>
      <c r="AO577" s="181"/>
      <c r="AP577" s="181"/>
      <c r="AQ577" s="181"/>
      <c r="AR577" s="181"/>
      <c r="AS577" s="181"/>
      <c r="AT577" s="181"/>
      <c r="AU577" s="181"/>
      <c r="AV577" s="181"/>
      <c r="AW577" s="181"/>
      <c r="AX577" s="181"/>
      <c r="AY577" s="181"/>
      <c r="AZ577" s="181"/>
      <c r="BA577" s="181"/>
      <c r="BB577" s="32"/>
      <c r="BC577" s="32"/>
      <c r="BD577" s="32"/>
      <c r="BE577" s="32"/>
      <c r="BF577" s="32"/>
      <c r="BG577" s="32"/>
      <c r="BH577" s="32"/>
      <c r="BI577" s="32"/>
      <c r="BJ577" s="32"/>
      <c r="BK577" s="32"/>
      <c r="BL577" s="32"/>
      <c r="BM577" s="32"/>
      <c r="BN577" s="32"/>
      <c r="BO577" s="32"/>
      <c r="BP577" s="32"/>
      <c r="BQ577" s="32"/>
      <c r="BR577" s="32"/>
      <c r="BS577" s="32"/>
      <c r="BT577" s="32"/>
      <c r="BU577" s="32"/>
      <c r="BV577" s="32"/>
      <c r="BW577" s="32"/>
      <c r="BX577" s="32"/>
      <c r="BY577" s="32"/>
      <c r="BZ577" s="32"/>
      <c r="CA577" s="32"/>
      <c r="CB577" s="32"/>
      <c r="CC577" s="32"/>
      <c r="CD577" s="32"/>
    </row>
    <row r="578" spans="1:8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181"/>
      <c r="S578" s="181"/>
      <c r="T578" s="181"/>
      <c r="U578" s="181"/>
      <c r="V578" s="181"/>
      <c r="W578" s="181"/>
      <c r="X578" s="181"/>
      <c r="Y578" s="181"/>
      <c r="Z578" s="181"/>
      <c r="AA578" s="181"/>
      <c r="AB578" s="181"/>
      <c r="AC578" s="181"/>
      <c r="AD578" s="181"/>
      <c r="AE578" s="181"/>
      <c r="AF578" s="181"/>
      <c r="AG578" s="181"/>
      <c r="AH578" s="181"/>
      <c r="AI578" s="181"/>
      <c r="AJ578" s="181"/>
      <c r="AK578" s="181"/>
      <c r="AL578" s="181"/>
      <c r="AM578" s="181"/>
      <c r="AN578" s="181"/>
      <c r="AO578" s="181"/>
      <c r="AP578" s="181"/>
      <c r="AQ578" s="181"/>
      <c r="AR578" s="181"/>
      <c r="AS578" s="181"/>
      <c r="AT578" s="181"/>
      <c r="AU578" s="181"/>
      <c r="AV578" s="181"/>
      <c r="AW578" s="181"/>
      <c r="AX578" s="181"/>
      <c r="AY578" s="181"/>
      <c r="AZ578" s="181"/>
      <c r="BA578" s="181"/>
      <c r="BB578" s="32"/>
      <c r="BC578" s="32"/>
      <c r="BD578" s="32"/>
      <c r="BE578" s="32"/>
      <c r="BF578" s="32"/>
      <c r="BG578" s="32"/>
      <c r="BH578" s="32"/>
      <c r="BI578" s="32"/>
      <c r="BJ578" s="32"/>
      <c r="BK578" s="32"/>
      <c r="BL578" s="32"/>
      <c r="BM578" s="32"/>
      <c r="BN578" s="32"/>
      <c r="BO578" s="32"/>
      <c r="BP578" s="32"/>
      <c r="BQ578" s="32"/>
      <c r="BR578" s="32"/>
      <c r="BS578" s="32"/>
      <c r="BT578" s="32"/>
      <c r="BU578" s="32"/>
      <c r="BV578" s="32"/>
      <c r="BW578" s="32"/>
      <c r="BX578" s="32"/>
      <c r="BY578" s="32"/>
      <c r="BZ578" s="32"/>
      <c r="CA578" s="32"/>
      <c r="CB578" s="32"/>
      <c r="CC578" s="32"/>
      <c r="CD578" s="32"/>
    </row>
    <row r="579" spans="1:8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181"/>
      <c r="S579" s="181"/>
      <c r="T579" s="181"/>
      <c r="U579" s="181"/>
      <c r="V579" s="181"/>
      <c r="W579" s="181"/>
      <c r="X579" s="181"/>
      <c r="Y579" s="181"/>
      <c r="Z579" s="181"/>
      <c r="AA579" s="181"/>
      <c r="AB579" s="181"/>
      <c r="AC579" s="181"/>
      <c r="AD579" s="181"/>
      <c r="AE579" s="181"/>
      <c r="AF579" s="181"/>
      <c r="AG579" s="181"/>
      <c r="AH579" s="181"/>
      <c r="AI579" s="181"/>
      <c r="AJ579" s="181"/>
      <c r="AK579" s="181"/>
      <c r="AL579" s="181"/>
      <c r="AM579" s="181"/>
      <c r="AN579" s="181"/>
      <c r="AO579" s="181"/>
      <c r="AP579" s="181"/>
      <c r="AQ579" s="181"/>
      <c r="AR579" s="181"/>
      <c r="AS579" s="181"/>
      <c r="AT579" s="181"/>
      <c r="AU579" s="181"/>
      <c r="AV579" s="181"/>
      <c r="AW579" s="181"/>
      <c r="AX579" s="181"/>
      <c r="AY579" s="181"/>
      <c r="AZ579" s="181"/>
      <c r="BA579" s="181"/>
      <c r="BB579" s="32"/>
      <c r="BC579" s="32"/>
      <c r="BD579" s="32"/>
      <c r="BE579" s="32"/>
      <c r="BF579" s="32"/>
      <c r="BG579" s="32"/>
      <c r="BH579" s="32"/>
      <c r="BI579" s="32"/>
      <c r="BJ579" s="32"/>
      <c r="BK579" s="32"/>
      <c r="BL579" s="32"/>
      <c r="BM579" s="32"/>
      <c r="BN579" s="32"/>
      <c r="BO579" s="32"/>
      <c r="BP579" s="32"/>
      <c r="BQ579" s="32"/>
      <c r="BR579" s="32"/>
      <c r="BS579" s="32"/>
      <c r="BT579" s="32"/>
      <c r="BU579" s="32"/>
      <c r="BV579" s="32"/>
      <c r="BW579" s="32"/>
      <c r="BX579" s="32"/>
      <c r="BY579" s="32"/>
      <c r="BZ579" s="32"/>
      <c r="CA579" s="32"/>
      <c r="CB579" s="32"/>
      <c r="CC579" s="32"/>
      <c r="CD579" s="32"/>
    </row>
    <row r="580" spans="1:8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181"/>
      <c r="S580" s="181"/>
      <c r="T580" s="181"/>
      <c r="U580" s="181"/>
      <c r="V580" s="181"/>
      <c r="W580" s="181"/>
      <c r="X580" s="181"/>
      <c r="Y580" s="181"/>
      <c r="Z580" s="181"/>
      <c r="AA580" s="181"/>
      <c r="AB580" s="181"/>
      <c r="AC580" s="181"/>
      <c r="AD580" s="181"/>
      <c r="AE580" s="181"/>
      <c r="AF580" s="181"/>
      <c r="AG580" s="181"/>
      <c r="AH580" s="181"/>
      <c r="AI580" s="181"/>
      <c r="AJ580" s="181"/>
      <c r="AK580" s="181"/>
      <c r="AL580" s="181"/>
      <c r="AM580" s="181"/>
      <c r="AN580" s="181"/>
      <c r="AO580" s="181"/>
      <c r="AP580" s="181"/>
      <c r="AQ580" s="181"/>
      <c r="AR580" s="181"/>
      <c r="AS580" s="181"/>
      <c r="AT580" s="181"/>
      <c r="AU580" s="181"/>
      <c r="AV580" s="181"/>
      <c r="AW580" s="181"/>
      <c r="AX580" s="181"/>
      <c r="AY580" s="181"/>
      <c r="AZ580" s="181"/>
      <c r="BA580" s="181"/>
      <c r="BB580" s="32"/>
      <c r="BC580" s="32"/>
      <c r="BD580" s="32"/>
      <c r="BE580" s="32"/>
      <c r="BF580" s="32"/>
      <c r="BG580" s="32"/>
      <c r="BH580" s="32"/>
      <c r="BI580" s="32"/>
      <c r="BJ580" s="32"/>
      <c r="BK580" s="32"/>
      <c r="BL580" s="32"/>
      <c r="BM580" s="32"/>
      <c r="BN580" s="32"/>
      <c r="BO580" s="32"/>
      <c r="BP580" s="32"/>
      <c r="BQ580" s="32"/>
      <c r="BR580" s="32"/>
      <c r="BS580" s="32"/>
      <c r="BT580" s="32"/>
      <c r="BU580" s="32"/>
      <c r="BV580" s="32"/>
      <c r="BW580" s="32"/>
      <c r="BX580" s="32"/>
      <c r="BY580" s="32"/>
      <c r="BZ580" s="32"/>
      <c r="CA580" s="32"/>
      <c r="CB580" s="32"/>
      <c r="CC580" s="32"/>
      <c r="CD580" s="32"/>
    </row>
    <row r="581" spans="1:8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181"/>
      <c r="S581" s="181"/>
      <c r="T581" s="181"/>
      <c r="U581" s="181"/>
      <c r="V581" s="181"/>
      <c r="W581" s="181"/>
      <c r="X581" s="181"/>
      <c r="Y581" s="181"/>
      <c r="Z581" s="181"/>
      <c r="AA581" s="181"/>
      <c r="AB581" s="181"/>
      <c r="AC581" s="181"/>
      <c r="AD581" s="181"/>
      <c r="AE581" s="181"/>
      <c r="AF581" s="181"/>
      <c r="AG581" s="181"/>
      <c r="AH581" s="181"/>
      <c r="AI581" s="181"/>
      <c r="AJ581" s="181"/>
      <c r="AK581" s="181"/>
      <c r="AL581" s="181"/>
      <c r="AM581" s="181"/>
      <c r="AN581" s="181"/>
      <c r="AO581" s="181"/>
      <c r="AP581" s="181"/>
      <c r="AQ581" s="181"/>
      <c r="AR581" s="181"/>
      <c r="AS581" s="181"/>
      <c r="AT581" s="181"/>
      <c r="AU581" s="181"/>
      <c r="AV581" s="181"/>
      <c r="AW581" s="181"/>
      <c r="AX581" s="181"/>
      <c r="AY581" s="181"/>
      <c r="AZ581" s="181"/>
      <c r="BA581" s="181"/>
      <c r="BB581" s="32"/>
      <c r="BC581" s="32"/>
      <c r="BD581" s="32"/>
      <c r="BE581" s="32"/>
      <c r="BF581" s="32"/>
      <c r="BG581" s="32"/>
      <c r="BH581" s="32"/>
      <c r="BI581" s="32"/>
      <c r="BJ581" s="32"/>
      <c r="BK581" s="32"/>
      <c r="BL581" s="32"/>
      <c r="BM581" s="32"/>
      <c r="BN581" s="32"/>
      <c r="BO581" s="32"/>
      <c r="BP581" s="32"/>
      <c r="BQ581" s="32"/>
      <c r="BR581" s="32"/>
      <c r="BS581" s="32"/>
      <c r="BT581" s="32"/>
      <c r="BU581" s="32"/>
      <c r="BV581" s="32"/>
      <c r="BW581" s="32"/>
      <c r="BX581" s="32"/>
      <c r="BY581" s="32"/>
      <c r="BZ581" s="32"/>
      <c r="CA581" s="32"/>
      <c r="CB581" s="32"/>
      <c r="CC581" s="32"/>
      <c r="CD581" s="32"/>
    </row>
    <row r="582" spans="1: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181"/>
      <c r="S582" s="181"/>
      <c r="T582" s="181"/>
      <c r="U582" s="181"/>
      <c r="V582" s="181"/>
      <c r="W582" s="181"/>
      <c r="X582" s="181"/>
      <c r="Y582" s="181"/>
      <c r="Z582" s="181"/>
      <c r="AA582" s="181"/>
      <c r="AB582" s="181"/>
      <c r="AC582" s="181"/>
      <c r="AD582" s="181"/>
      <c r="AE582" s="181"/>
      <c r="AF582" s="181"/>
      <c r="AG582" s="181"/>
      <c r="AH582" s="181"/>
      <c r="AI582" s="181"/>
      <c r="AJ582" s="181"/>
      <c r="AK582" s="181"/>
      <c r="AL582" s="181"/>
      <c r="AM582" s="181"/>
      <c r="AN582" s="181"/>
      <c r="AO582" s="181"/>
      <c r="AP582" s="181"/>
      <c r="AQ582" s="181"/>
      <c r="AR582" s="181"/>
      <c r="AS582" s="181"/>
      <c r="AT582" s="181"/>
      <c r="AU582" s="181"/>
      <c r="AV582" s="181"/>
      <c r="AW582" s="181"/>
      <c r="AX582" s="181"/>
      <c r="AY582" s="181"/>
      <c r="AZ582" s="181"/>
      <c r="BA582" s="181"/>
      <c r="BB582" s="32"/>
      <c r="BC582" s="32"/>
      <c r="BD582" s="32"/>
      <c r="BE582" s="32"/>
      <c r="BF582" s="32"/>
      <c r="BG582" s="32"/>
      <c r="BH582" s="32"/>
      <c r="BI582" s="32"/>
      <c r="BJ582" s="32"/>
      <c r="BK582" s="32"/>
      <c r="BL582" s="32"/>
      <c r="BM582" s="32"/>
      <c r="BN582" s="32"/>
      <c r="BO582" s="32"/>
      <c r="BP582" s="32"/>
      <c r="BQ582" s="32"/>
      <c r="BR582" s="32"/>
      <c r="BS582" s="32"/>
      <c r="BT582" s="32"/>
      <c r="BU582" s="32"/>
      <c r="BV582" s="32"/>
      <c r="BW582" s="32"/>
      <c r="BX582" s="32"/>
      <c r="BY582" s="32"/>
      <c r="BZ582" s="32"/>
      <c r="CA582" s="32"/>
      <c r="CB582" s="32"/>
      <c r="CC582" s="32"/>
      <c r="CD582" s="32"/>
    </row>
    <row r="583" spans="1:8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181"/>
      <c r="S583" s="181"/>
      <c r="T583" s="181"/>
      <c r="U583" s="181"/>
      <c r="V583" s="181"/>
      <c r="W583" s="181"/>
      <c r="X583" s="181"/>
      <c r="Y583" s="181"/>
      <c r="Z583" s="181"/>
      <c r="AA583" s="181"/>
      <c r="AB583" s="181"/>
      <c r="AC583" s="181"/>
      <c r="AD583" s="181"/>
      <c r="AE583" s="181"/>
      <c r="AF583" s="181"/>
      <c r="AG583" s="181"/>
      <c r="AH583" s="181"/>
      <c r="AI583" s="181"/>
      <c r="AJ583" s="181"/>
      <c r="AK583" s="181"/>
      <c r="AL583" s="181"/>
      <c r="AM583" s="181"/>
      <c r="AN583" s="181"/>
      <c r="AO583" s="181"/>
      <c r="AP583" s="181"/>
      <c r="AQ583" s="181"/>
      <c r="AR583" s="181"/>
      <c r="AS583" s="181"/>
      <c r="AT583" s="181"/>
      <c r="AU583" s="181"/>
      <c r="AV583" s="181"/>
      <c r="AW583" s="181"/>
      <c r="AX583" s="181"/>
      <c r="AY583" s="181"/>
      <c r="AZ583" s="181"/>
      <c r="BA583" s="181"/>
      <c r="BB583" s="32"/>
      <c r="BC583" s="32"/>
      <c r="BD583" s="32"/>
      <c r="BE583" s="32"/>
      <c r="BF583" s="32"/>
      <c r="BG583" s="32"/>
      <c r="BH583" s="32"/>
      <c r="BI583" s="32"/>
      <c r="BJ583" s="32"/>
      <c r="BK583" s="32"/>
      <c r="BL583" s="32"/>
      <c r="BM583" s="32"/>
      <c r="BN583" s="32"/>
      <c r="BO583" s="32"/>
      <c r="BP583" s="32"/>
      <c r="BQ583" s="32"/>
      <c r="BR583" s="32"/>
      <c r="BS583" s="32"/>
      <c r="BT583" s="32"/>
      <c r="BU583" s="32"/>
      <c r="BV583" s="32"/>
      <c r="BW583" s="32"/>
      <c r="BX583" s="32"/>
      <c r="BY583" s="32"/>
      <c r="BZ583" s="32"/>
      <c r="CA583" s="32"/>
      <c r="CB583" s="32"/>
      <c r="CC583" s="32"/>
      <c r="CD583" s="32"/>
    </row>
    <row r="584" spans="1:8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181"/>
      <c r="S584" s="181"/>
      <c r="T584" s="181"/>
      <c r="U584" s="181"/>
      <c r="V584" s="181"/>
      <c r="W584" s="181"/>
      <c r="X584" s="181"/>
      <c r="Y584" s="181"/>
      <c r="Z584" s="181"/>
      <c r="AA584" s="181"/>
      <c r="AB584" s="181"/>
      <c r="AC584" s="181"/>
      <c r="AD584" s="181"/>
      <c r="AE584" s="181"/>
      <c r="AF584" s="181"/>
      <c r="AG584" s="181"/>
      <c r="AH584" s="181"/>
      <c r="AI584" s="181"/>
      <c r="AJ584" s="181"/>
      <c r="AK584" s="181"/>
      <c r="AL584" s="181"/>
      <c r="AM584" s="181"/>
      <c r="AN584" s="181"/>
      <c r="AO584" s="181"/>
      <c r="AP584" s="181"/>
      <c r="AQ584" s="181"/>
      <c r="AR584" s="181"/>
      <c r="AS584" s="181"/>
      <c r="AT584" s="181"/>
      <c r="AU584" s="181"/>
      <c r="AV584" s="181"/>
      <c r="AW584" s="181"/>
      <c r="AX584" s="181"/>
      <c r="AY584" s="181"/>
      <c r="AZ584" s="181"/>
      <c r="BA584" s="181"/>
      <c r="BB584" s="32"/>
      <c r="BC584" s="32"/>
      <c r="BD584" s="32"/>
      <c r="BE584" s="32"/>
      <c r="BF584" s="32"/>
      <c r="BG584" s="32"/>
      <c r="BH584" s="32"/>
      <c r="BI584" s="32"/>
      <c r="BJ584" s="32"/>
      <c r="BK584" s="32"/>
      <c r="BL584" s="32"/>
      <c r="BM584" s="32"/>
      <c r="BN584" s="32"/>
      <c r="BO584" s="32"/>
      <c r="BP584" s="32"/>
      <c r="BQ584" s="32"/>
      <c r="BR584" s="32"/>
      <c r="BS584" s="32"/>
      <c r="BT584" s="32"/>
      <c r="BU584" s="32"/>
      <c r="BV584" s="32"/>
      <c r="BW584" s="32"/>
      <c r="BX584" s="32"/>
      <c r="BY584" s="32"/>
      <c r="BZ584" s="32"/>
      <c r="CA584" s="32"/>
      <c r="CB584" s="32"/>
      <c r="CC584" s="32"/>
      <c r="CD584" s="32"/>
    </row>
    <row r="585" spans="1:8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181"/>
      <c r="S585" s="181"/>
      <c r="T585" s="181"/>
      <c r="U585" s="181"/>
      <c r="V585" s="181"/>
      <c r="W585" s="181"/>
      <c r="X585" s="181"/>
      <c r="Y585" s="181"/>
      <c r="Z585" s="181"/>
      <c r="AA585" s="181"/>
      <c r="AB585" s="181"/>
      <c r="AC585" s="181"/>
      <c r="AD585" s="181"/>
      <c r="AE585" s="181"/>
      <c r="AF585" s="181"/>
      <c r="AG585" s="181"/>
      <c r="AH585" s="181"/>
      <c r="AI585" s="181"/>
      <c r="AJ585" s="181"/>
      <c r="AK585" s="181"/>
      <c r="AL585" s="181"/>
      <c r="AM585" s="181"/>
      <c r="AN585" s="181"/>
      <c r="AO585" s="181"/>
      <c r="AP585" s="181"/>
      <c r="AQ585" s="181"/>
      <c r="AR585" s="181"/>
      <c r="AS585" s="181"/>
      <c r="AT585" s="181"/>
      <c r="AU585" s="181"/>
      <c r="AV585" s="181"/>
      <c r="AW585" s="181"/>
      <c r="AX585" s="181"/>
      <c r="AY585" s="181"/>
      <c r="AZ585" s="181"/>
      <c r="BA585" s="181"/>
      <c r="BB585" s="32"/>
      <c r="BC585" s="32"/>
      <c r="BD585" s="32"/>
      <c r="BE585" s="32"/>
      <c r="BF585" s="32"/>
      <c r="BG585" s="32"/>
      <c r="BH585" s="32"/>
      <c r="BI585" s="32"/>
      <c r="BJ585" s="32"/>
      <c r="BK585" s="32"/>
      <c r="BL585" s="32"/>
      <c r="BM585" s="32"/>
      <c r="BN585" s="32"/>
      <c r="BO585" s="32"/>
      <c r="BP585" s="32"/>
      <c r="BQ585" s="32"/>
      <c r="BR585" s="32"/>
      <c r="BS585" s="32"/>
      <c r="BT585" s="32"/>
      <c r="BU585" s="32"/>
      <c r="BV585" s="32"/>
      <c r="BW585" s="32"/>
      <c r="BX585" s="32"/>
      <c r="BY585" s="32"/>
      <c r="BZ585" s="32"/>
      <c r="CA585" s="32"/>
      <c r="CB585" s="32"/>
      <c r="CC585" s="32"/>
      <c r="CD585" s="32"/>
    </row>
    <row r="586" spans="1:8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181"/>
      <c r="S586" s="181"/>
      <c r="T586" s="181"/>
      <c r="U586" s="181"/>
      <c r="V586" s="181"/>
      <c r="W586" s="181"/>
      <c r="X586" s="181"/>
      <c r="Y586" s="181"/>
      <c r="Z586" s="181"/>
      <c r="AA586" s="181"/>
      <c r="AB586" s="181"/>
      <c r="AC586" s="181"/>
      <c r="AD586" s="181"/>
      <c r="AE586" s="181"/>
      <c r="AF586" s="181"/>
      <c r="AG586" s="181"/>
      <c r="AH586" s="181"/>
      <c r="AI586" s="181"/>
      <c r="AJ586" s="181"/>
      <c r="AK586" s="181"/>
      <c r="AL586" s="181"/>
      <c r="AM586" s="181"/>
      <c r="AN586" s="181"/>
      <c r="AO586" s="181"/>
      <c r="AP586" s="181"/>
      <c r="AQ586" s="181"/>
      <c r="AR586" s="181"/>
      <c r="AS586" s="181"/>
      <c r="AT586" s="181"/>
      <c r="AU586" s="181"/>
      <c r="AV586" s="181"/>
      <c r="AW586" s="181"/>
      <c r="AX586" s="181"/>
      <c r="AY586" s="181"/>
      <c r="AZ586" s="181"/>
      <c r="BA586" s="181"/>
      <c r="BB586" s="32"/>
      <c r="BC586" s="32"/>
      <c r="BD586" s="32"/>
      <c r="BE586" s="32"/>
      <c r="BF586" s="32"/>
      <c r="BG586" s="32"/>
      <c r="BH586" s="32"/>
      <c r="BI586" s="32"/>
      <c r="BJ586" s="32"/>
      <c r="BK586" s="32"/>
      <c r="BL586" s="32"/>
      <c r="BM586" s="32"/>
      <c r="BN586" s="32"/>
      <c r="BO586" s="32"/>
      <c r="BP586" s="32"/>
      <c r="BQ586" s="32"/>
      <c r="BR586" s="32"/>
      <c r="BS586" s="32"/>
      <c r="BT586" s="32"/>
      <c r="BU586" s="32"/>
      <c r="BV586" s="32"/>
      <c r="BW586" s="32"/>
      <c r="BX586" s="32"/>
      <c r="BY586" s="32"/>
      <c r="BZ586" s="32"/>
      <c r="CA586" s="32"/>
      <c r="CB586" s="32"/>
      <c r="CC586" s="32"/>
      <c r="CD586" s="32"/>
    </row>
    <row r="587" spans="1:8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181"/>
      <c r="S587" s="181"/>
      <c r="T587" s="181"/>
      <c r="U587" s="181"/>
      <c r="V587" s="181"/>
      <c r="W587" s="181"/>
      <c r="X587" s="181"/>
      <c r="Y587" s="181"/>
      <c r="Z587" s="181"/>
      <c r="AA587" s="181"/>
      <c r="AB587" s="181"/>
      <c r="AC587" s="181"/>
      <c r="AD587" s="181"/>
      <c r="AE587" s="181"/>
      <c r="AF587" s="181"/>
      <c r="AG587" s="181"/>
      <c r="AH587" s="181"/>
      <c r="AI587" s="181"/>
      <c r="AJ587" s="181"/>
      <c r="AK587" s="181"/>
      <c r="AL587" s="181"/>
      <c r="AM587" s="181"/>
      <c r="AN587" s="181"/>
      <c r="AO587" s="181"/>
      <c r="AP587" s="181"/>
      <c r="AQ587" s="181"/>
      <c r="AR587" s="181"/>
      <c r="AS587" s="181"/>
      <c r="AT587" s="181"/>
      <c r="AU587" s="181"/>
      <c r="AV587" s="181"/>
      <c r="AW587" s="181"/>
      <c r="AX587" s="181"/>
      <c r="AY587" s="181"/>
      <c r="AZ587" s="181"/>
      <c r="BA587" s="181"/>
      <c r="BB587" s="32"/>
      <c r="BC587" s="32"/>
      <c r="BD587" s="32"/>
      <c r="BE587" s="32"/>
      <c r="BF587" s="32"/>
      <c r="BG587" s="32"/>
      <c r="BH587" s="32"/>
      <c r="BI587" s="32"/>
      <c r="BJ587" s="32"/>
      <c r="BK587" s="32"/>
      <c r="BL587" s="32"/>
      <c r="BM587" s="32"/>
      <c r="BN587" s="32"/>
      <c r="BO587" s="32"/>
      <c r="BP587" s="32"/>
      <c r="BQ587" s="32"/>
      <c r="BR587" s="32"/>
      <c r="BS587" s="32"/>
      <c r="BT587" s="32"/>
      <c r="BU587" s="32"/>
      <c r="BV587" s="32"/>
      <c r="BW587" s="32"/>
      <c r="BX587" s="32"/>
      <c r="BY587" s="32"/>
      <c r="BZ587" s="32"/>
      <c r="CA587" s="32"/>
      <c r="CB587" s="32"/>
      <c r="CC587" s="32"/>
      <c r="CD587" s="32"/>
    </row>
    <row r="588" spans="1:8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181"/>
      <c r="S588" s="181"/>
      <c r="T588" s="181"/>
      <c r="U588" s="181"/>
      <c r="V588" s="181"/>
      <c r="W588" s="181"/>
      <c r="X588" s="181"/>
      <c r="Y588" s="181"/>
      <c r="Z588" s="181"/>
      <c r="AA588" s="181"/>
      <c r="AB588" s="181"/>
      <c r="AC588" s="181"/>
      <c r="AD588" s="181"/>
      <c r="AE588" s="181"/>
      <c r="AF588" s="181"/>
      <c r="AG588" s="181"/>
      <c r="AH588" s="181"/>
      <c r="AI588" s="181"/>
      <c r="AJ588" s="181"/>
      <c r="AK588" s="181"/>
      <c r="AL588" s="181"/>
      <c r="AM588" s="181"/>
      <c r="AN588" s="181"/>
      <c r="AO588" s="181"/>
      <c r="AP588" s="181"/>
      <c r="AQ588" s="181"/>
      <c r="AR588" s="181"/>
      <c r="AS588" s="181"/>
      <c r="AT588" s="181"/>
      <c r="AU588" s="181"/>
      <c r="AV588" s="181"/>
      <c r="AW588" s="181"/>
      <c r="AX588" s="181"/>
      <c r="AY588" s="181"/>
      <c r="AZ588" s="181"/>
      <c r="BA588" s="181"/>
      <c r="BB588" s="32"/>
      <c r="BC588" s="32"/>
      <c r="BD588" s="32"/>
      <c r="BE588" s="32"/>
      <c r="BF588" s="32"/>
      <c r="BG588" s="32"/>
      <c r="BH588" s="32"/>
      <c r="BI588" s="32"/>
      <c r="BJ588" s="32"/>
      <c r="BK588" s="32"/>
      <c r="BL588" s="32"/>
      <c r="BM588" s="32"/>
      <c r="BN588" s="32"/>
      <c r="BO588" s="32"/>
      <c r="BP588" s="32"/>
      <c r="BQ588" s="32"/>
      <c r="BR588" s="32"/>
      <c r="BS588" s="32"/>
      <c r="BT588" s="32"/>
      <c r="BU588" s="32"/>
      <c r="BV588" s="32"/>
      <c r="BW588" s="32"/>
      <c r="BX588" s="32"/>
      <c r="BY588" s="32"/>
      <c r="BZ588" s="32"/>
      <c r="CA588" s="32"/>
      <c r="CB588" s="32"/>
      <c r="CC588" s="32"/>
      <c r="CD588" s="32"/>
    </row>
    <row r="589" spans="1:8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181"/>
      <c r="S589" s="181"/>
      <c r="T589" s="181"/>
      <c r="U589" s="181"/>
      <c r="V589" s="181"/>
      <c r="W589" s="181"/>
      <c r="X589" s="181"/>
      <c r="Y589" s="181"/>
      <c r="Z589" s="181"/>
      <c r="AA589" s="181"/>
      <c r="AB589" s="181"/>
      <c r="AC589" s="181"/>
      <c r="AD589" s="181"/>
      <c r="AE589" s="181"/>
      <c r="AF589" s="181"/>
      <c r="AG589" s="181"/>
      <c r="AH589" s="181"/>
      <c r="AI589" s="181"/>
      <c r="AJ589" s="181"/>
      <c r="AK589" s="181"/>
      <c r="AL589" s="181"/>
      <c r="AM589" s="181"/>
      <c r="AN589" s="181"/>
      <c r="AO589" s="181"/>
      <c r="AP589" s="181"/>
      <c r="AQ589" s="181"/>
      <c r="AR589" s="181"/>
      <c r="AS589" s="181"/>
      <c r="AT589" s="181"/>
      <c r="AU589" s="181"/>
      <c r="AV589" s="181"/>
      <c r="AW589" s="181"/>
      <c r="AX589" s="181"/>
      <c r="AY589" s="181"/>
      <c r="AZ589" s="181"/>
      <c r="BA589" s="181"/>
      <c r="BB589" s="32"/>
      <c r="BC589" s="32"/>
      <c r="BD589" s="32"/>
      <c r="BE589" s="32"/>
      <c r="BF589" s="32"/>
      <c r="BG589" s="32"/>
      <c r="BH589" s="32"/>
      <c r="BI589" s="32"/>
      <c r="BJ589" s="32"/>
      <c r="BK589" s="32"/>
      <c r="BL589" s="32"/>
      <c r="BM589" s="32"/>
      <c r="BN589" s="32"/>
      <c r="BO589" s="32"/>
      <c r="BP589" s="32"/>
      <c r="BQ589" s="32"/>
      <c r="BR589" s="32"/>
      <c r="BS589" s="32"/>
      <c r="BT589" s="32"/>
      <c r="BU589" s="32"/>
      <c r="BV589" s="32"/>
      <c r="BW589" s="32"/>
      <c r="BX589" s="32"/>
      <c r="BY589" s="32"/>
      <c r="BZ589" s="32"/>
      <c r="CA589" s="32"/>
      <c r="CB589" s="32"/>
      <c r="CC589" s="32"/>
      <c r="CD589" s="32"/>
    </row>
    <row r="590" spans="1:8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181"/>
      <c r="S590" s="181"/>
      <c r="T590" s="181"/>
      <c r="U590" s="181"/>
      <c r="V590" s="181"/>
      <c r="W590" s="181"/>
      <c r="X590" s="181"/>
      <c r="Y590" s="181"/>
      <c r="Z590" s="181"/>
      <c r="AA590" s="181"/>
      <c r="AB590" s="181"/>
      <c r="AC590" s="181"/>
      <c r="AD590" s="181"/>
      <c r="AE590" s="181"/>
      <c r="AF590" s="181"/>
      <c r="AG590" s="181"/>
      <c r="AH590" s="181"/>
      <c r="AI590" s="181"/>
      <c r="AJ590" s="181"/>
      <c r="AK590" s="181"/>
      <c r="AL590" s="181"/>
      <c r="AM590" s="181"/>
      <c r="AN590" s="181"/>
      <c r="AO590" s="181"/>
      <c r="AP590" s="181"/>
      <c r="AQ590" s="181"/>
      <c r="AR590" s="181"/>
      <c r="AS590" s="181"/>
      <c r="AT590" s="181"/>
      <c r="AU590" s="181"/>
      <c r="AV590" s="181"/>
      <c r="AW590" s="181"/>
      <c r="AX590" s="181"/>
      <c r="AY590" s="181"/>
      <c r="AZ590" s="181"/>
      <c r="BA590" s="181"/>
      <c r="BB590" s="32"/>
      <c r="BC590" s="32"/>
      <c r="BD590" s="32"/>
      <c r="BE590" s="32"/>
      <c r="BF590" s="32"/>
      <c r="BG590" s="32"/>
      <c r="BH590" s="32"/>
      <c r="BI590" s="32"/>
      <c r="BJ590" s="32"/>
      <c r="BK590" s="32"/>
      <c r="BL590" s="32"/>
      <c r="BM590" s="32"/>
      <c r="BN590" s="32"/>
      <c r="BO590" s="32"/>
      <c r="BP590" s="32"/>
      <c r="BQ590" s="32"/>
      <c r="BR590" s="32"/>
      <c r="BS590" s="32"/>
      <c r="BT590" s="32"/>
      <c r="BU590" s="32"/>
      <c r="BV590" s="32"/>
      <c r="BW590" s="32"/>
      <c r="BX590" s="32"/>
      <c r="BY590" s="32"/>
      <c r="BZ590" s="32"/>
      <c r="CA590" s="32"/>
      <c r="CB590" s="32"/>
      <c r="CC590" s="32"/>
      <c r="CD590" s="32"/>
    </row>
    <row r="591" spans="1:8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181"/>
      <c r="S591" s="181"/>
      <c r="T591" s="181"/>
      <c r="U591" s="181"/>
      <c r="V591" s="181"/>
      <c r="W591" s="181"/>
      <c r="X591" s="181"/>
      <c r="Y591" s="181"/>
      <c r="Z591" s="181"/>
      <c r="AA591" s="181"/>
      <c r="AB591" s="181"/>
      <c r="AC591" s="181"/>
      <c r="AD591" s="181"/>
      <c r="AE591" s="181"/>
      <c r="AF591" s="181"/>
      <c r="AG591" s="181"/>
      <c r="AH591" s="181"/>
      <c r="AI591" s="181"/>
      <c r="AJ591" s="181"/>
      <c r="AK591" s="181"/>
      <c r="AL591" s="181"/>
      <c r="AM591" s="181"/>
      <c r="AN591" s="181"/>
      <c r="AO591" s="181"/>
      <c r="AP591" s="181"/>
      <c r="AQ591" s="181"/>
      <c r="AR591" s="181"/>
      <c r="AS591" s="181"/>
      <c r="AT591" s="181"/>
      <c r="AU591" s="181"/>
      <c r="AV591" s="181"/>
      <c r="AW591" s="181"/>
      <c r="AX591" s="181"/>
      <c r="AY591" s="181"/>
      <c r="AZ591" s="181"/>
      <c r="BA591" s="181"/>
      <c r="BB591" s="32"/>
      <c r="BC591" s="32"/>
      <c r="BD591" s="32"/>
      <c r="BE591" s="32"/>
      <c r="BF591" s="32"/>
      <c r="BG591" s="32"/>
      <c r="BH591" s="32"/>
      <c r="BI591" s="32"/>
      <c r="BJ591" s="32"/>
      <c r="BK591" s="32"/>
      <c r="BL591" s="32"/>
      <c r="BM591" s="32"/>
      <c r="BN591" s="32"/>
      <c r="BO591" s="32"/>
      <c r="BP591" s="32"/>
      <c r="BQ591" s="32"/>
      <c r="BR591" s="32"/>
      <c r="BS591" s="32"/>
      <c r="BT591" s="32"/>
      <c r="BU591" s="32"/>
      <c r="BV591" s="32"/>
      <c r="BW591" s="32"/>
      <c r="BX591" s="32"/>
      <c r="BY591" s="32"/>
      <c r="BZ591" s="32"/>
      <c r="CA591" s="32"/>
      <c r="CB591" s="32"/>
      <c r="CC591" s="32"/>
      <c r="CD591" s="32"/>
    </row>
    <row r="592" spans="1:8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181"/>
      <c r="S592" s="181"/>
      <c r="T592" s="181"/>
      <c r="U592" s="181"/>
      <c r="V592" s="181"/>
      <c r="W592" s="181"/>
      <c r="X592" s="181"/>
      <c r="Y592" s="181"/>
      <c r="Z592" s="181"/>
      <c r="AA592" s="181"/>
      <c r="AB592" s="181"/>
      <c r="AC592" s="181"/>
      <c r="AD592" s="181"/>
      <c r="AE592" s="181"/>
      <c r="AF592" s="181"/>
      <c r="AG592" s="181"/>
      <c r="AH592" s="181"/>
      <c r="AI592" s="181"/>
      <c r="AJ592" s="181"/>
      <c r="AK592" s="181"/>
      <c r="AL592" s="181"/>
      <c r="AM592" s="181"/>
      <c r="AN592" s="181"/>
      <c r="AO592" s="181"/>
      <c r="AP592" s="181"/>
      <c r="AQ592" s="181"/>
      <c r="AR592" s="181"/>
      <c r="AS592" s="181"/>
      <c r="AT592" s="181"/>
      <c r="AU592" s="181"/>
      <c r="AV592" s="181"/>
      <c r="AW592" s="181"/>
      <c r="AX592" s="181"/>
      <c r="AY592" s="181"/>
      <c r="AZ592" s="181"/>
      <c r="BA592" s="181"/>
      <c r="BB592" s="32"/>
      <c r="BC592" s="32"/>
      <c r="BD592" s="32"/>
      <c r="BE592" s="32"/>
      <c r="BF592" s="32"/>
      <c r="BG592" s="32"/>
      <c r="BH592" s="32"/>
      <c r="BI592" s="32"/>
      <c r="BJ592" s="32"/>
      <c r="BK592" s="32"/>
      <c r="BL592" s="32"/>
      <c r="BM592" s="32"/>
      <c r="BN592" s="32"/>
      <c r="BO592" s="32"/>
      <c r="BP592" s="32"/>
      <c r="BQ592" s="32"/>
      <c r="BR592" s="32"/>
      <c r="BS592" s="32"/>
      <c r="BT592" s="32"/>
      <c r="BU592" s="32"/>
      <c r="BV592" s="32"/>
      <c r="BW592" s="32"/>
      <c r="BX592" s="32"/>
      <c r="BY592" s="32"/>
      <c r="BZ592" s="32"/>
      <c r="CA592" s="32"/>
      <c r="CB592" s="32"/>
      <c r="CC592" s="32"/>
      <c r="CD592" s="32"/>
    </row>
    <row r="593" spans="1:8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181"/>
      <c r="S593" s="181"/>
      <c r="T593" s="181"/>
      <c r="U593" s="181"/>
      <c r="V593" s="181"/>
      <c r="W593" s="181"/>
      <c r="X593" s="181"/>
      <c r="Y593" s="181"/>
      <c r="Z593" s="181"/>
      <c r="AA593" s="181"/>
      <c r="AB593" s="181"/>
      <c r="AC593" s="181"/>
      <c r="AD593" s="181"/>
      <c r="AE593" s="181"/>
      <c r="AF593" s="181"/>
      <c r="AG593" s="181"/>
      <c r="AH593" s="181"/>
      <c r="AI593" s="181"/>
      <c r="AJ593" s="181"/>
      <c r="AK593" s="181"/>
      <c r="AL593" s="181"/>
      <c r="AM593" s="181"/>
      <c r="AN593" s="181"/>
      <c r="AO593" s="181"/>
      <c r="AP593" s="181"/>
      <c r="AQ593" s="181"/>
      <c r="AR593" s="181"/>
      <c r="AS593" s="181"/>
      <c r="AT593" s="181"/>
      <c r="AU593" s="181"/>
      <c r="AV593" s="181"/>
      <c r="AW593" s="181"/>
      <c r="AX593" s="181"/>
      <c r="AY593" s="181"/>
      <c r="AZ593" s="181"/>
      <c r="BA593" s="181"/>
      <c r="BB593" s="32"/>
      <c r="BC593" s="32"/>
      <c r="BD593" s="32"/>
      <c r="BE593" s="32"/>
      <c r="BF593" s="32"/>
      <c r="BG593" s="32"/>
      <c r="BH593" s="32"/>
      <c r="BI593" s="32"/>
      <c r="BJ593" s="32"/>
      <c r="BK593" s="32"/>
      <c r="BL593" s="32"/>
      <c r="BM593" s="32"/>
      <c r="BN593" s="32"/>
      <c r="BO593" s="32"/>
      <c r="BP593" s="32"/>
      <c r="BQ593" s="32"/>
      <c r="BR593" s="32"/>
      <c r="BS593" s="32"/>
      <c r="BT593" s="32"/>
      <c r="BU593" s="32"/>
      <c r="BV593" s="32"/>
      <c r="BW593" s="32"/>
      <c r="BX593" s="32"/>
      <c r="BY593" s="32"/>
      <c r="BZ593" s="32"/>
      <c r="CA593" s="32"/>
      <c r="CB593" s="32"/>
      <c r="CC593" s="32"/>
      <c r="CD593" s="32"/>
    </row>
    <row r="594" spans="1:8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181"/>
      <c r="S594" s="181"/>
      <c r="T594" s="181"/>
      <c r="U594" s="181"/>
      <c r="V594" s="181"/>
      <c r="W594" s="181"/>
      <c r="X594" s="181"/>
      <c r="Y594" s="181"/>
      <c r="Z594" s="181"/>
      <c r="AA594" s="181"/>
      <c r="AB594" s="181"/>
      <c r="AC594" s="181"/>
      <c r="AD594" s="181"/>
      <c r="AE594" s="181"/>
      <c r="AF594" s="181"/>
      <c r="AG594" s="181"/>
      <c r="AH594" s="181"/>
      <c r="AI594" s="181"/>
      <c r="AJ594" s="181"/>
      <c r="AK594" s="181"/>
      <c r="AL594" s="181"/>
      <c r="AM594" s="181"/>
      <c r="AN594" s="181"/>
      <c r="AO594" s="181"/>
      <c r="AP594" s="181"/>
      <c r="AQ594" s="181"/>
      <c r="AR594" s="181"/>
      <c r="AS594" s="181"/>
      <c r="AT594" s="181"/>
      <c r="AU594" s="181"/>
      <c r="AV594" s="181"/>
      <c r="AW594" s="181"/>
      <c r="AX594" s="181"/>
      <c r="AY594" s="181"/>
      <c r="AZ594" s="181"/>
      <c r="BA594" s="181"/>
      <c r="BB594" s="32"/>
      <c r="BC594" s="32"/>
      <c r="BD594" s="32"/>
      <c r="BE594" s="32"/>
      <c r="BF594" s="32"/>
      <c r="BG594" s="32"/>
      <c r="BH594" s="32"/>
      <c r="BI594" s="32"/>
      <c r="BJ594" s="32"/>
      <c r="BK594" s="32"/>
      <c r="BL594" s="32"/>
      <c r="BM594" s="32"/>
      <c r="BN594" s="32"/>
      <c r="BO594" s="32"/>
      <c r="BP594" s="32"/>
      <c r="BQ594" s="32"/>
      <c r="BR594" s="32"/>
      <c r="BS594" s="32"/>
      <c r="BT594" s="32"/>
      <c r="BU594" s="32"/>
      <c r="BV594" s="32"/>
      <c r="BW594" s="32"/>
      <c r="BX594" s="32"/>
      <c r="BY594" s="32"/>
      <c r="BZ594" s="32"/>
      <c r="CA594" s="32"/>
      <c r="CB594" s="32"/>
      <c r="CC594" s="32"/>
      <c r="CD594" s="32"/>
    </row>
    <row r="595" spans="1:8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181"/>
      <c r="S595" s="181"/>
      <c r="T595" s="181"/>
      <c r="U595" s="181"/>
      <c r="V595" s="181"/>
      <c r="W595" s="181"/>
      <c r="X595" s="181"/>
      <c r="Y595" s="181"/>
      <c r="Z595" s="181"/>
      <c r="AA595" s="181"/>
      <c r="AB595" s="181"/>
      <c r="AC595" s="181"/>
      <c r="AD595" s="181"/>
      <c r="AE595" s="181"/>
      <c r="AF595" s="181"/>
      <c r="AG595" s="181"/>
      <c r="AH595" s="181"/>
      <c r="AI595" s="181"/>
      <c r="AJ595" s="181"/>
      <c r="AK595" s="181"/>
      <c r="AL595" s="181"/>
      <c r="AM595" s="181"/>
      <c r="AN595" s="181"/>
      <c r="AO595" s="181"/>
      <c r="AP595" s="181"/>
      <c r="AQ595" s="181"/>
      <c r="AR595" s="181"/>
      <c r="AS595" s="181"/>
      <c r="AT595" s="181"/>
      <c r="AU595" s="181"/>
      <c r="AV595" s="181"/>
      <c r="AW595" s="181"/>
      <c r="AX595" s="181"/>
      <c r="AY595" s="181"/>
      <c r="AZ595" s="181"/>
      <c r="BA595" s="181"/>
      <c r="BB595" s="32"/>
      <c r="BC595" s="32"/>
      <c r="BD595" s="32"/>
      <c r="BE595" s="32"/>
      <c r="BF595" s="32"/>
      <c r="BG595" s="32"/>
      <c r="BH595" s="32"/>
      <c r="BI595" s="32"/>
      <c r="BJ595" s="32"/>
      <c r="BK595" s="32"/>
      <c r="BL595" s="32"/>
      <c r="BM595" s="32"/>
      <c r="BN595" s="32"/>
      <c r="BO595" s="32"/>
      <c r="BP595" s="32"/>
      <c r="BQ595" s="32"/>
      <c r="BR595" s="32"/>
      <c r="BS595" s="32"/>
      <c r="BT595" s="32"/>
      <c r="BU595" s="32"/>
      <c r="BV595" s="32"/>
      <c r="BW595" s="32"/>
      <c r="BX595" s="32"/>
      <c r="BY595" s="32"/>
      <c r="BZ595" s="32"/>
      <c r="CA595" s="32"/>
      <c r="CB595" s="32"/>
      <c r="CC595" s="32"/>
      <c r="CD595" s="32"/>
    </row>
    <row r="596" spans="1:8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181"/>
      <c r="S596" s="181"/>
      <c r="T596" s="181"/>
      <c r="U596" s="181"/>
      <c r="V596" s="181"/>
      <c r="W596" s="181"/>
      <c r="X596" s="181"/>
      <c r="Y596" s="181"/>
      <c r="Z596" s="181"/>
      <c r="AA596" s="181"/>
      <c r="AB596" s="181"/>
      <c r="AC596" s="181"/>
      <c r="AD596" s="181"/>
      <c r="AE596" s="181"/>
      <c r="AF596" s="181"/>
      <c r="AG596" s="181"/>
      <c r="AH596" s="181"/>
      <c r="AI596" s="181"/>
      <c r="AJ596" s="181"/>
      <c r="AK596" s="181"/>
      <c r="AL596" s="181"/>
      <c r="AM596" s="181"/>
      <c r="AN596" s="181"/>
      <c r="AO596" s="181"/>
      <c r="AP596" s="181"/>
      <c r="AQ596" s="181"/>
      <c r="AR596" s="181"/>
      <c r="AS596" s="181"/>
      <c r="AT596" s="181"/>
      <c r="AU596" s="181"/>
      <c r="AV596" s="181"/>
      <c r="AW596" s="181"/>
      <c r="AX596" s="181"/>
      <c r="AY596" s="181"/>
      <c r="AZ596" s="181"/>
      <c r="BA596" s="181"/>
      <c r="BB596" s="32"/>
      <c r="BC596" s="32"/>
      <c r="BD596" s="32"/>
      <c r="BE596" s="32"/>
      <c r="BF596" s="32"/>
      <c r="BG596" s="32"/>
      <c r="BH596" s="32"/>
      <c r="BI596" s="32"/>
      <c r="BJ596" s="32"/>
      <c r="BK596" s="32"/>
      <c r="BL596" s="32"/>
      <c r="BM596" s="32"/>
      <c r="BN596" s="32"/>
      <c r="BO596" s="32"/>
      <c r="BP596" s="32"/>
      <c r="BQ596" s="32"/>
      <c r="BR596" s="32"/>
      <c r="BS596" s="32"/>
      <c r="BT596" s="32"/>
      <c r="BU596" s="32"/>
      <c r="BV596" s="32"/>
      <c r="BW596" s="32"/>
      <c r="BX596" s="32"/>
      <c r="BY596" s="32"/>
      <c r="BZ596" s="32"/>
      <c r="CA596" s="32"/>
      <c r="CB596" s="32"/>
      <c r="CC596" s="32"/>
      <c r="CD596" s="32"/>
    </row>
    <row r="597" spans="1:8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181"/>
      <c r="S597" s="181"/>
      <c r="T597" s="181"/>
      <c r="U597" s="181"/>
      <c r="V597" s="181"/>
      <c r="W597" s="181"/>
      <c r="X597" s="181"/>
      <c r="Y597" s="181"/>
      <c r="Z597" s="181"/>
      <c r="AA597" s="181"/>
      <c r="AB597" s="181"/>
      <c r="AC597" s="181"/>
      <c r="AD597" s="181"/>
      <c r="AE597" s="181"/>
      <c r="AF597" s="181"/>
      <c r="AG597" s="181"/>
      <c r="AH597" s="181"/>
      <c r="AI597" s="181"/>
      <c r="AJ597" s="181"/>
      <c r="AK597" s="181"/>
      <c r="AL597" s="181"/>
      <c r="AM597" s="181"/>
      <c r="AN597" s="181"/>
      <c r="AO597" s="181"/>
      <c r="AP597" s="181"/>
      <c r="AQ597" s="181"/>
      <c r="AR597" s="181"/>
      <c r="AS597" s="181"/>
      <c r="AT597" s="181"/>
      <c r="AU597" s="181"/>
      <c r="AV597" s="181"/>
      <c r="AW597" s="181"/>
      <c r="AX597" s="181"/>
      <c r="AY597" s="181"/>
      <c r="AZ597" s="181"/>
      <c r="BA597" s="181"/>
      <c r="BB597" s="32"/>
      <c r="BC597" s="32"/>
      <c r="BD597" s="32"/>
      <c r="BE597" s="32"/>
      <c r="BF597" s="32"/>
      <c r="BG597" s="32"/>
      <c r="BH597" s="32"/>
      <c r="BI597" s="32"/>
      <c r="BJ597" s="32"/>
      <c r="BK597" s="32"/>
      <c r="BL597" s="32"/>
      <c r="BM597" s="32"/>
      <c r="BN597" s="32"/>
      <c r="BO597" s="32"/>
      <c r="BP597" s="32"/>
      <c r="BQ597" s="32"/>
      <c r="BR597" s="32"/>
      <c r="BS597" s="32"/>
      <c r="BT597" s="32"/>
      <c r="BU597" s="32"/>
      <c r="BV597" s="32"/>
      <c r="BW597" s="32"/>
      <c r="BX597" s="32"/>
      <c r="BY597" s="32"/>
      <c r="BZ597" s="32"/>
      <c r="CA597" s="32"/>
      <c r="CB597" s="32"/>
      <c r="CC597" s="32"/>
      <c r="CD597" s="32"/>
    </row>
    <row r="598" spans="1:8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181"/>
      <c r="S598" s="181"/>
      <c r="T598" s="181"/>
      <c r="U598" s="181"/>
      <c r="V598" s="181"/>
      <c r="W598" s="181"/>
      <c r="X598" s="181"/>
      <c r="Y598" s="181"/>
      <c r="Z598" s="181"/>
      <c r="AA598" s="181"/>
      <c r="AB598" s="181"/>
      <c r="AC598" s="181"/>
      <c r="AD598" s="181"/>
      <c r="AE598" s="181"/>
      <c r="AF598" s="181"/>
      <c r="AG598" s="181"/>
      <c r="AH598" s="181"/>
      <c r="AI598" s="181"/>
      <c r="AJ598" s="181"/>
      <c r="AK598" s="181"/>
      <c r="AL598" s="181"/>
      <c r="AM598" s="181"/>
      <c r="AN598" s="181"/>
      <c r="AO598" s="181"/>
      <c r="AP598" s="181"/>
      <c r="AQ598" s="181"/>
      <c r="AR598" s="181"/>
      <c r="AS598" s="181"/>
      <c r="AT598" s="181"/>
      <c r="AU598" s="181"/>
      <c r="AV598" s="181"/>
      <c r="AW598" s="181"/>
      <c r="AX598" s="181"/>
      <c r="AY598" s="181"/>
      <c r="AZ598" s="181"/>
      <c r="BA598" s="181"/>
      <c r="BB598" s="32"/>
      <c r="BC598" s="32"/>
      <c r="BD598" s="32"/>
      <c r="BE598" s="32"/>
      <c r="BF598" s="32"/>
      <c r="BG598" s="32"/>
      <c r="BH598" s="32"/>
      <c r="BI598" s="32"/>
      <c r="BJ598" s="32"/>
      <c r="BK598" s="32"/>
      <c r="BL598" s="32"/>
      <c r="BM598" s="32"/>
      <c r="BN598" s="32"/>
      <c r="BO598" s="32"/>
      <c r="BP598" s="32"/>
      <c r="BQ598" s="32"/>
      <c r="BR598" s="32"/>
      <c r="BS598" s="32"/>
      <c r="BT598" s="32"/>
      <c r="BU598" s="32"/>
      <c r="BV598" s="32"/>
      <c r="BW598" s="32"/>
      <c r="BX598" s="32"/>
      <c r="BY598" s="32"/>
      <c r="BZ598" s="32"/>
      <c r="CA598" s="32"/>
      <c r="CB598" s="32"/>
      <c r="CC598" s="32"/>
      <c r="CD598" s="32"/>
    </row>
    <row r="599" spans="1:8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181"/>
      <c r="S599" s="181"/>
      <c r="T599" s="181"/>
      <c r="U599" s="181"/>
      <c r="V599" s="181"/>
      <c r="W599" s="181"/>
      <c r="X599" s="181"/>
      <c r="Y599" s="181"/>
      <c r="Z599" s="181"/>
      <c r="AA599" s="181"/>
      <c r="AB599" s="181"/>
      <c r="AC599" s="181"/>
      <c r="AD599" s="181"/>
      <c r="AE599" s="181"/>
      <c r="AF599" s="181"/>
      <c r="AG599" s="181"/>
      <c r="AH599" s="181"/>
      <c r="AI599" s="181"/>
      <c r="AJ599" s="181"/>
      <c r="AK599" s="181"/>
      <c r="AL599" s="181"/>
      <c r="AM599" s="181"/>
      <c r="AN599" s="181"/>
      <c r="AO599" s="181"/>
      <c r="AP599" s="181"/>
      <c r="AQ599" s="181"/>
      <c r="AR599" s="181"/>
      <c r="AS599" s="181"/>
      <c r="AT599" s="181"/>
      <c r="AU599" s="181"/>
      <c r="AV599" s="181"/>
      <c r="AW599" s="181"/>
      <c r="AX599" s="181"/>
      <c r="AY599" s="181"/>
      <c r="AZ599" s="181"/>
      <c r="BA599" s="181"/>
      <c r="BB599" s="32"/>
      <c r="BC599" s="32"/>
      <c r="BD599" s="32"/>
      <c r="BE599" s="32"/>
      <c r="BF599" s="32"/>
      <c r="BG599" s="32"/>
      <c r="BH599" s="32"/>
      <c r="BI599" s="32"/>
      <c r="BJ599" s="32"/>
      <c r="BK599" s="32"/>
      <c r="BL599" s="32"/>
      <c r="BM599" s="32"/>
      <c r="BN599" s="32"/>
      <c r="BO599" s="32"/>
      <c r="BP599" s="32"/>
      <c r="BQ599" s="32"/>
      <c r="BR599" s="32"/>
      <c r="BS599" s="32"/>
      <c r="BT599" s="32"/>
      <c r="BU599" s="32"/>
      <c r="BV599" s="32"/>
      <c r="BW599" s="32"/>
      <c r="BX599" s="32"/>
      <c r="BY599" s="32"/>
      <c r="BZ599" s="32"/>
      <c r="CA599" s="32"/>
      <c r="CB599" s="32"/>
      <c r="CC599" s="32"/>
      <c r="CD599" s="32"/>
    </row>
    <row r="600" spans="1:8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181"/>
      <c r="S600" s="181"/>
      <c r="T600" s="181"/>
      <c r="U600" s="181"/>
      <c r="V600" s="181"/>
      <c r="W600" s="181"/>
      <c r="X600" s="181"/>
      <c r="Y600" s="181"/>
      <c r="Z600" s="181"/>
      <c r="AA600" s="181"/>
      <c r="AB600" s="181"/>
      <c r="AC600" s="181"/>
      <c r="AD600" s="181"/>
      <c r="AE600" s="181"/>
      <c r="AF600" s="181"/>
      <c r="AG600" s="181"/>
      <c r="AH600" s="181"/>
      <c r="AI600" s="181"/>
      <c r="AJ600" s="181"/>
      <c r="AK600" s="181"/>
      <c r="AL600" s="181"/>
      <c r="AM600" s="181"/>
      <c r="AN600" s="181"/>
      <c r="AO600" s="181"/>
      <c r="AP600" s="181"/>
      <c r="AQ600" s="181"/>
      <c r="AR600" s="181"/>
      <c r="AS600" s="181"/>
      <c r="AT600" s="181"/>
      <c r="AU600" s="181"/>
      <c r="AV600" s="181"/>
      <c r="AW600" s="181"/>
      <c r="AX600" s="181"/>
      <c r="AY600" s="181"/>
      <c r="AZ600" s="181"/>
      <c r="BA600" s="181"/>
      <c r="BB600" s="32"/>
      <c r="BC600" s="32"/>
      <c r="BD600" s="32"/>
      <c r="BE600" s="32"/>
      <c r="BF600" s="32"/>
      <c r="BG600" s="32"/>
      <c r="BH600" s="32"/>
      <c r="BI600" s="32"/>
      <c r="BJ600" s="32"/>
      <c r="BK600" s="32"/>
      <c r="BL600" s="32"/>
      <c r="BM600" s="32"/>
      <c r="BN600" s="32"/>
      <c r="BO600" s="32"/>
      <c r="BP600" s="32"/>
      <c r="BQ600" s="32"/>
      <c r="BR600" s="32"/>
      <c r="BS600" s="32"/>
      <c r="BT600" s="32"/>
      <c r="BU600" s="32"/>
      <c r="BV600" s="32"/>
      <c r="BW600" s="32"/>
      <c r="BX600" s="32"/>
      <c r="BY600" s="32"/>
      <c r="BZ600" s="32"/>
      <c r="CA600" s="32"/>
      <c r="CB600" s="32"/>
      <c r="CC600" s="32"/>
      <c r="CD600" s="32"/>
    </row>
    <row r="601" spans="1:8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181"/>
      <c r="S601" s="181"/>
      <c r="T601" s="181"/>
      <c r="U601" s="181"/>
      <c r="V601" s="181"/>
      <c r="W601" s="181"/>
      <c r="X601" s="181"/>
      <c r="Y601" s="181"/>
      <c r="Z601" s="181"/>
      <c r="AA601" s="181"/>
      <c r="AB601" s="181"/>
      <c r="AC601" s="181"/>
      <c r="AD601" s="181"/>
      <c r="AE601" s="181"/>
      <c r="AF601" s="181"/>
      <c r="AG601" s="181"/>
      <c r="AH601" s="181"/>
      <c r="AI601" s="181"/>
      <c r="AJ601" s="181"/>
      <c r="AK601" s="181"/>
      <c r="AL601" s="181"/>
      <c r="AM601" s="181"/>
      <c r="AN601" s="181"/>
      <c r="AO601" s="181"/>
      <c r="AP601" s="181"/>
      <c r="AQ601" s="181"/>
      <c r="AR601" s="181"/>
      <c r="AS601" s="181"/>
      <c r="AT601" s="181"/>
      <c r="AU601" s="181"/>
      <c r="AV601" s="181"/>
      <c r="AW601" s="181"/>
      <c r="AX601" s="181"/>
      <c r="AY601" s="181"/>
      <c r="AZ601" s="181"/>
      <c r="BA601" s="181"/>
      <c r="BB601" s="32"/>
      <c r="BC601" s="32"/>
      <c r="BD601" s="32"/>
      <c r="BE601" s="32"/>
      <c r="BF601" s="32"/>
      <c r="BG601" s="32"/>
      <c r="BH601" s="32"/>
      <c r="BI601" s="32"/>
      <c r="BJ601" s="32"/>
      <c r="BK601" s="32"/>
      <c r="BL601" s="32"/>
      <c r="BM601" s="32"/>
      <c r="BN601" s="32"/>
      <c r="BO601" s="32"/>
      <c r="BP601" s="32"/>
      <c r="BQ601" s="32"/>
      <c r="BR601" s="32"/>
      <c r="BS601" s="32"/>
      <c r="BT601" s="32"/>
      <c r="BU601" s="32"/>
      <c r="BV601" s="32"/>
      <c r="BW601" s="32"/>
      <c r="BX601" s="32"/>
      <c r="BY601" s="32"/>
      <c r="BZ601" s="32"/>
      <c r="CA601" s="32"/>
      <c r="CB601" s="32"/>
      <c r="CC601" s="32"/>
      <c r="CD601" s="32"/>
    </row>
  </sheetData>
  <sheetProtection sheet="1" objects="1" scenarios="1" selectLockedCells="1"/>
  <mergeCells count="178">
    <mergeCell ref="M39:N39"/>
    <mergeCell ref="M40:N40"/>
    <mergeCell ref="M41:N41"/>
    <mergeCell ref="M42:N42"/>
    <mergeCell ref="M43:N43"/>
    <mergeCell ref="M44:N44"/>
    <mergeCell ref="M45:N45"/>
    <mergeCell ref="M38:N38"/>
    <mergeCell ref="B35:P37"/>
    <mergeCell ref="O38:P38"/>
    <mergeCell ref="O39:P39"/>
    <mergeCell ref="O40:P40"/>
    <mergeCell ref="O43:P43"/>
    <mergeCell ref="O44:P44"/>
    <mergeCell ref="O41:P42"/>
    <mergeCell ref="O45:P46"/>
    <mergeCell ref="B41:C41"/>
    <mergeCell ref="D41:E41"/>
    <mergeCell ref="B42:C42"/>
    <mergeCell ref="H38:I38"/>
    <mergeCell ref="F39:G39"/>
    <mergeCell ref="H39:I39"/>
    <mergeCell ref="F40:G40"/>
    <mergeCell ref="H40:I40"/>
    <mergeCell ref="H57:I57"/>
    <mergeCell ref="H58:I58"/>
    <mergeCell ref="H59:I59"/>
    <mergeCell ref="H60:I60"/>
    <mergeCell ref="H55:I55"/>
    <mergeCell ref="H56:I56"/>
    <mergeCell ref="H67:I67"/>
    <mergeCell ref="F65:G65"/>
    <mergeCell ref="F66:G66"/>
    <mergeCell ref="F67:G67"/>
    <mergeCell ref="H63:I63"/>
    <mergeCell ref="H64:I64"/>
    <mergeCell ref="H65:I65"/>
    <mergeCell ref="H66:I66"/>
    <mergeCell ref="H61:I61"/>
    <mergeCell ref="H62:I62"/>
    <mergeCell ref="D65:E65"/>
    <mergeCell ref="D66:E66"/>
    <mergeCell ref="F61:G61"/>
    <mergeCell ref="F62:G62"/>
    <mergeCell ref="F63:G63"/>
    <mergeCell ref="F64:G64"/>
    <mergeCell ref="D63:E63"/>
    <mergeCell ref="D67:E67"/>
    <mergeCell ref="F53:G53"/>
    <mergeCell ref="F54:G54"/>
    <mergeCell ref="F55:G55"/>
    <mergeCell ref="F56:G56"/>
    <mergeCell ref="F57:G57"/>
    <mergeCell ref="F58:G58"/>
    <mergeCell ref="F59:G59"/>
    <mergeCell ref="D56:E56"/>
    <mergeCell ref="F60:G60"/>
    <mergeCell ref="B70:B71"/>
    <mergeCell ref="U53:V53"/>
    <mergeCell ref="U52:V52"/>
    <mergeCell ref="J70:J71"/>
    <mergeCell ref="C70:C71"/>
    <mergeCell ref="D70:E71"/>
    <mergeCell ref="B54:C54"/>
    <mergeCell ref="B55:C55"/>
    <mergeCell ref="B56:C56"/>
    <mergeCell ref="B57:C57"/>
    <mergeCell ref="B52:C52"/>
    <mergeCell ref="D52:E52"/>
    <mergeCell ref="B53:C53"/>
    <mergeCell ref="D64:E64"/>
    <mergeCell ref="D59:E59"/>
    <mergeCell ref="D60:E60"/>
    <mergeCell ref="D61:E61"/>
    <mergeCell ref="D62:E62"/>
    <mergeCell ref="D57:E57"/>
    <mergeCell ref="D54:E54"/>
    <mergeCell ref="D55:E55"/>
    <mergeCell ref="B66:C66"/>
    <mergeCell ref="B67:C67"/>
    <mergeCell ref="B58:C58"/>
    <mergeCell ref="B63:C63"/>
    <mergeCell ref="B64:C64"/>
    <mergeCell ref="B65:C65"/>
    <mergeCell ref="B2:D3"/>
    <mergeCell ref="B44:C44"/>
    <mergeCell ref="D44:E44"/>
    <mergeCell ref="B48:C48"/>
    <mergeCell ref="D48:E48"/>
    <mergeCell ref="B43:C43"/>
    <mergeCell ref="B50:C50"/>
    <mergeCell ref="B51:C51"/>
    <mergeCell ref="D51:E51"/>
    <mergeCell ref="B59:C59"/>
    <mergeCell ref="B60:C60"/>
    <mergeCell ref="B61:C61"/>
    <mergeCell ref="D58:E58"/>
    <mergeCell ref="B62:C62"/>
    <mergeCell ref="D53:E53"/>
    <mergeCell ref="B38:C38"/>
    <mergeCell ref="D38:E38"/>
    <mergeCell ref="B39:C39"/>
    <mergeCell ref="D39:E39"/>
    <mergeCell ref="B40:C40"/>
    <mergeCell ref="D40:E40"/>
    <mergeCell ref="H73:I73"/>
    <mergeCell ref="D72:E72"/>
    <mergeCell ref="D73:E73"/>
    <mergeCell ref="F70:F71"/>
    <mergeCell ref="G70:G71"/>
    <mergeCell ref="G72:G73"/>
    <mergeCell ref="F72:F73"/>
    <mergeCell ref="H70:I71"/>
    <mergeCell ref="H72:I72"/>
    <mergeCell ref="D50:E50"/>
    <mergeCell ref="B45:C45"/>
    <mergeCell ref="D45:E45"/>
    <mergeCell ref="B46:C46"/>
    <mergeCell ref="D46:E46"/>
    <mergeCell ref="B47:C47"/>
    <mergeCell ref="D47:E47"/>
    <mergeCell ref="D49:E49"/>
    <mergeCell ref="B49:C49"/>
    <mergeCell ref="F38:G38"/>
    <mergeCell ref="F49:G49"/>
    <mergeCell ref="D42:E42"/>
    <mergeCell ref="F48:G48"/>
    <mergeCell ref="H48:I48"/>
    <mergeCell ref="F47:G47"/>
    <mergeCell ref="H47:I47"/>
    <mergeCell ref="H49:I49"/>
    <mergeCell ref="H43:I43"/>
    <mergeCell ref="F44:G44"/>
    <mergeCell ref="D43:E43"/>
    <mergeCell ref="H41:I41"/>
    <mergeCell ref="F42:G42"/>
    <mergeCell ref="H45:I45"/>
    <mergeCell ref="F46:G46"/>
    <mergeCell ref="H46:I46"/>
    <mergeCell ref="H44:I44"/>
    <mergeCell ref="F45:G45"/>
    <mergeCell ref="H42:I42"/>
    <mergeCell ref="F43:G43"/>
    <mergeCell ref="F41:G41"/>
    <mergeCell ref="U54:V54"/>
    <mergeCell ref="F50:G50"/>
    <mergeCell ref="H50:I50"/>
    <mergeCell ref="F51:G51"/>
    <mergeCell ref="H51:I51"/>
    <mergeCell ref="F52:G52"/>
    <mergeCell ref="H53:I53"/>
    <mergeCell ref="H54:I54"/>
    <mergeCell ref="H52:I52"/>
    <mergeCell ref="B5:H6"/>
    <mergeCell ref="B22:H23"/>
    <mergeCell ref="J13:Q14"/>
    <mergeCell ref="B25:C25"/>
    <mergeCell ref="B26:C26"/>
    <mergeCell ref="B28:C28"/>
    <mergeCell ref="J23:K23"/>
    <mergeCell ref="J24:M24"/>
    <mergeCell ref="J26:L26"/>
    <mergeCell ref="F13:H13"/>
    <mergeCell ref="B7:D7"/>
    <mergeCell ref="B9:D9"/>
    <mergeCell ref="B12:C12"/>
    <mergeCell ref="B15:C15"/>
    <mergeCell ref="B11:C11"/>
    <mergeCell ref="F12:H12"/>
    <mergeCell ref="J29:M29"/>
    <mergeCell ref="J28:K28"/>
    <mergeCell ref="J15:K15"/>
    <mergeCell ref="N15:P15"/>
    <mergeCell ref="F26:H26"/>
    <mergeCell ref="F25:H25"/>
    <mergeCell ref="E20:E21"/>
    <mergeCell ref="B20:D21"/>
    <mergeCell ref="J22:K22"/>
  </mergeCells>
  <phoneticPr fontId="29" type="noConversion"/>
  <conditionalFormatting sqref="G15:G16 G28:G29">
    <cfRule type="expression" dxfId="20" priority="34">
      <formula>$M$8="More Onboard"</formula>
    </cfRule>
  </conditionalFormatting>
  <conditionalFormatting sqref="H15:H16 H28:H29">
    <cfRule type="expression" dxfId="19" priority="36">
      <formula>$M$8="Less Onboard"</formula>
    </cfRule>
  </conditionalFormatting>
  <conditionalFormatting sqref="N17:N21">
    <cfRule type="expression" dxfId="18" priority="1">
      <formula>$M$8="Less Onboard"</formula>
    </cfRule>
  </conditionalFormatting>
  <conditionalFormatting sqref="O17:O21">
    <cfRule type="expression" dxfId="17" priority="2">
      <formula>$M$8="Less Onboard"</formula>
    </cfRule>
  </conditionalFormatting>
  <printOptions horizontalCentered="1" verticalCentered="1"/>
  <pageMargins left="0.7" right="0.7" top="0.75" bottom="0.75" header="0.3" footer="0.3"/>
  <pageSetup scale="46" orientation="portrait" r:id="rId1"/>
  <headerFooter>
    <oddHeader>&amp;C&amp;"Arial,Bold"&amp;28TRIMMING CALCULATION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pageSetUpPr fitToPage="1"/>
  </sheetPr>
  <dimension ref="A1:CC601"/>
  <sheetViews>
    <sheetView showGridLines="0" showRowColHeaders="0" showZeros="0" tabSelected="1" zoomScale="70" zoomScaleNormal="70" zoomScaleSheetLayoutView="100" workbookViewId="0">
      <selection activeCell="H35" sqref="H35"/>
    </sheetView>
  </sheetViews>
  <sheetFormatPr defaultColWidth="9" defaultRowHeight="14.25"/>
  <cols>
    <col min="1" max="1" width="5.625" style="30" customWidth="1"/>
    <col min="2" max="2" width="8.75" style="30" customWidth="1"/>
    <col min="3" max="5" width="13.625" style="30" customWidth="1"/>
    <col min="6" max="6" width="15.75" style="30" customWidth="1"/>
    <col min="7" max="8" width="13.625" style="30" customWidth="1"/>
    <col min="9" max="9" width="18.625" style="30" customWidth="1"/>
    <col min="10" max="10" width="8.75" style="30" customWidth="1"/>
    <col min="11" max="11" width="2.625" style="30" customWidth="1"/>
    <col min="12" max="12" width="9" style="30"/>
    <col min="13" max="13" width="15.25" style="30" customWidth="1"/>
    <col min="14" max="19" width="10.75" style="30" customWidth="1"/>
    <col min="20" max="22" width="9" style="30"/>
    <col min="23" max="23" width="11.25" style="30" customWidth="1"/>
    <col min="24" max="16384" width="9" style="30"/>
  </cols>
  <sheetData>
    <row r="1" spans="1:81" ht="20.100000000000001" customHeight="1" thickBot="1">
      <c r="A1" s="32"/>
      <c r="B1" s="32"/>
      <c r="C1" s="32"/>
      <c r="D1" s="32"/>
      <c r="E1" s="779" t="s">
        <v>267</v>
      </c>
      <c r="F1" s="779"/>
      <c r="G1" s="779"/>
      <c r="H1" s="319">
        <v>2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</row>
    <row r="2" spans="1:81" ht="20.100000000000001" customHeight="1">
      <c r="A2" s="32"/>
      <c r="B2" s="757" t="s">
        <v>171</v>
      </c>
      <c r="C2" s="758"/>
      <c r="D2" s="758"/>
      <c r="E2" s="255"/>
      <c r="F2" s="255"/>
      <c r="G2" s="255"/>
      <c r="H2" s="255"/>
      <c r="I2" s="255"/>
      <c r="J2" s="276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</row>
    <row r="3" spans="1:81" ht="22.5" customHeight="1">
      <c r="A3" s="32"/>
      <c r="B3" s="759"/>
      <c r="C3" s="760"/>
      <c r="D3" s="760"/>
      <c r="E3" s="229" t="s">
        <v>168</v>
      </c>
      <c r="F3" s="784" t="str">
        <f>initial!F3</f>
        <v>PORT WALCOTT, AUS</v>
      </c>
      <c r="G3" s="784"/>
      <c r="H3" s="243" t="s">
        <v>169</v>
      </c>
      <c r="I3" s="440">
        <v>45182</v>
      </c>
      <c r="J3" s="314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</row>
    <row r="4" spans="1:81" ht="22.5" customHeight="1">
      <c r="A4" s="32"/>
      <c r="B4" s="315"/>
      <c r="C4" s="29"/>
      <c r="D4" s="29"/>
      <c r="E4" s="229" t="s">
        <v>188</v>
      </c>
      <c r="F4" s="783" t="str">
        <f>initial!F4</f>
        <v>102A</v>
      </c>
      <c r="G4" s="783"/>
      <c r="H4" s="29"/>
      <c r="I4" s="29"/>
      <c r="J4" s="314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</row>
    <row r="5" spans="1:81" ht="22.5" customHeight="1">
      <c r="A5" s="32"/>
      <c r="B5" s="315"/>
      <c r="D5" s="29"/>
      <c r="F5" s="29"/>
      <c r="G5" s="756" t="s">
        <v>170</v>
      </c>
      <c r="H5" s="756"/>
      <c r="I5" s="387">
        <v>1.0229999999999999</v>
      </c>
      <c r="J5" s="314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</row>
    <row r="6" spans="1:81" ht="22.5" customHeight="1">
      <c r="A6" s="32"/>
      <c r="B6" s="315"/>
      <c r="C6" s="414">
        <v>18.04</v>
      </c>
      <c r="D6" s="29"/>
      <c r="E6" s="414">
        <v>18.04</v>
      </c>
      <c r="F6" s="29"/>
      <c r="G6" s="299"/>
      <c r="H6" s="244"/>
      <c r="I6" s="245"/>
      <c r="J6" s="314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</row>
    <row r="7" spans="1:81" ht="22.5" customHeight="1">
      <c r="A7" s="32"/>
      <c r="B7" s="315"/>
      <c r="C7" s="421" t="s">
        <v>155</v>
      </c>
      <c r="D7" s="29"/>
      <c r="E7" s="421"/>
      <c r="F7" s="29"/>
      <c r="G7" s="782" t="s">
        <v>30</v>
      </c>
      <c r="H7" s="782"/>
      <c r="I7" s="726">
        <v>1282.3699999999999</v>
      </c>
      <c r="J7" s="314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</row>
    <row r="8" spans="1:81" ht="22.5" customHeight="1">
      <c r="A8" s="32"/>
      <c r="B8" s="315"/>
      <c r="C8" s="422" t="str">
        <f>IF(C11&gt;E11,ABS(DEGREES(ATAN((C11-E11)/data!$E$14))),"")</f>
        <v/>
      </c>
      <c r="D8" s="29"/>
      <c r="E8" s="423" t="str">
        <f>IF(E11&gt;C11,ABS(DEGREES(ATAN((C11-E11)/data!$E$14))),"")</f>
        <v/>
      </c>
      <c r="F8" s="29"/>
      <c r="G8" s="782" t="s">
        <v>31</v>
      </c>
      <c r="H8" s="782"/>
      <c r="I8" s="726">
        <v>67.33</v>
      </c>
      <c r="J8" s="314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</row>
    <row r="9" spans="1:81" ht="22.5" customHeight="1">
      <c r="A9" s="32"/>
      <c r="B9" s="430"/>
      <c r="C9" s="427" t="str">
        <f>IF(C11&gt;E11,"List to Port","")</f>
        <v/>
      </c>
      <c r="D9" s="428"/>
      <c r="E9" s="429" t="str">
        <f>IF(E11&gt;C11,"List to Starboard","")</f>
        <v/>
      </c>
      <c r="F9" s="428"/>
      <c r="G9" s="782" t="s">
        <v>32</v>
      </c>
      <c r="H9" s="782"/>
      <c r="I9" s="706">
        <v>202</v>
      </c>
      <c r="J9" s="314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3"/>
      <c r="Y9" s="33"/>
      <c r="Z9" s="33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</row>
    <row r="10" spans="1:81" ht="22.5" customHeight="1">
      <c r="A10" s="32"/>
      <c r="B10" s="315"/>
      <c r="C10" s="421"/>
      <c r="D10" s="29"/>
      <c r="E10" s="421"/>
      <c r="F10" s="29"/>
      <c r="G10" s="782" t="s">
        <v>36</v>
      </c>
      <c r="H10" s="782"/>
      <c r="I10" s="706">
        <v>31</v>
      </c>
      <c r="J10" s="314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3"/>
      <c r="W10" s="32"/>
      <c r="X10" s="34"/>
      <c r="Y10" s="34"/>
      <c r="Z10" s="34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</row>
    <row r="11" spans="1:81" ht="22.5" customHeight="1">
      <c r="A11" s="32"/>
      <c r="B11" s="315"/>
      <c r="C11" s="414">
        <v>18.05</v>
      </c>
      <c r="D11" s="29"/>
      <c r="E11" s="414">
        <v>18.05</v>
      </c>
      <c r="F11" s="29"/>
      <c r="G11" s="782" t="s">
        <v>38</v>
      </c>
      <c r="H11" s="782"/>
      <c r="I11" s="706">
        <v>0</v>
      </c>
      <c r="J11" s="314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3"/>
      <c r="W11" s="32"/>
      <c r="X11" s="34"/>
      <c r="Y11" s="34"/>
      <c r="Z11" s="34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</row>
    <row r="12" spans="1:81" ht="22.5" customHeight="1">
      <c r="A12" s="32"/>
      <c r="B12" s="315"/>
      <c r="C12" s="421"/>
      <c r="D12" s="29"/>
      <c r="E12" s="421"/>
      <c r="F12" s="29"/>
      <c r="G12" s="782" t="s">
        <v>42</v>
      </c>
      <c r="H12" s="782"/>
      <c r="I12" s="708">
        <f>initial!I15</f>
        <v>629</v>
      </c>
      <c r="J12" s="314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</row>
    <row r="13" spans="1:81" ht="22.5" customHeight="1">
      <c r="A13" s="32"/>
      <c r="B13" s="315"/>
      <c r="C13" s="421"/>
      <c r="D13" s="29"/>
      <c r="E13" s="421"/>
      <c r="F13" s="29"/>
      <c r="G13" s="780"/>
      <c r="H13" s="780"/>
      <c r="I13" s="426"/>
      <c r="J13" s="314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</row>
    <row r="14" spans="1:81" ht="22.5" customHeight="1">
      <c r="A14" s="32"/>
      <c r="B14" s="315"/>
      <c r="C14" s="421"/>
      <c r="D14" s="29"/>
      <c r="E14" s="421"/>
      <c r="F14" s="29"/>
      <c r="G14" s="781" t="s">
        <v>196</v>
      </c>
      <c r="H14" s="781"/>
      <c r="I14" s="246">
        <f>calc!T36</f>
        <v>248432.40313098457</v>
      </c>
      <c r="J14" s="314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</row>
    <row r="15" spans="1:81" ht="22.5" customHeight="1">
      <c r="A15" s="32"/>
      <c r="B15" s="315"/>
      <c r="C15" s="421"/>
      <c r="D15" s="29"/>
      <c r="E15" s="421"/>
      <c r="F15" s="29"/>
      <c r="G15" s="781" t="str">
        <f>IF(initial!C4=1,"Total to Load","Total to Disch")</f>
        <v>Total to Load</v>
      </c>
      <c r="H15" s="781"/>
      <c r="I15" s="388">
        <v>247640</v>
      </c>
      <c r="J15" s="314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</row>
    <row r="16" spans="1:81" ht="22.5" customHeight="1">
      <c r="A16" s="32"/>
      <c r="B16" s="315"/>
      <c r="C16" s="414">
        <v>18.079999999999998</v>
      </c>
      <c r="D16" s="29"/>
      <c r="E16" s="414">
        <v>18.079999999999998</v>
      </c>
      <c r="F16" s="29"/>
      <c r="G16" s="781" t="s">
        <v>197</v>
      </c>
      <c r="H16" s="781"/>
      <c r="I16" s="247">
        <f>I14-I15</f>
        <v>792.40313098457409</v>
      </c>
      <c r="J16" s="314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</row>
    <row r="17" spans="1:81" ht="22.5" customHeight="1">
      <c r="A17" s="32"/>
      <c r="B17" s="315"/>
      <c r="C17" s="29"/>
      <c r="D17" s="29"/>
      <c r="E17" s="29"/>
      <c r="F17" s="29"/>
      <c r="G17" s="29"/>
      <c r="H17" s="29"/>
      <c r="I17" s="249"/>
      <c r="J17" s="314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</row>
    <row r="18" spans="1:81" ht="22.5" customHeight="1">
      <c r="A18" s="32"/>
      <c r="B18" s="315"/>
      <c r="C18" s="785" t="str">
        <f>CONCATENATE(ROUND(calc!U13,1),calc!V13)</f>
        <v>1.1cm HOG</v>
      </c>
      <c r="D18" s="785"/>
      <c r="E18" s="785"/>
      <c r="F18" s="29"/>
      <c r="G18" s="250"/>
      <c r="H18" s="29"/>
      <c r="I18" s="29"/>
      <c r="J18" s="314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5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</row>
    <row r="19" spans="1:81" ht="22.5" customHeight="1">
      <c r="A19" s="32"/>
      <c r="B19" s="315"/>
      <c r="C19" s="785" t="str">
        <f>CONCATENATE(ROUND(calc!R13,2),calc!S13)</f>
        <v>0.04m by the stern</v>
      </c>
      <c r="D19" s="785"/>
      <c r="E19" s="785"/>
      <c r="F19" s="29"/>
      <c r="G19" s="250"/>
      <c r="H19" s="29"/>
      <c r="I19" s="29"/>
      <c r="J19" s="314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5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</row>
    <row r="20" spans="1:81" ht="5.0999999999999996" customHeight="1">
      <c r="A20" s="32"/>
      <c r="B20" s="315"/>
      <c r="C20" s="29"/>
      <c r="D20" s="29"/>
      <c r="E20" s="29"/>
      <c r="F20" s="29"/>
      <c r="G20" s="29"/>
      <c r="H20" s="29"/>
      <c r="I20" s="29"/>
      <c r="J20" s="314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</row>
    <row r="21" spans="1:81" ht="5.0999999999999996" customHeight="1">
      <c r="A21" s="32"/>
      <c r="B21" s="315"/>
      <c r="C21" s="29"/>
      <c r="D21" s="29"/>
      <c r="E21" s="29"/>
      <c r="F21" s="29"/>
      <c r="G21" s="29"/>
      <c r="H21" s="29"/>
      <c r="I21" s="29"/>
      <c r="J21" s="314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6" t="s">
        <v>58</v>
      </c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</row>
    <row r="22" spans="1:81" ht="5.0999999999999996" customHeight="1">
      <c r="A22" s="32"/>
      <c r="B22" s="265"/>
      <c r="F22" s="29"/>
      <c r="J22" s="314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</row>
    <row r="23" spans="1:81" ht="22.5" customHeight="1">
      <c r="A23" s="32"/>
      <c r="B23" s="265"/>
      <c r="C23" s="238" t="s">
        <v>140</v>
      </c>
      <c r="D23" s="239">
        <f>calc!T16</f>
        <v>18.050078469838155</v>
      </c>
      <c r="E23" s="240" t="s">
        <v>41</v>
      </c>
      <c r="F23" s="29"/>
      <c r="G23" s="366" t="s">
        <v>131</v>
      </c>
      <c r="H23" s="789">
        <v>223343</v>
      </c>
      <c r="I23" s="789"/>
      <c r="J23" s="314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</row>
    <row r="24" spans="1:81" ht="22.5" customHeight="1">
      <c r="A24" s="32"/>
      <c r="B24" s="265"/>
      <c r="C24" s="238" t="s">
        <v>141</v>
      </c>
      <c r="D24" s="239">
        <f>calc!T17</f>
        <v>18.060761811345429</v>
      </c>
      <c r="E24" s="241" t="s">
        <v>59</v>
      </c>
      <c r="G24" s="366" t="s">
        <v>132</v>
      </c>
      <c r="H24" s="790">
        <f>I14</f>
        <v>248432.40313098457</v>
      </c>
      <c r="I24" s="790"/>
      <c r="J24" s="25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</row>
    <row r="25" spans="1:81" ht="22.5" customHeight="1">
      <c r="A25" s="32"/>
      <c r="B25" s="265"/>
      <c r="C25" s="238" t="s">
        <v>83</v>
      </c>
      <c r="D25" s="239">
        <f>calc!T18</f>
        <v>18.055420140591792</v>
      </c>
      <c r="E25" s="240" t="s">
        <v>82</v>
      </c>
      <c r="G25" s="791" t="s">
        <v>133</v>
      </c>
      <c r="H25" s="792">
        <f>ABS((H24-H23)/H24)</f>
        <v>0.10099086437511265</v>
      </c>
      <c r="I25" s="791" t="str">
        <f>IF(H23&gt;H24,"Less Onboard","More Onboard")</f>
        <v>More Onboard</v>
      </c>
      <c r="J25" s="25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</row>
    <row r="26" spans="1:81" ht="22.5" customHeight="1">
      <c r="A26" s="32"/>
      <c r="B26" s="265"/>
      <c r="C26" s="238" t="s">
        <v>142</v>
      </c>
      <c r="D26" s="239">
        <f>calc!T19</f>
        <v>18.052749305214974</v>
      </c>
      <c r="E26" s="241" t="s">
        <v>77</v>
      </c>
      <c r="G26" s="791"/>
      <c r="H26" s="792"/>
      <c r="I26" s="791"/>
      <c r="J26" s="25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</row>
    <row r="27" spans="1:81" ht="22.5" customHeight="1">
      <c r="A27" s="32"/>
      <c r="B27" s="265"/>
      <c r="C27" s="238" t="s">
        <v>148</v>
      </c>
      <c r="D27" s="242">
        <f>calc!T26</f>
        <v>283967.40313098457</v>
      </c>
      <c r="E27" s="241" t="s">
        <v>134</v>
      </c>
      <c r="G27" s="732" t="s">
        <v>197</v>
      </c>
      <c r="H27" s="733">
        <f>H24-H23</f>
        <v>25089.403130984574</v>
      </c>
      <c r="I27" s="365"/>
      <c r="J27" s="25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</row>
    <row r="28" spans="1:81" ht="22.5" customHeight="1" thickBot="1">
      <c r="A28" s="32"/>
      <c r="B28" s="265"/>
      <c r="G28" s="367"/>
      <c r="H28" s="368"/>
      <c r="I28" s="368"/>
      <c r="J28" s="25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</row>
    <row r="29" spans="1:81" s="352" customFormat="1" ht="19.899999999999999" customHeight="1" thickTop="1">
      <c r="A29" s="348"/>
      <c r="B29" s="349"/>
      <c r="C29" s="350" t="s">
        <v>262</v>
      </c>
      <c r="D29" s="774" t="s">
        <v>426</v>
      </c>
      <c r="E29" s="774"/>
      <c r="F29" s="774"/>
      <c r="G29" s="774"/>
      <c r="H29" s="774"/>
      <c r="I29" s="774"/>
      <c r="J29" s="351"/>
      <c r="K29" s="348"/>
      <c r="L29" s="348"/>
      <c r="M29" s="348"/>
      <c r="N29" s="348"/>
      <c r="O29" s="348"/>
      <c r="P29" s="348"/>
      <c r="Q29" s="348"/>
      <c r="R29" s="348"/>
      <c r="S29" s="348"/>
      <c r="T29" s="348"/>
      <c r="U29" s="348"/>
      <c r="V29" s="348"/>
      <c r="W29" s="348"/>
      <c r="X29" s="348"/>
      <c r="Y29" s="348"/>
      <c r="Z29" s="348"/>
      <c r="AA29" s="348"/>
      <c r="AB29" s="348"/>
      <c r="AC29" s="348"/>
      <c r="AD29" s="348"/>
      <c r="AE29" s="348"/>
      <c r="AF29" s="348"/>
      <c r="AG29" s="348"/>
      <c r="AH29" s="348"/>
      <c r="AI29" s="348"/>
      <c r="AJ29" s="348"/>
      <c r="AK29" s="348"/>
      <c r="AL29" s="348"/>
      <c r="AM29" s="348"/>
      <c r="AN29" s="348"/>
      <c r="AO29" s="348"/>
      <c r="AP29" s="348"/>
      <c r="AQ29" s="348"/>
      <c r="AR29" s="348"/>
      <c r="AS29" s="348"/>
      <c r="AT29" s="348"/>
      <c r="AU29" s="348"/>
      <c r="AV29" s="348"/>
      <c r="AW29" s="348"/>
      <c r="AX29" s="348"/>
      <c r="AY29" s="348"/>
      <c r="AZ29" s="348"/>
      <c r="BA29" s="348"/>
      <c r="BB29" s="348"/>
      <c r="BC29" s="348"/>
      <c r="BD29" s="348"/>
      <c r="BE29" s="348"/>
      <c r="BF29" s="348"/>
      <c r="BG29" s="348"/>
      <c r="BH29" s="348"/>
      <c r="BI29" s="348"/>
      <c r="BJ29" s="348"/>
      <c r="BK29" s="348"/>
      <c r="BL29" s="348"/>
      <c r="BM29" s="348"/>
      <c r="BN29" s="348"/>
      <c r="BO29" s="348"/>
      <c r="BP29" s="348"/>
      <c r="BQ29" s="348"/>
      <c r="BR29" s="348"/>
      <c r="BS29" s="348"/>
      <c r="BT29" s="348"/>
      <c r="BU29" s="348"/>
      <c r="BV29" s="348"/>
      <c r="BW29" s="348"/>
      <c r="BX29" s="348"/>
      <c r="BY29" s="348"/>
      <c r="BZ29" s="348"/>
      <c r="CA29" s="348"/>
      <c r="CB29" s="348"/>
      <c r="CC29" s="348"/>
    </row>
    <row r="30" spans="1:81" s="352" customFormat="1" ht="19.899999999999999" customHeight="1">
      <c r="A30" s="348"/>
      <c r="B30" s="349"/>
      <c r="C30" s="754"/>
      <c r="D30" s="772" t="s">
        <v>427</v>
      </c>
      <c r="E30" s="772"/>
      <c r="F30" s="772"/>
      <c r="G30" s="772"/>
      <c r="H30" s="772"/>
      <c r="I30" s="772"/>
      <c r="J30" s="351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  <c r="AJ30" s="348"/>
      <c r="AK30" s="348"/>
      <c r="AL30" s="348"/>
      <c r="AM30" s="348"/>
      <c r="AN30" s="348"/>
      <c r="AO30" s="348"/>
      <c r="AP30" s="348"/>
      <c r="AQ30" s="348"/>
      <c r="AR30" s="348"/>
      <c r="AS30" s="348"/>
      <c r="AT30" s="348"/>
      <c r="AU30" s="348"/>
      <c r="AV30" s="348"/>
      <c r="AW30" s="348"/>
      <c r="AX30" s="348"/>
      <c r="AY30" s="348"/>
      <c r="AZ30" s="348"/>
      <c r="BA30" s="348"/>
      <c r="BB30" s="348"/>
      <c r="BC30" s="348"/>
      <c r="BD30" s="348"/>
      <c r="BE30" s="348"/>
      <c r="BF30" s="348"/>
      <c r="BG30" s="348"/>
      <c r="BH30" s="348"/>
      <c r="BI30" s="348"/>
      <c r="BJ30" s="348"/>
      <c r="BK30" s="348"/>
      <c r="BL30" s="348"/>
      <c r="BM30" s="348"/>
      <c r="BN30" s="348"/>
      <c r="BO30" s="348"/>
      <c r="BP30" s="348"/>
      <c r="BQ30" s="348"/>
      <c r="BR30" s="348"/>
      <c r="BS30" s="348"/>
      <c r="BT30" s="348"/>
      <c r="BU30" s="348"/>
      <c r="BV30" s="348"/>
      <c r="BW30" s="348"/>
      <c r="BX30" s="348"/>
      <c r="BY30" s="348"/>
      <c r="BZ30" s="348"/>
      <c r="CA30" s="348"/>
      <c r="CB30" s="348"/>
      <c r="CC30" s="348"/>
    </row>
    <row r="31" spans="1:81" s="352" customFormat="1" ht="19.899999999999999" customHeight="1">
      <c r="A31" s="348"/>
      <c r="B31" s="349"/>
      <c r="C31" s="353" t="s">
        <v>291</v>
      </c>
      <c r="D31" s="750" t="s">
        <v>409</v>
      </c>
      <c r="E31" s="364" t="s">
        <v>293</v>
      </c>
      <c r="F31" s="750" t="s">
        <v>409</v>
      </c>
      <c r="G31" s="353" t="s">
        <v>292</v>
      </c>
      <c r="H31" s="775"/>
      <c r="I31" s="775"/>
      <c r="J31" s="351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8"/>
      <c r="AI31" s="348"/>
      <c r="AJ31" s="348"/>
      <c r="AK31" s="348"/>
      <c r="AL31" s="348"/>
      <c r="AM31" s="348"/>
      <c r="AN31" s="348"/>
      <c r="AO31" s="348"/>
      <c r="AP31" s="348"/>
      <c r="AQ31" s="348"/>
      <c r="AR31" s="348"/>
      <c r="AS31" s="348"/>
      <c r="AT31" s="348"/>
      <c r="AU31" s="348"/>
      <c r="AV31" s="348"/>
      <c r="AW31" s="348"/>
      <c r="AX31" s="348"/>
      <c r="AY31" s="348"/>
      <c r="AZ31" s="348"/>
      <c r="BA31" s="348"/>
      <c r="BB31" s="348"/>
      <c r="BC31" s="348"/>
      <c r="BD31" s="348"/>
      <c r="BE31" s="348"/>
      <c r="BF31" s="348"/>
      <c r="BG31" s="348"/>
      <c r="BH31" s="348"/>
      <c r="BI31" s="348"/>
      <c r="BJ31" s="348"/>
      <c r="BK31" s="348"/>
      <c r="BL31" s="348"/>
      <c r="BM31" s="348"/>
      <c r="BN31" s="348"/>
      <c r="BO31" s="348"/>
      <c r="BP31" s="348"/>
      <c r="BQ31" s="348"/>
      <c r="BR31" s="348"/>
      <c r="BS31" s="348"/>
      <c r="BT31" s="348"/>
      <c r="BU31" s="348"/>
      <c r="BV31" s="348"/>
      <c r="BW31" s="348"/>
      <c r="BX31" s="348"/>
      <c r="BY31" s="348"/>
      <c r="BZ31" s="348"/>
      <c r="CA31" s="348"/>
      <c r="CB31" s="348"/>
      <c r="CC31" s="348"/>
    </row>
    <row r="32" spans="1:81" s="352" customFormat="1" ht="24" customHeight="1">
      <c r="A32" s="348"/>
      <c r="B32" s="354"/>
      <c r="C32" s="688"/>
      <c r="D32" s="854"/>
      <c r="E32" s="854"/>
      <c r="F32" s="355"/>
      <c r="G32" s="383" t="str">
        <f>IF(initial!C4=1, "Commenced Loading", "Commenced Discharging")</f>
        <v>Commenced Loading</v>
      </c>
      <c r="H32" s="776">
        <f>interim!H32</f>
        <v>45181.454861111109</v>
      </c>
      <c r="I32" s="776"/>
      <c r="J32" s="356"/>
      <c r="K32" s="348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/>
      <c r="Z32" s="348"/>
      <c r="AA32" s="348"/>
      <c r="AB32" s="348"/>
      <c r="AC32" s="348"/>
      <c r="AD32" s="348"/>
      <c r="AE32" s="348"/>
      <c r="AF32" s="348"/>
      <c r="AG32" s="348"/>
      <c r="AH32" s="348"/>
      <c r="AI32" s="348"/>
      <c r="AJ32" s="348"/>
      <c r="AK32" s="348"/>
      <c r="AL32" s="348"/>
      <c r="AM32" s="348"/>
      <c r="AN32" s="348"/>
      <c r="AO32" s="348"/>
      <c r="AP32" s="348"/>
      <c r="AQ32" s="348"/>
      <c r="AR32" s="348"/>
      <c r="AS32" s="348"/>
      <c r="AT32" s="348"/>
      <c r="AU32" s="348"/>
      <c r="AV32" s="348"/>
      <c r="AW32" s="348"/>
      <c r="AX32" s="348"/>
      <c r="AY32" s="348"/>
      <c r="AZ32" s="348"/>
      <c r="BA32" s="348"/>
      <c r="BB32" s="348"/>
      <c r="BC32" s="348"/>
      <c r="BD32" s="348"/>
      <c r="BE32" s="348"/>
      <c r="BF32" s="348"/>
      <c r="BG32" s="348"/>
      <c r="BH32" s="348"/>
      <c r="BI32" s="348"/>
      <c r="BJ32" s="348"/>
      <c r="BK32" s="348"/>
      <c r="BL32" s="348"/>
      <c r="BM32" s="348"/>
      <c r="BN32" s="348"/>
      <c r="BO32" s="348"/>
      <c r="BP32" s="348"/>
      <c r="BQ32" s="348"/>
      <c r="BR32" s="348"/>
      <c r="BS32" s="348"/>
      <c r="BT32" s="348"/>
      <c r="BU32" s="348"/>
      <c r="BV32" s="348"/>
      <c r="BW32" s="348"/>
      <c r="BX32" s="348"/>
      <c r="BY32" s="348"/>
      <c r="BZ32" s="348"/>
      <c r="CA32" s="348"/>
      <c r="CB32" s="348"/>
      <c r="CC32" s="348"/>
    </row>
    <row r="33" spans="1:81" s="352" customFormat="1" ht="24" customHeight="1">
      <c r="A33" s="348"/>
      <c r="B33" s="354"/>
      <c r="C33" s="383" t="s">
        <v>265</v>
      </c>
      <c r="D33" s="776">
        <v>45182.704861111109</v>
      </c>
      <c r="E33" s="776"/>
      <c r="F33" s="357"/>
      <c r="G33" s="383" t="str">
        <f>IF(initial!C4=1, "Completed Loading", "Completed Discharging")</f>
        <v>Completed Loading</v>
      </c>
      <c r="H33" s="777">
        <v>45182.697222222225</v>
      </c>
      <c r="I33" s="777"/>
      <c r="J33" s="356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348"/>
      <c r="AB33" s="348"/>
      <c r="AC33" s="348"/>
      <c r="AD33" s="348"/>
      <c r="AE33" s="348"/>
      <c r="AF33" s="348"/>
      <c r="AG33" s="348"/>
      <c r="AH33" s="348"/>
      <c r="AI33" s="348"/>
      <c r="AJ33" s="348"/>
      <c r="AK33" s="348"/>
      <c r="AL33" s="348"/>
      <c r="AM33" s="348"/>
      <c r="AN33" s="348"/>
      <c r="AO33" s="348"/>
      <c r="AP33" s="348"/>
      <c r="AQ33" s="348"/>
      <c r="AR33" s="348"/>
      <c r="AS33" s="348"/>
      <c r="AT33" s="348"/>
      <c r="AU33" s="348"/>
      <c r="AV33" s="348"/>
      <c r="AW33" s="348"/>
      <c r="AX33" s="348"/>
      <c r="AY33" s="348"/>
      <c r="AZ33" s="348"/>
      <c r="BA33" s="348"/>
      <c r="BB33" s="348"/>
      <c r="BC33" s="348"/>
      <c r="BD33" s="348"/>
      <c r="BE33" s="348"/>
      <c r="BF33" s="348"/>
      <c r="BG33" s="348"/>
      <c r="BH33" s="348"/>
      <c r="BI33" s="348"/>
      <c r="BJ33" s="348"/>
      <c r="BK33" s="348"/>
      <c r="BL33" s="348"/>
      <c r="BM33" s="348"/>
      <c r="BN33" s="348"/>
      <c r="BO33" s="348"/>
      <c r="BP33" s="348"/>
      <c r="BQ33" s="348"/>
      <c r="BR33" s="348"/>
      <c r="BS33" s="348"/>
      <c r="BT33" s="348"/>
      <c r="BU33" s="348"/>
      <c r="BV33" s="348"/>
      <c r="BW33" s="348"/>
      <c r="BX33" s="348"/>
      <c r="BY33" s="348"/>
      <c r="BZ33" s="348"/>
      <c r="CA33" s="348"/>
      <c r="CB33" s="348"/>
      <c r="CC33" s="348"/>
    </row>
    <row r="34" spans="1:81" s="352" customFormat="1" ht="9" customHeight="1" thickBot="1">
      <c r="A34" s="348"/>
      <c r="B34" s="354"/>
      <c r="C34" s="453"/>
      <c r="D34" s="454"/>
      <c r="E34" s="454"/>
      <c r="F34" s="455"/>
      <c r="G34" s="453"/>
      <c r="H34" s="727"/>
      <c r="I34" s="727"/>
      <c r="J34" s="351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48"/>
      <c r="AB34" s="348"/>
      <c r="AC34" s="348"/>
      <c r="AD34" s="348"/>
      <c r="AE34" s="348"/>
      <c r="AF34" s="348"/>
      <c r="AG34" s="348"/>
      <c r="AH34" s="348"/>
      <c r="AI34" s="348"/>
      <c r="AJ34" s="348"/>
      <c r="AK34" s="348"/>
      <c r="AL34" s="348"/>
      <c r="AM34" s="348"/>
      <c r="AN34" s="348"/>
      <c r="AO34" s="348"/>
      <c r="AP34" s="348"/>
      <c r="AQ34" s="348"/>
      <c r="AR34" s="348"/>
      <c r="AS34" s="348"/>
      <c r="AT34" s="348"/>
      <c r="AU34" s="348"/>
      <c r="AV34" s="348"/>
      <c r="AW34" s="348"/>
      <c r="AX34" s="348"/>
      <c r="AY34" s="348"/>
      <c r="AZ34" s="348"/>
      <c r="BA34" s="348"/>
      <c r="BB34" s="348"/>
      <c r="BC34" s="348"/>
      <c r="BD34" s="348"/>
      <c r="BE34" s="348"/>
      <c r="BF34" s="348"/>
      <c r="BG34" s="348"/>
      <c r="BH34" s="348"/>
      <c r="BI34" s="348"/>
      <c r="BJ34" s="348"/>
      <c r="BK34" s="348"/>
      <c r="BL34" s="348"/>
      <c r="BM34" s="348"/>
      <c r="BN34" s="348"/>
      <c r="BO34" s="348"/>
      <c r="BP34" s="348"/>
      <c r="BQ34" s="348"/>
      <c r="BR34" s="348"/>
      <c r="BS34" s="348"/>
      <c r="BT34" s="348"/>
      <c r="BU34" s="348"/>
      <c r="BV34" s="348"/>
      <c r="BW34" s="348"/>
      <c r="BX34" s="348"/>
      <c r="BY34" s="348"/>
      <c r="BZ34" s="348"/>
      <c r="CA34" s="348"/>
      <c r="CB34" s="348"/>
      <c r="CC34" s="348"/>
    </row>
    <row r="35" spans="1:81" s="352" customFormat="1" ht="9" customHeight="1" thickTop="1" thickBot="1">
      <c r="A35" s="348"/>
      <c r="B35" s="456"/>
      <c r="C35" s="457"/>
      <c r="D35" s="458"/>
      <c r="E35" s="458"/>
      <c r="F35" s="459"/>
      <c r="G35" s="457"/>
      <c r="H35" s="458"/>
      <c r="I35" s="458"/>
      <c r="J35" s="460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8"/>
      <c r="AK35" s="348"/>
      <c r="AL35" s="348"/>
      <c r="AM35" s="348"/>
      <c r="AN35" s="348"/>
      <c r="AO35" s="348"/>
      <c r="AP35" s="348"/>
      <c r="AQ35" s="348"/>
      <c r="AR35" s="348"/>
      <c r="AS35" s="348"/>
      <c r="AT35" s="348"/>
      <c r="AU35" s="348"/>
      <c r="AV35" s="348"/>
      <c r="AW35" s="348"/>
      <c r="AX35" s="348"/>
      <c r="AY35" s="348"/>
      <c r="AZ35" s="348"/>
      <c r="BA35" s="348"/>
      <c r="BB35" s="348"/>
      <c r="BC35" s="348"/>
      <c r="BD35" s="348"/>
      <c r="BE35" s="348"/>
      <c r="BF35" s="348"/>
      <c r="BG35" s="348"/>
      <c r="BH35" s="348"/>
      <c r="BI35" s="348"/>
      <c r="BJ35" s="348"/>
      <c r="BK35" s="348"/>
      <c r="BL35" s="348"/>
      <c r="BM35" s="348"/>
      <c r="BN35" s="348"/>
      <c r="BO35" s="348"/>
      <c r="BP35" s="348"/>
      <c r="BQ35" s="348"/>
      <c r="BR35" s="348"/>
      <c r="BS35" s="348"/>
      <c r="BT35" s="348"/>
      <c r="BU35" s="348"/>
      <c r="BV35" s="348"/>
      <c r="BW35" s="348"/>
      <c r="BX35" s="348"/>
      <c r="BY35" s="348"/>
      <c r="BZ35" s="348"/>
      <c r="CA35" s="348"/>
      <c r="CB35" s="348"/>
      <c r="CC35" s="348"/>
    </row>
    <row r="36" spans="1:81" s="224" customFormat="1" ht="19.899999999999999" hidden="1" customHeight="1">
      <c r="A36" s="358"/>
      <c r="B36" s="359"/>
      <c r="C36" s="764" t="s">
        <v>294</v>
      </c>
      <c r="D36" s="764"/>
      <c r="E36" s="764"/>
      <c r="F36" s="764"/>
      <c r="G36" s="765"/>
      <c r="H36" s="765"/>
      <c r="I36" s="765"/>
      <c r="J36" s="360"/>
      <c r="K36" s="358"/>
      <c r="L36" s="358"/>
      <c r="M36" s="358"/>
      <c r="N36" s="358"/>
      <c r="O36" s="358"/>
      <c r="P36" s="358"/>
      <c r="Q36" s="358"/>
      <c r="R36" s="358"/>
      <c r="S36" s="358"/>
      <c r="T36" s="358"/>
      <c r="U36" s="358"/>
      <c r="V36" s="358"/>
      <c r="W36" s="358"/>
      <c r="X36" s="358"/>
      <c r="Y36" s="358"/>
      <c r="Z36" s="358"/>
      <c r="AA36" s="358"/>
      <c r="AB36" s="358"/>
      <c r="AC36" s="358"/>
      <c r="AD36" s="358"/>
      <c r="AE36" s="358"/>
      <c r="AF36" s="358"/>
      <c r="AG36" s="358"/>
      <c r="AH36" s="358"/>
      <c r="AI36" s="358"/>
      <c r="AJ36" s="358"/>
      <c r="AK36" s="358"/>
      <c r="AL36" s="358"/>
      <c r="AM36" s="358"/>
      <c r="AN36" s="358"/>
      <c r="AO36" s="358"/>
      <c r="AP36" s="358"/>
      <c r="AQ36" s="358"/>
      <c r="AR36" s="358"/>
      <c r="AS36" s="358"/>
      <c r="AT36" s="358"/>
      <c r="AU36" s="358"/>
      <c r="AV36" s="358"/>
      <c r="AW36" s="358"/>
      <c r="AX36" s="358"/>
      <c r="AY36" s="358"/>
      <c r="AZ36" s="358"/>
      <c r="BA36" s="358"/>
      <c r="BB36" s="358"/>
      <c r="BC36" s="358"/>
      <c r="BD36" s="358"/>
      <c r="BE36" s="358"/>
      <c r="BF36" s="358"/>
      <c r="BG36" s="358"/>
      <c r="BH36" s="358"/>
      <c r="BI36" s="358"/>
      <c r="BJ36" s="358"/>
      <c r="BK36" s="358"/>
      <c r="BL36" s="358"/>
      <c r="BM36" s="358"/>
      <c r="BN36" s="358"/>
      <c r="BO36" s="358"/>
      <c r="BP36" s="358"/>
      <c r="BQ36" s="358"/>
      <c r="BR36" s="358"/>
      <c r="BS36" s="358"/>
      <c r="BT36" s="358"/>
      <c r="BU36" s="358"/>
      <c r="BV36" s="358"/>
      <c r="BW36" s="358"/>
      <c r="BX36" s="358"/>
      <c r="BY36" s="358"/>
      <c r="BZ36" s="358"/>
      <c r="CA36" s="358"/>
      <c r="CB36" s="358"/>
      <c r="CC36" s="358"/>
    </row>
    <row r="37" spans="1:81" s="224" customFormat="1" ht="19.899999999999999" hidden="1" customHeight="1">
      <c r="A37" s="358"/>
      <c r="B37" s="359"/>
      <c r="C37" s="369" t="s">
        <v>250</v>
      </c>
      <c r="D37" s="763">
        <v>4</v>
      </c>
      <c r="E37" s="763"/>
      <c r="F37" s="381"/>
      <c r="G37" s="370" t="s">
        <v>279</v>
      </c>
      <c r="H37" s="769">
        <v>35</v>
      </c>
      <c r="I37" s="769"/>
      <c r="J37" s="360"/>
      <c r="K37" s="358"/>
      <c r="L37" s="358"/>
      <c r="M37" s="358"/>
      <c r="N37" s="358"/>
      <c r="O37" s="358"/>
      <c r="P37" s="358"/>
      <c r="Q37" s="358"/>
      <c r="R37" s="358"/>
      <c r="S37" s="358"/>
      <c r="T37" s="358"/>
      <c r="U37" s="358"/>
      <c r="V37" s="358"/>
      <c r="W37" s="358"/>
      <c r="X37" s="358"/>
      <c r="Y37" s="358"/>
      <c r="Z37" s="358"/>
      <c r="AA37" s="358"/>
      <c r="AB37" s="358"/>
      <c r="AC37" s="358"/>
      <c r="AD37" s="358"/>
      <c r="AE37" s="358"/>
      <c r="AF37" s="358"/>
      <c r="AG37" s="358"/>
      <c r="AH37" s="358"/>
      <c r="AI37" s="358"/>
      <c r="AJ37" s="358"/>
      <c r="AK37" s="358"/>
      <c r="AL37" s="358"/>
      <c r="AM37" s="358"/>
      <c r="AN37" s="358"/>
      <c r="AO37" s="358"/>
      <c r="AP37" s="358"/>
      <c r="AQ37" s="358"/>
      <c r="AR37" s="358"/>
      <c r="AS37" s="358"/>
      <c r="AT37" s="358"/>
      <c r="AU37" s="358"/>
      <c r="AV37" s="358"/>
      <c r="AW37" s="358"/>
      <c r="AX37" s="358"/>
      <c r="AY37" s="358"/>
      <c r="AZ37" s="358"/>
      <c r="BA37" s="358"/>
      <c r="BB37" s="358"/>
      <c r="BC37" s="358"/>
      <c r="BD37" s="358"/>
      <c r="BE37" s="358"/>
      <c r="BF37" s="358"/>
      <c r="BG37" s="358"/>
      <c r="BH37" s="358"/>
      <c r="BI37" s="358"/>
      <c r="BJ37" s="358"/>
      <c r="BK37" s="358"/>
      <c r="BL37" s="358"/>
      <c r="BM37" s="358"/>
      <c r="BN37" s="358"/>
      <c r="BO37" s="358"/>
      <c r="BP37" s="358"/>
      <c r="BQ37" s="358"/>
      <c r="BR37" s="358"/>
      <c r="BS37" s="358"/>
      <c r="BT37" s="358"/>
      <c r="BU37" s="358"/>
      <c r="BV37" s="358"/>
      <c r="BW37" s="358"/>
      <c r="BX37" s="358"/>
      <c r="BY37" s="358"/>
      <c r="BZ37" s="358"/>
      <c r="CA37" s="358"/>
      <c r="CB37" s="358"/>
      <c r="CC37" s="358"/>
    </row>
    <row r="38" spans="1:81" s="224" customFormat="1" ht="19.899999999999999" hidden="1" customHeight="1">
      <c r="A38" s="358"/>
      <c r="B38" s="359"/>
      <c r="C38" s="369" t="s">
        <v>268</v>
      </c>
      <c r="D38" s="763">
        <v>4</v>
      </c>
      <c r="E38" s="763"/>
      <c r="F38" s="381"/>
      <c r="G38" s="370" t="s">
        <v>280</v>
      </c>
      <c r="H38" s="769">
        <v>55</v>
      </c>
      <c r="I38" s="769"/>
      <c r="J38" s="360"/>
      <c r="K38" s="358"/>
      <c r="L38" s="358"/>
      <c r="M38" s="358"/>
      <c r="N38" s="358"/>
      <c r="O38" s="358"/>
      <c r="P38" s="358"/>
      <c r="Q38" s="358"/>
      <c r="R38" s="358"/>
      <c r="S38" s="358"/>
      <c r="T38" s="358"/>
      <c r="U38" s="358"/>
      <c r="V38" s="358"/>
      <c r="W38" s="358"/>
      <c r="X38" s="358"/>
      <c r="Y38" s="358"/>
      <c r="Z38" s="358"/>
      <c r="AA38" s="358"/>
      <c r="AB38" s="358"/>
      <c r="AC38" s="358"/>
      <c r="AD38" s="358"/>
      <c r="AE38" s="358"/>
      <c r="AF38" s="358"/>
      <c r="AG38" s="358"/>
      <c r="AH38" s="358"/>
      <c r="AI38" s="358"/>
      <c r="AJ38" s="358"/>
      <c r="AK38" s="358"/>
      <c r="AL38" s="358"/>
      <c r="AM38" s="358"/>
      <c r="AN38" s="358"/>
      <c r="AO38" s="358"/>
      <c r="AP38" s="358"/>
      <c r="AQ38" s="358"/>
      <c r="AR38" s="358"/>
      <c r="AS38" s="358"/>
      <c r="AT38" s="358"/>
      <c r="AU38" s="358"/>
      <c r="AV38" s="358"/>
      <c r="AW38" s="358"/>
      <c r="AX38" s="358"/>
      <c r="AY38" s="358"/>
      <c r="AZ38" s="358"/>
      <c r="BA38" s="358"/>
      <c r="BB38" s="358"/>
      <c r="BC38" s="358"/>
      <c r="BD38" s="358"/>
      <c r="BE38" s="358"/>
      <c r="BF38" s="358"/>
      <c r="BG38" s="358"/>
      <c r="BH38" s="358"/>
      <c r="BI38" s="358"/>
      <c r="BJ38" s="358"/>
      <c r="BK38" s="358"/>
      <c r="BL38" s="358"/>
      <c r="BM38" s="358"/>
      <c r="BN38" s="358"/>
      <c r="BO38" s="358"/>
      <c r="BP38" s="358"/>
      <c r="BQ38" s="358"/>
      <c r="BR38" s="358"/>
      <c r="BS38" s="358"/>
      <c r="BT38" s="358"/>
      <c r="BU38" s="358"/>
      <c r="BV38" s="358"/>
      <c r="BW38" s="358"/>
      <c r="BX38" s="358"/>
      <c r="BY38" s="358"/>
      <c r="BZ38" s="358"/>
      <c r="CA38" s="358"/>
      <c r="CB38" s="358"/>
      <c r="CC38" s="358"/>
    </row>
    <row r="39" spans="1:81" s="224" customFormat="1" ht="19.899999999999999" hidden="1" customHeight="1">
      <c r="A39" s="358"/>
      <c r="B39" s="359"/>
      <c r="C39" s="369" t="s">
        <v>269</v>
      </c>
      <c r="D39" s="763">
        <v>6</v>
      </c>
      <c r="E39" s="763"/>
      <c r="F39" s="381"/>
      <c r="G39" s="370" t="s">
        <v>281</v>
      </c>
      <c r="H39" s="769">
        <v>55</v>
      </c>
      <c r="I39" s="769"/>
      <c r="J39" s="360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  <c r="AA39" s="358"/>
      <c r="AB39" s="358"/>
      <c r="AC39" s="358"/>
      <c r="AD39" s="358"/>
      <c r="AE39" s="358"/>
      <c r="AF39" s="358"/>
      <c r="AG39" s="358"/>
      <c r="AH39" s="358"/>
      <c r="AI39" s="358"/>
      <c r="AJ39" s="358"/>
      <c r="AK39" s="358"/>
      <c r="AL39" s="358"/>
      <c r="AM39" s="358"/>
      <c r="AN39" s="358"/>
      <c r="AO39" s="358"/>
      <c r="AP39" s="358"/>
      <c r="AQ39" s="358"/>
      <c r="AR39" s="358"/>
      <c r="AS39" s="358"/>
      <c r="AT39" s="358"/>
      <c r="AU39" s="358"/>
      <c r="AV39" s="358"/>
      <c r="AW39" s="358"/>
      <c r="AX39" s="358"/>
      <c r="AY39" s="358"/>
      <c r="AZ39" s="358"/>
      <c r="BA39" s="358"/>
      <c r="BB39" s="358"/>
      <c r="BC39" s="358"/>
      <c r="BD39" s="358"/>
      <c r="BE39" s="358"/>
      <c r="BF39" s="358"/>
      <c r="BG39" s="358"/>
      <c r="BH39" s="358"/>
      <c r="BI39" s="358"/>
      <c r="BJ39" s="358"/>
      <c r="BK39" s="358"/>
      <c r="BL39" s="358"/>
      <c r="BM39" s="358"/>
      <c r="BN39" s="358"/>
      <c r="BO39" s="358"/>
      <c r="BP39" s="358"/>
      <c r="BQ39" s="358"/>
      <c r="BR39" s="358"/>
      <c r="BS39" s="358"/>
      <c r="BT39" s="358"/>
      <c r="BU39" s="358"/>
      <c r="BV39" s="358"/>
      <c r="BW39" s="358"/>
      <c r="BX39" s="358"/>
      <c r="BY39" s="358"/>
      <c r="BZ39" s="358"/>
      <c r="CA39" s="358"/>
      <c r="CB39" s="358"/>
      <c r="CC39" s="358"/>
    </row>
    <row r="40" spans="1:81" s="224" customFormat="1" ht="19.899999999999999" hidden="1" customHeight="1">
      <c r="A40" s="358"/>
      <c r="B40" s="359"/>
      <c r="C40" s="369" t="s">
        <v>270</v>
      </c>
      <c r="D40" s="763">
        <v>6</v>
      </c>
      <c r="E40" s="763"/>
      <c r="F40" s="381"/>
      <c r="G40" s="370" t="s">
        <v>298</v>
      </c>
      <c r="H40" s="771">
        <f>SUM(H37:I39)</f>
        <v>145</v>
      </c>
      <c r="I40" s="771"/>
      <c r="J40" s="360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  <c r="AA40" s="358"/>
      <c r="AB40" s="358"/>
      <c r="AC40" s="358"/>
      <c r="AD40" s="358"/>
      <c r="AE40" s="358"/>
      <c r="AF40" s="358"/>
      <c r="AG40" s="358"/>
      <c r="AH40" s="358"/>
      <c r="AI40" s="358"/>
      <c r="AJ40" s="358"/>
      <c r="AK40" s="358"/>
      <c r="AL40" s="358"/>
      <c r="AM40" s="358"/>
      <c r="AN40" s="358"/>
      <c r="AO40" s="358"/>
      <c r="AP40" s="358"/>
      <c r="AQ40" s="358"/>
      <c r="AR40" s="358"/>
      <c r="AS40" s="358"/>
      <c r="AT40" s="358"/>
      <c r="AU40" s="358"/>
      <c r="AV40" s="358"/>
      <c r="AW40" s="358"/>
      <c r="AX40" s="358"/>
      <c r="AY40" s="358"/>
      <c r="AZ40" s="358"/>
      <c r="BA40" s="358"/>
      <c r="BB40" s="358"/>
      <c r="BC40" s="358"/>
      <c r="BD40" s="358"/>
      <c r="BE40" s="358"/>
      <c r="BF40" s="358"/>
      <c r="BG40" s="358"/>
      <c r="BH40" s="358"/>
      <c r="BI40" s="358"/>
      <c r="BJ40" s="358"/>
      <c r="BK40" s="358"/>
      <c r="BL40" s="358"/>
      <c r="BM40" s="358"/>
      <c r="BN40" s="358"/>
      <c r="BO40" s="358"/>
      <c r="BP40" s="358"/>
      <c r="BQ40" s="358"/>
      <c r="BR40" s="358"/>
      <c r="BS40" s="358"/>
      <c r="BT40" s="358"/>
      <c r="BU40" s="358"/>
      <c r="BV40" s="358"/>
      <c r="BW40" s="358"/>
      <c r="BX40" s="358"/>
      <c r="BY40" s="358"/>
      <c r="BZ40" s="358"/>
      <c r="CA40" s="358"/>
      <c r="CB40" s="358"/>
      <c r="CC40" s="358"/>
    </row>
    <row r="41" spans="1:81" s="224" customFormat="1" ht="19.899999999999999" hidden="1" customHeight="1">
      <c r="A41" s="358"/>
      <c r="B41" s="359"/>
      <c r="C41" s="369" t="s">
        <v>271</v>
      </c>
      <c r="D41" s="763">
        <v>4</v>
      </c>
      <c r="E41" s="763"/>
      <c r="F41" s="381"/>
      <c r="G41" s="371" t="s">
        <v>282</v>
      </c>
      <c r="H41" s="768">
        <v>325</v>
      </c>
      <c r="I41" s="768"/>
      <c r="J41" s="360"/>
      <c r="K41" s="358"/>
      <c r="L41" s="358"/>
      <c r="M41" s="358"/>
      <c r="N41" s="358"/>
      <c r="O41" s="358"/>
      <c r="P41" s="358"/>
      <c r="Q41" s="358"/>
      <c r="R41" s="358"/>
      <c r="S41" s="358"/>
      <c r="T41" s="358"/>
      <c r="U41" s="358"/>
      <c r="V41" s="358"/>
      <c r="W41" s="358"/>
      <c r="X41" s="358"/>
      <c r="Y41" s="358"/>
      <c r="Z41" s="358"/>
      <c r="AA41" s="358"/>
      <c r="AB41" s="358"/>
      <c r="AC41" s="358"/>
      <c r="AD41" s="358"/>
      <c r="AE41" s="358"/>
      <c r="AF41" s="358"/>
      <c r="AG41" s="358"/>
      <c r="AH41" s="358"/>
      <c r="AI41" s="358"/>
      <c r="AJ41" s="358"/>
      <c r="AK41" s="358"/>
      <c r="AL41" s="358"/>
      <c r="AM41" s="358"/>
      <c r="AN41" s="358"/>
      <c r="AO41" s="358"/>
      <c r="AP41" s="358"/>
      <c r="AQ41" s="358"/>
      <c r="AR41" s="358"/>
      <c r="AS41" s="358"/>
      <c r="AT41" s="358"/>
      <c r="AU41" s="358"/>
      <c r="AV41" s="358"/>
      <c r="AW41" s="358"/>
      <c r="AX41" s="358"/>
      <c r="AY41" s="358"/>
      <c r="AZ41" s="358"/>
      <c r="BA41" s="358"/>
      <c r="BB41" s="358"/>
      <c r="BC41" s="358"/>
      <c r="BD41" s="358"/>
      <c r="BE41" s="358"/>
      <c r="BF41" s="358"/>
      <c r="BG41" s="358"/>
      <c r="BH41" s="358"/>
      <c r="BI41" s="358"/>
      <c r="BJ41" s="358"/>
      <c r="BK41" s="358"/>
      <c r="BL41" s="358"/>
      <c r="BM41" s="358"/>
      <c r="BN41" s="358"/>
      <c r="BO41" s="358"/>
      <c r="BP41" s="358"/>
      <c r="BQ41" s="358"/>
      <c r="BR41" s="358"/>
      <c r="BS41" s="358"/>
      <c r="BT41" s="358"/>
      <c r="BU41" s="358"/>
      <c r="BV41" s="358"/>
      <c r="BW41" s="358"/>
      <c r="BX41" s="358"/>
      <c r="BY41" s="358"/>
      <c r="BZ41" s="358"/>
      <c r="CA41" s="358"/>
      <c r="CB41" s="358"/>
      <c r="CC41" s="358"/>
    </row>
    <row r="42" spans="1:81" s="224" customFormat="1" ht="19.899999999999999" hidden="1" customHeight="1">
      <c r="A42" s="358"/>
      <c r="B42" s="359"/>
      <c r="C42" s="369" t="s">
        <v>272</v>
      </c>
      <c r="D42" s="763">
        <v>5</v>
      </c>
      <c r="E42" s="763"/>
      <c r="F42" s="381"/>
      <c r="G42" s="371" t="s">
        <v>283</v>
      </c>
      <c r="H42" s="768">
        <v>414</v>
      </c>
      <c r="I42" s="768"/>
      <c r="J42" s="360"/>
      <c r="K42" s="358"/>
      <c r="L42" s="358"/>
      <c r="M42" s="358"/>
      <c r="N42" s="358"/>
      <c r="O42" s="358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358"/>
      <c r="AA42" s="358"/>
      <c r="AB42" s="358"/>
      <c r="AC42" s="358"/>
      <c r="AD42" s="358"/>
      <c r="AE42" s="358"/>
      <c r="AF42" s="358"/>
      <c r="AG42" s="358"/>
      <c r="AH42" s="358"/>
      <c r="AI42" s="358"/>
      <c r="AJ42" s="358"/>
      <c r="AK42" s="358"/>
      <c r="AL42" s="358"/>
      <c r="AM42" s="358"/>
      <c r="AN42" s="358"/>
      <c r="AO42" s="358"/>
      <c r="AP42" s="358"/>
      <c r="AQ42" s="358"/>
      <c r="AR42" s="358"/>
      <c r="AS42" s="358"/>
      <c r="AT42" s="358"/>
      <c r="AU42" s="358"/>
      <c r="AV42" s="358"/>
      <c r="AW42" s="358"/>
      <c r="AX42" s="358"/>
      <c r="AY42" s="358"/>
      <c r="AZ42" s="358"/>
      <c r="BA42" s="358"/>
      <c r="BB42" s="358"/>
      <c r="BC42" s="358"/>
      <c r="BD42" s="358"/>
      <c r="BE42" s="358"/>
      <c r="BF42" s="358"/>
      <c r="BG42" s="358"/>
      <c r="BH42" s="358"/>
      <c r="BI42" s="358"/>
      <c r="BJ42" s="358"/>
      <c r="BK42" s="358"/>
      <c r="BL42" s="358"/>
      <c r="BM42" s="358"/>
      <c r="BN42" s="358"/>
      <c r="BO42" s="358"/>
      <c r="BP42" s="358"/>
      <c r="BQ42" s="358"/>
      <c r="BR42" s="358"/>
      <c r="BS42" s="358"/>
      <c r="BT42" s="358"/>
      <c r="BU42" s="358"/>
      <c r="BV42" s="358"/>
      <c r="BW42" s="358"/>
      <c r="BX42" s="358"/>
      <c r="BY42" s="358"/>
      <c r="BZ42" s="358"/>
      <c r="CA42" s="358"/>
      <c r="CB42" s="358"/>
      <c r="CC42" s="358"/>
    </row>
    <row r="43" spans="1:81" s="224" customFormat="1" ht="19.899999999999999" hidden="1" customHeight="1">
      <c r="A43" s="358"/>
      <c r="B43" s="359"/>
      <c r="C43" s="369" t="s">
        <v>273</v>
      </c>
      <c r="D43" s="763">
        <v>4</v>
      </c>
      <c r="E43" s="763"/>
      <c r="F43" s="381"/>
      <c r="G43" s="371" t="s">
        <v>284</v>
      </c>
      <c r="H43" s="768">
        <v>0</v>
      </c>
      <c r="I43" s="768"/>
      <c r="J43" s="360"/>
      <c r="K43" s="358"/>
      <c r="L43" s="358"/>
      <c r="M43" s="358"/>
      <c r="N43" s="358"/>
      <c r="O43" s="358"/>
      <c r="P43" s="358"/>
      <c r="Q43" s="358"/>
      <c r="R43" s="358"/>
      <c r="S43" s="358"/>
      <c r="T43" s="358"/>
      <c r="U43" s="358"/>
      <c r="V43" s="358"/>
      <c r="W43" s="358"/>
      <c r="X43" s="358"/>
      <c r="Y43" s="358"/>
      <c r="Z43" s="358"/>
      <c r="AA43" s="358"/>
      <c r="AB43" s="358"/>
      <c r="AC43" s="358"/>
      <c r="AD43" s="358"/>
      <c r="AE43" s="358"/>
      <c r="AF43" s="358"/>
      <c r="AG43" s="358"/>
      <c r="AH43" s="358"/>
      <c r="AI43" s="358"/>
      <c r="AJ43" s="358"/>
      <c r="AK43" s="358"/>
      <c r="AL43" s="358"/>
      <c r="AM43" s="358"/>
      <c r="AN43" s="358"/>
      <c r="AO43" s="358"/>
      <c r="AP43" s="358"/>
      <c r="AQ43" s="358"/>
      <c r="AR43" s="358"/>
      <c r="AS43" s="358"/>
      <c r="AT43" s="358"/>
      <c r="AU43" s="358"/>
      <c r="AV43" s="358"/>
      <c r="AW43" s="358"/>
      <c r="AX43" s="358"/>
      <c r="AY43" s="358"/>
      <c r="AZ43" s="358"/>
      <c r="BA43" s="358"/>
      <c r="BB43" s="358"/>
      <c r="BC43" s="358"/>
      <c r="BD43" s="358"/>
      <c r="BE43" s="358"/>
      <c r="BF43" s="358"/>
      <c r="BG43" s="358"/>
      <c r="BH43" s="358"/>
      <c r="BI43" s="358"/>
      <c r="BJ43" s="358"/>
      <c r="BK43" s="358"/>
      <c r="BL43" s="358"/>
      <c r="BM43" s="358"/>
      <c r="BN43" s="358"/>
      <c r="BO43" s="358"/>
      <c r="BP43" s="358"/>
      <c r="BQ43" s="358"/>
      <c r="BR43" s="358"/>
      <c r="BS43" s="358"/>
      <c r="BT43" s="358"/>
      <c r="BU43" s="358"/>
      <c r="BV43" s="358"/>
      <c r="BW43" s="358"/>
      <c r="BX43" s="358"/>
      <c r="BY43" s="358"/>
      <c r="BZ43" s="358"/>
      <c r="CA43" s="358"/>
      <c r="CB43" s="358"/>
      <c r="CC43" s="358"/>
    </row>
    <row r="44" spans="1:81" s="224" customFormat="1" ht="19.899999999999999" hidden="1" customHeight="1">
      <c r="A44" s="358"/>
      <c r="B44" s="359"/>
      <c r="C44" s="369" t="s">
        <v>274</v>
      </c>
      <c r="D44" s="763">
        <v>6</v>
      </c>
      <c r="E44" s="763"/>
      <c r="F44" s="381"/>
      <c r="G44" s="371" t="s">
        <v>285</v>
      </c>
      <c r="H44" s="768">
        <v>0</v>
      </c>
      <c r="I44" s="768"/>
      <c r="J44" s="360"/>
      <c r="K44" s="358"/>
      <c r="L44" s="358"/>
      <c r="M44" s="358"/>
      <c r="N44" s="358"/>
      <c r="O44" s="358"/>
      <c r="P44" s="358"/>
      <c r="Q44" s="358"/>
      <c r="R44" s="358"/>
      <c r="S44" s="358"/>
      <c r="T44" s="358"/>
      <c r="U44" s="358"/>
      <c r="V44" s="358"/>
      <c r="W44" s="358"/>
      <c r="X44" s="358"/>
      <c r="Y44" s="358"/>
      <c r="Z44" s="358"/>
      <c r="AA44" s="358"/>
      <c r="AB44" s="358"/>
      <c r="AC44" s="358"/>
      <c r="AD44" s="358"/>
      <c r="AE44" s="358"/>
      <c r="AF44" s="358"/>
      <c r="AG44" s="358"/>
      <c r="AH44" s="358"/>
      <c r="AI44" s="358"/>
      <c r="AJ44" s="358"/>
      <c r="AK44" s="358"/>
      <c r="AL44" s="358"/>
      <c r="AM44" s="358"/>
      <c r="AN44" s="358"/>
      <c r="AO44" s="358"/>
      <c r="AP44" s="358"/>
      <c r="AQ44" s="358"/>
      <c r="AR44" s="358"/>
      <c r="AS44" s="358"/>
      <c r="AT44" s="358"/>
      <c r="AU44" s="358"/>
      <c r="AV44" s="358"/>
      <c r="AW44" s="358"/>
      <c r="AX44" s="358"/>
      <c r="AY44" s="358"/>
      <c r="AZ44" s="358"/>
      <c r="BA44" s="358"/>
      <c r="BB44" s="358"/>
      <c r="BC44" s="358"/>
      <c r="BD44" s="358"/>
      <c r="BE44" s="358"/>
      <c r="BF44" s="358"/>
      <c r="BG44" s="358"/>
      <c r="BH44" s="358"/>
      <c r="BI44" s="358"/>
      <c r="BJ44" s="358"/>
      <c r="BK44" s="358"/>
      <c r="BL44" s="358"/>
      <c r="BM44" s="358"/>
      <c r="BN44" s="358"/>
      <c r="BO44" s="358"/>
      <c r="BP44" s="358"/>
      <c r="BQ44" s="358"/>
      <c r="BR44" s="358"/>
      <c r="BS44" s="358"/>
      <c r="BT44" s="358"/>
      <c r="BU44" s="358"/>
      <c r="BV44" s="358"/>
      <c r="BW44" s="358"/>
      <c r="BX44" s="358"/>
      <c r="BY44" s="358"/>
      <c r="BZ44" s="358"/>
      <c r="CA44" s="358"/>
      <c r="CB44" s="358"/>
      <c r="CC44" s="358"/>
    </row>
    <row r="45" spans="1:81" s="224" customFormat="1" ht="19.899999999999999" hidden="1" customHeight="1">
      <c r="A45" s="358"/>
      <c r="B45" s="359"/>
      <c r="C45" s="369" t="s">
        <v>275</v>
      </c>
      <c r="D45" s="763">
        <v>5</v>
      </c>
      <c r="E45" s="763"/>
      <c r="F45" s="381"/>
      <c r="G45" s="371" t="s">
        <v>286</v>
      </c>
      <c r="H45" s="768">
        <v>28</v>
      </c>
      <c r="I45" s="768"/>
      <c r="J45" s="360"/>
      <c r="K45" s="358"/>
      <c r="L45" s="358"/>
      <c r="M45" s="358"/>
      <c r="N45" s="358"/>
      <c r="O45" s="358"/>
      <c r="P45" s="358"/>
      <c r="Q45" s="358"/>
      <c r="R45" s="358"/>
      <c r="S45" s="361"/>
      <c r="T45" s="361"/>
      <c r="U45" s="358"/>
      <c r="V45" s="358"/>
      <c r="W45" s="358"/>
      <c r="X45" s="358"/>
      <c r="Y45" s="358"/>
      <c r="Z45" s="358"/>
      <c r="AA45" s="358"/>
      <c r="AB45" s="358"/>
      <c r="AC45" s="358"/>
      <c r="AD45" s="358"/>
      <c r="AE45" s="358"/>
      <c r="AF45" s="358"/>
      <c r="AG45" s="358"/>
      <c r="AH45" s="358"/>
      <c r="AI45" s="358"/>
      <c r="AJ45" s="358"/>
      <c r="AK45" s="358"/>
      <c r="AL45" s="358"/>
      <c r="AM45" s="358"/>
      <c r="AN45" s="358"/>
      <c r="AO45" s="358"/>
      <c r="AP45" s="358"/>
      <c r="AQ45" s="358"/>
      <c r="AR45" s="358"/>
      <c r="AS45" s="358"/>
      <c r="AT45" s="358"/>
      <c r="AU45" s="358"/>
      <c r="AV45" s="358"/>
      <c r="AW45" s="358"/>
      <c r="AX45" s="358"/>
      <c r="AY45" s="358"/>
      <c r="AZ45" s="358"/>
      <c r="BA45" s="358"/>
      <c r="BB45" s="358"/>
      <c r="BC45" s="358"/>
      <c r="BD45" s="358"/>
      <c r="BE45" s="358"/>
      <c r="BF45" s="358"/>
      <c r="BG45" s="358"/>
      <c r="BH45" s="358"/>
      <c r="BI45" s="358"/>
      <c r="BJ45" s="358"/>
      <c r="BK45" s="358"/>
      <c r="BL45" s="358"/>
      <c r="BM45" s="358"/>
      <c r="BN45" s="358"/>
      <c r="BO45" s="358"/>
      <c r="BP45" s="358"/>
      <c r="BQ45" s="358"/>
      <c r="BR45" s="358"/>
      <c r="BS45" s="358"/>
      <c r="BT45" s="358"/>
      <c r="BU45" s="358"/>
      <c r="BV45" s="358"/>
      <c r="BW45" s="358"/>
      <c r="BX45" s="358"/>
      <c r="BY45" s="358"/>
      <c r="BZ45" s="358"/>
      <c r="CA45" s="358"/>
      <c r="CB45" s="358"/>
      <c r="CC45" s="358"/>
    </row>
    <row r="46" spans="1:81" s="224" customFormat="1" ht="19.899999999999999" hidden="1" customHeight="1">
      <c r="A46" s="358"/>
      <c r="B46" s="359"/>
      <c r="C46" s="369" t="s">
        <v>276</v>
      </c>
      <c r="D46" s="763">
        <v>4</v>
      </c>
      <c r="E46" s="763"/>
      <c r="F46" s="381"/>
      <c r="G46" s="371" t="s">
        <v>297</v>
      </c>
      <c r="H46" s="770">
        <f>SUM(H41:I45)</f>
        <v>767</v>
      </c>
      <c r="I46" s="770"/>
      <c r="J46" s="360"/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  <c r="AA46" s="358"/>
      <c r="AB46" s="358"/>
      <c r="AC46" s="358"/>
      <c r="AD46" s="358"/>
      <c r="AE46" s="358"/>
      <c r="AF46" s="358"/>
      <c r="AG46" s="358"/>
      <c r="AH46" s="358"/>
      <c r="AI46" s="358"/>
      <c r="AJ46" s="358"/>
      <c r="AK46" s="358"/>
      <c r="AL46" s="358"/>
      <c r="AM46" s="358"/>
      <c r="AN46" s="358"/>
      <c r="AO46" s="358"/>
      <c r="AP46" s="358"/>
      <c r="AQ46" s="358"/>
      <c r="AR46" s="358"/>
      <c r="AS46" s="358"/>
      <c r="AT46" s="358"/>
      <c r="AU46" s="358"/>
      <c r="AV46" s="358"/>
      <c r="AW46" s="358"/>
      <c r="AX46" s="358"/>
      <c r="AY46" s="358"/>
      <c r="AZ46" s="358"/>
      <c r="BA46" s="358"/>
      <c r="BB46" s="358"/>
      <c r="BC46" s="358"/>
      <c r="BD46" s="358"/>
      <c r="BE46" s="358"/>
      <c r="BF46" s="358"/>
      <c r="BG46" s="358"/>
      <c r="BH46" s="358"/>
      <c r="BI46" s="358"/>
      <c r="BJ46" s="358"/>
      <c r="BK46" s="358"/>
      <c r="BL46" s="358"/>
      <c r="BM46" s="358"/>
      <c r="BN46" s="358"/>
      <c r="BO46" s="358"/>
      <c r="BP46" s="358"/>
      <c r="BQ46" s="358"/>
      <c r="BR46" s="358"/>
      <c r="BS46" s="358"/>
      <c r="BT46" s="358"/>
      <c r="BU46" s="358"/>
      <c r="BV46" s="358"/>
      <c r="BW46" s="358"/>
      <c r="BX46" s="358"/>
      <c r="BY46" s="358"/>
      <c r="BZ46" s="358"/>
      <c r="CA46" s="358"/>
      <c r="CB46" s="358"/>
      <c r="CC46" s="358"/>
    </row>
    <row r="47" spans="1:81" s="224" customFormat="1" ht="19.899999999999999" hidden="1" customHeight="1">
      <c r="A47" s="358"/>
      <c r="B47" s="359"/>
      <c r="C47" s="369" t="s">
        <v>277</v>
      </c>
      <c r="D47" s="763">
        <v>5</v>
      </c>
      <c r="E47" s="763"/>
      <c r="F47" s="381"/>
      <c r="G47" s="372" t="s">
        <v>287</v>
      </c>
      <c r="H47" s="768">
        <v>31</v>
      </c>
      <c r="I47" s="768"/>
      <c r="J47" s="360"/>
      <c r="K47" s="358"/>
      <c r="L47" s="358"/>
      <c r="M47" s="358"/>
      <c r="N47" s="358"/>
      <c r="O47" s="358"/>
      <c r="P47" s="358"/>
      <c r="Q47" s="358"/>
      <c r="R47" s="358"/>
      <c r="S47" s="358"/>
      <c r="T47" s="358"/>
      <c r="U47" s="358"/>
      <c r="V47" s="358"/>
      <c r="W47" s="358"/>
      <c r="X47" s="358"/>
      <c r="Y47" s="358"/>
      <c r="Z47" s="358"/>
      <c r="AA47" s="358"/>
      <c r="AB47" s="358"/>
      <c r="AC47" s="358"/>
      <c r="AD47" s="358"/>
      <c r="AE47" s="358"/>
      <c r="AF47" s="358"/>
      <c r="AG47" s="358"/>
      <c r="AH47" s="358"/>
      <c r="AI47" s="358"/>
      <c r="AJ47" s="358"/>
      <c r="AK47" s="358"/>
      <c r="AL47" s="358"/>
      <c r="AM47" s="358"/>
      <c r="AN47" s="358"/>
      <c r="AO47" s="358"/>
      <c r="AP47" s="358"/>
      <c r="AQ47" s="358"/>
      <c r="AR47" s="358"/>
      <c r="AS47" s="358"/>
      <c r="AT47" s="358"/>
      <c r="AU47" s="358"/>
      <c r="AV47" s="358"/>
      <c r="AW47" s="358"/>
      <c r="AX47" s="358"/>
      <c r="AY47" s="358"/>
      <c r="AZ47" s="358"/>
      <c r="BA47" s="358"/>
      <c r="BB47" s="358"/>
      <c r="BC47" s="358"/>
      <c r="BD47" s="358"/>
      <c r="BE47" s="358"/>
      <c r="BF47" s="358"/>
      <c r="BG47" s="358"/>
      <c r="BH47" s="358"/>
      <c r="BI47" s="358"/>
      <c r="BJ47" s="358"/>
      <c r="BK47" s="358"/>
      <c r="BL47" s="358"/>
      <c r="BM47" s="358"/>
      <c r="BN47" s="358"/>
      <c r="BO47" s="358"/>
      <c r="BP47" s="358"/>
      <c r="BQ47" s="358"/>
      <c r="BR47" s="358"/>
      <c r="BS47" s="358"/>
      <c r="BT47" s="358"/>
      <c r="BU47" s="358"/>
      <c r="BV47" s="358"/>
      <c r="BW47" s="358"/>
      <c r="BX47" s="358"/>
      <c r="BY47" s="358"/>
      <c r="BZ47" s="358"/>
      <c r="CA47" s="358"/>
      <c r="CB47" s="358"/>
      <c r="CC47" s="358"/>
    </row>
    <row r="48" spans="1:81" s="224" customFormat="1" ht="19.899999999999999" hidden="1" customHeight="1">
      <c r="A48" s="358"/>
      <c r="B48" s="359"/>
      <c r="C48" s="369" t="s">
        <v>228</v>
      </c>
      <c r="D48" s="763">
        <v>1</v>
      </c>
      <c r="E48" s="763"/>
      <c r="F48" s="381"/>
      <c r="G48" s="372" t="s">
        <v>288</v>
      </c>
      <c r="H48" s="768">
        <v>31</v>
      </c>
      <c r="I48" s="768"/>
      <c r="J48" s="360"/>
      <c r="K48" s="358"/>
      <c r="L48" s="358"/>
      <c r="M48" s="358"/>
      <c r="N48" s="358"/>
      <c r="O48" s="358"/>
      <c r="P48" s="358"/>
      <c r="Q48" s="358"/>
      <c r="R48" s="358"/>
      <c r="S48" s="358"/>
      <c r="T48" s="358"/>
      <c r="U48" s="358"/>
      <c r="V48" s="358"/>
      <c r="W48" s="358"/>
      <c r="X48" s="358"/>
      <c r="Y48" s="358"/>
      <c r="Z48" s="358"/>
      <c r="AA48" s="358"/>
      <c r="AB48" s="358"/>
      <c r="AC48" s="358"/>
      <c r="AD48" s="358"/>
      <c r="AE48" s="358"/>
      <c r="AF48" s="358"/>
      <c r="AG48" s="358"/>
      <c r="AH48" s="358"/>
      <c r="AI48" s="358"/>
      <c r="AJ48" s="358"/>
      <c r="AK48" s="358"/>
      <c r="AL48" s="358"/>
      <c r="AM48" s="358"/>
      <c r="AN48" s="358"/>
      <c r="AO48" s="358"/>
      <c r="AP48" s="358"/>
      <c r="AQ48" s="358"/>
      <c r="AR48" s="358"/>
      <c r="AS48" s="358"/>
      <c r="AT48" s="358"/>
      <c r="AU48" s="358"/>
      <c r="AV48" s="358"/>
      <c r="AW48" s="358"/>
      <c r="AX48" s="358"/>
      <c r="AY48" s="358"/>
      <c r="AZ48" s="358"/>
      <c r="BA48" s="358"/>
      <c r="BB48" s="358"/>
      <c r="BC48" s="358"/>
      <c r="BD48" s="358"/>
      <c r="BE48" s="358"/>
      <c r="BF48" s="358"/>
      <c r="BG48" s="358"/>
      <c r="BH48" s="358"/>
      <c r="BI48" s="358"/>
      <c r="BJ48" s="358"/>
      <c r="BK48" s="358"/>
      <c r="BL48" s="358"/>
      <c r="BM48" s="358"/>
      <c r="BN48" s="358"/>
      <c r="BO48" s="358"/>
      <c r="BP48" s="358"/>
      <c r="BQ48" s="358"/>
      <c r="BR48" s="358"/>
      <c r="BS48" s="358"/>
      <c r="BT48" s="358"/>
      <c r="BU48" s="358"/>
      <c r="BV48" s="358"/>
      <c r="BW48" s="358"/>
      <c r="BX48" s="358"/>
      <c r="BY48" s="358"/>
      <c r="BZ48" s="358"/>
      <c r="CA48" s="358"/>
      <c r="CB48" s="358"/>
      <c r="CC48" s="358"/>
    </row>
    <row r="49" spans="1:81" s="224" customFormat="1" ht="19.899999999999999" hidden="1" customHeight="1">
      <c r="A49" s="358"/>
      <c r="B49" s="359"/>
      <c r="C49" s="369" t="s">
        <v>278</v>
      </c>
      <c r="D49" s="763"/>
      <c r="E49" s="763"/>
      <c r="F49" s="381"/>
      <c r="G49" s="372" t="s">
        <v>289</v>
      </c>
      <c r="H49" s="768">
        <v>9</v>
      </c>
      <c r="I49" s="768"/>
      <c r="J49" s="360"/>
      <c r="K49" s="358"/>
      <c r="L49" s="358"/>
      <c r="M49" s="358"/>
      <c r="N49" s="358"/>
      <c r="O49" s="358"/>
      <c r="P49" s="358"/>
      <c r="Q49" s="358"/>
      <c r="R49" s="358"/>
      <c r="S49" s="358"/>
      <c r="T49" s="358"/>
      <c r="U49" s="358"/>
      <c r="V49" s="358"/>
      <c r="W49" s="358"/>
      <c r="X49" s="358"/>
      <c r="Y49" s="358"/>
      <c r="Z49" s="358"/>
      <c r="AA49" s="358"/>
      <c r="AB49" s="358"/>
      <c r="AC49" s="358"/>
      <c r="AD49" s="358"/>
      <c r="AE49" s="358"/>
      <c r="AF49" s="358"/>
      <c r="AG49" s="358"/>
      <c r="AH49" s="358"/>
      <c r="AI49" s="358"/>
      <c r="AJ49" s="358"/>
      <c r="AK49" s="358"/>
      <c r="AL49" s="358"/>
      <c r="AM49" s="358"/>
      <c r="AN49" s="358"/>
      <c r="AO49" s="358"/>
      <c r="AP49" s="358"/>
      <c r="AQ49" s="358"/>
      <c r="AR49" s="358"/>
      <c r="AS49" s="358"/>
      <c r="AT49" s="358"/>
      <c r="AU49" s="358"/>
      <c r="AV49" s="358"/>
      <c r="AW49" s="358"/>
      <c r="AX49" s="358"/>
      <c r="AY49" s="358"/>
      <c r="AZ49" s="358"/>
      <c r="BA49" s="358"/>
      <c r="BB49" s="358"/>
      <c r="BC49" s="358"/>
      <c r="BD49" s="358"/>
      <c r="BE49" s="358"/>
      <c r="BF49" s="358"/>
      <c r="BG49" s="358"/>
      <c r="BH49" s="358"/>
      <c r="BI49" s="358"/>
      <c r="BJ49" s="358"/>
      <c r="BK49" s="358"/>
      <c r="BL49" s="358"/>
      <c r="BM49" s="358"/>
      <c r="BN49" s="358"/>
      <c r="BO49" s="358"/>
      <c r="BP49" s="358"/>
      <c r="BQ49" s="358"/>
      <c r="BR49" s="358"/>
      <c r="BS49" s="358"/>
      <c r="BT49" s="358"/>
      <c r="BU49" s="358"/>
      <c r="BV49" s="358"/>
      <c r="BW49" s="358"/>
      <c r="BX49" s="358"/>
      <c r="BY49" s="358"/>
      <c r="BZ49" s="358"/>
      <c r="CA49" s="358"/>
      <c r="CB49" s="358"/>
      <c r="CC49" s="358"/>
    </row>
    <row r="50" spans="1:81" s="224" customFormat="1" ht="19.899999999999999" hidden="1" customHeight="1">
      <c r="A50" s="358"/>
      <c r="B50" s="359"/>
      <c r="C50" s="369" t="s">
        <v>302</v>
      </c>
      <c r="D50" s="778">
        <f>SUM(D37:E49)</f>
        <v>54</v>
      </c>
      <c r="E50" s="778"/>
      <c r="F50" s="381"/>
      <c r="G50" s="372" t="s">
        <v>296</v>
      </c>
      <c r="H50" s="770">
        <f>SUM(H47:I49)</f>
        <v>71</v>
      </c>
      <c r="I50" s="770"/>
      <c r="J50" s="360"/>
      <c r="K50" s="358"/>
      <c r="L50" s="358"/>
      <c r="M50" s="358"/>
      <c r="N50" s="358"/>
      <c r="O50" s="358"/>
      <c r="P50" s="358"/>
      <c r="Q50" s="358"/>
      <c r="R50" s="358"/>
      <c r="S50" s="358"/>
      <c r="T50" s="358"/>
      <c r="U50" s="358"/>
      <c r="V50" s="358"/>
      <c r="W50" s="358"/>
      <c r="X50" s="358"/>
      <c r="Y50" s="358"/>
      <c r="Z50" s="358"/>
      <c r="AA50" s="358"/>
      <c r="AB50" s="358"/>
      <c r="AC50" s="358"/>
      <c r="AD50" s="358"/>
      <c r="AE50" s="358"/>
      <c r="AF50" s="358"/>
      <c r="AG50" s="358"/>
      <c r="AH50" s="358"/>
      <c r="AI50" s="358"/>
      <c r="AJ50" s="358"/>
      <c r="AK50" s="358"/>
      <c r="AL50" s="358"/>
      <c r="AM50" s="358"/>
      <c r="AN50" s="358"/>
      <c r="AO50" s="358"/>
      <c r="AP50" s="358"/>
      <c r="AQ50" s="358"/>
      <c r="AR50" s="358"/>
      <c r="AS50" s="358"/>
      <c r="AT50" s="358"/>
      <c r="AU50" s="358"/>
      <c r="AV50" s="358"/>
      <c r="AW50" s="358"/>
      <c r="AX50" s="358"/>
      <c r="AY50" s="358"/>
      <c r="AZ50" s="358"/>
      <c r="BA50" s="358"/>
      <c r="BB50" s="358"/>
      <c r="BC50" s="358"/>
      <c r="BD50" s="358"/>
      <c r="BE50" s="358"/>
      <c r="BF50" s="358"/>
      <c r="BG50" s="358"/>
      <c r="BH50" s="358"/>
      <c r="BI50" s="358"/>
      <c r="BJ50" s="358"/>
      <c r="BK50" s="358"/>
      <c r="BL50" s="358"/>
      <c r="BM50" s="358"/>
      <c r="BN50" s="358"/>
      <c r="BO50" s="358"/>
      <c r="BP50" s="358"/>
      <c r="BQ50" s="358"/>
      <c r="BR50" s="358"/>
      <c r="BS50" s="358"/>
      <c r="BT50" s="358"/>
      <c r="BU50" s="358"/>
      <c r="BV50" s="358"/>
      <c r="BW50" s="358"/>
      <c r="BX50" s="358"/>
      <c r="BY50" s="358"/>
      <c r="BZ50" s="358"/>
      <c r="CA50" s="358"/>
      <c r="CB50" s="358"/>
      <c r="CC50" s="358"/>
    </row>
    <row r="51" spans="1:81" s="224" customFormat="1" ht="19.899999999999999" hidden="1" customHeight="1">
      <c r="A51" s="358"/>
      <c r="B51" s="359"/>
      <c r="C51" s="369" t="s">
        <v>295</v>
      </c>
      <c r="D51" s="771">
        <f>D50*1.025</f>
        <v>55.349999999999994</v>
      </c>
      <c r="E51" s="771"/>
      <c r="F51" s="381"/>
      <c r="G51" s="373" t="s">
        <v>290</v>
      </c>
      <c r="H51" s="768">
        <v>39</v>
      </c>
      <c r="I51" s="768"/>
      <c r="J51" s="360"/>
      <c r="K51" s="358"/>
      <c r="L51" s="358"/>
      <c r="M51" s="358"/>
      <c r="N51" s="358"/>
      <c r="O51" s="358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358"/>
      <c r="AA51" s="358"/>
      <c r="AB51" s="358"/>
      <c r="AC51" s="358"/>
      <c r="AD51" s="358"/>
      <c r="AE51" s="358"/>
      <c r="AF51" s="358"/>
      <c r="AG51" s="358"/>
      <c r="AH51" s="358"/>
      <c r="AI51" s="358"/>
      <c r="AJ51" s="358"/>
      <c r="AK51" s="358"/>
      <c r="AL51" s="358"/>
      <c r="AM51" s="358"/>
      <c r="AN51" s="358"/>
      <c r="AO51" s="358"/>
      <c r="AP51" s="358"/>
      <c r="AQ51" s="358"/>
      <c r="AR51" s="358"/>
      <c r="AS51" s="358"/>
      <c r="AT51" s="358"/>
      <c r="AU51" s="358"/>
      <c r="AV51" s="358"/>
      <c r="AW51" s="358"/>
      <c r="AX51" s="358"/>
      <c r="AY51" s="358"/>
      <c r="AZ51" s="358"/>
      <c r="BA51" s="358"/>
      <c r="BB51" s="358"/>
      <c r="BC51" s="358"/>
      <c r="BD51" s="358"/>
      <c r="BE51" s="358"/>
      <c r="BF51" s="358"/>
      <c r="BG51" s="358"/>
      <c r="BH51" s="358"/>
      <c r="BI51" s="358"/>
      <c r="BJ51" s="358"/>
      <c r="BK51" s="358"/>
      <c r="BL51" s="358"/>
      <c r="BM51" s="358"/>
      <c r="BN51" s="358"/>
      <c r="BO51" s="358"/>
      <c r="BP51" s="358"/>
      <c r="BQ51" s="358"/>
      <c r="BR51" s="358"/>
      <c r="BS51" s="358"/>
      <c r="BT51" s="358"/>
      <c r="BU51" s="358"/>
      <c r="BV51" s="358"/>
      <c r="BW51" s="358"/>
      <c r="BX51" s="358"/>
      <c r="BY51" s="358"/>
      <c r="BZ51" s="358"/>
      <c r="CA51" s="358"/>
      <c r="CB51" s="358"/>
      <c r="CC51" s="358"/>
    </row>
    <row r="52" spans="1:81" s="224" customFormat="1" ht="24" hidden="1" customHeight="1">
      <c r="A52" s="358"/>
      <c r="B52" s="359"/>
      <c r="C52" s="374"/>
      <c r="D52" s="374"/>
      <c r="E52" s="374"/>
      <c r="F52" s="374"/>
      <c r="G52" s="374"/>
      <c r="H52" s="374"/>
      <c r="I52" s="374"/>
      <c r="J52" s="360"/>
      <c r="K52" s="358"/>
      <c r="L52" s="358"/>
      <c r="M52" s="358"/>
      <c r="N52" s="358"/>
      <c r="O52" s="358"/>
      <c r="P52" s="358"/>
      <c r="Q52" s="358"/>
      <c r="R52" s="358"/>
      <c r="S52" s="361"/>
      <c r="T52" s="362"/>
      <c r="U52" s="358"/>
      <c r="V52" s="358"/>
      <c r="W52" s="358"/>
      <c r="X52" s="358"/>
      <c r="Y52" s="358"/>
      <c r="Z52" s="358"/>
      <c r="AA52" s="358"/>
      <c r="AB52" s="358"/>
      <c r="AC52" s="358"/>
      <c r="AD52" s="358"/>
      <c r="AE52" s="358"/>
      <c r="AF52" s="358"/>
      <c r="AG52" s="358"/>
      <c r="AH52" s="358"/>
      <c r="AI52" s="358"/>
      <c r="AJ52" s="358"/>
      <c r="AK52" s="358"/>
      <c r="AL52" s="358"/>
      <c r="AM52" s="358"/>
      <c r="AN52" s="358"/>
      <c r="AO52" s="358"/>
      <c r="AP52" s="358"/>
      <c r="AQ52" s="358"/>
      <c r="AR52" s="358"/>
      <c r="AS52" s="358"/>
      <c r="AT52" s="358"/>
      <c r="AU52" s="358"/>
      <c r="AV52" s="358"/>
      <c r="AW52" s="358"/>
      <c r="AX52" s="358"/>
      <c r="AY52" s="358"/>
      <c r="AZ52" s="358"/>
      <c r="BA52" s="358"/>
      <c r="BB52" s="358"/>
      <c r="BC52" s="358"/>
      <c r="BD52" s="358"/>
      <c r="BE52" s="358"/>
      <c r="BF52" s="358"/>
      <c r="BG52" s="358"/>
      <c r="BH52" s="358"/>
      <c r="BI52" s="358"/>
      <c r="BJ52" s="358"/>
      <c r="BK52" s="358"/>
      <c r="BL52" s="358"/>
      <c r="BM52" s="358"/>
      <c r="BN52" s="358"/>
      <c r="BO52" s="358"/>
      <c r="BP52" s="358"/>
      <c r="BQ52" s="358"/>
      <c r="BR52" s="358"/>
      <c r="BS52" s="358"/>
      <c r="BT52" s="358"/>
      <c r="BU52" s="358"/>
      <c r="BV52" s="358"/>
      <c r="BW52" s="358"/>
      <c r="BX52" s="358"/>
      <c r="BY52" s="358"/>
      <c r="BZ52" s="358"/>
      <c r="CA52" s="358"/>
      <c r="CB52" s="358"/>
      <c r="CC52" s="358"/>
    </row>
    <row r="53" spans="1:81" s="224" customFormat="1" ht="19.899999999999999" hidden="1" customHeight="1">
      <c r="A53" s="358"/>
      <c r="B53" s="377"/>
      <c r="C53" s="375"/>
      <c r="D53" s="375"/>
      <c r="E53" s="375"/>
      <c r="F53" s="375"/>
      <c r="G53" s="375"/>
      <c r="H53" s="773" t="s">
        <v>229</v>
      </c>
      <c r="I53" s="773"/>
      <c r="J53" s="378"/>
      <c r="K53" s="358"/>
      <c r="L53" s="358"/>
      <c r="M53" s="358"/>
      <c r="N53" s="358"/>
      <c r="O53" s="358"/>
      <c r="P53" s="358"/>
      <c r="Q53" s="358"/>
      <c r="R53" s="358"/>
      <c r="S53" s="361"/>
      <c r="T53" s="363"/>
      <c r="U53" s="358"/>
      <c r="V53" s="358"/>
      <c r="W53" s="358"/>
      <c r="X53" s="358"/>
      <c r="Y53" s="358"/>
      <c r="Z53" s="358"/>
      <c r="AA53" s="358"/>
      <c r="AB53" s="358"/>
      <c r="AC53" s="358"/>
      <c r="AD53" s="358"/>
      <c r="AE53" s="358"/>
      <c r="AF53" s="358"/>
      <c r="AG53" s="358"/>
      <c r="AH53" s="358"/>
      <c r="AI53" s="358"/>
      <c r="AJ53" s="358"/>
      <c r="AK53" s="358"/>
      <c r="AL53" s="358"/>
      <c r="AM53" s="358"/>
      <c r="AN53" s="358"/>
      <c r="AO53" s="358"/>
      <c r="AP53" s="358"/>
      <c r="AQ53" s="358"/>
      <c r="AR53" s="358"/>
      <c r="AS53" s="358"/>
      <c r="AT53" s="358"/>
      <c r="AU53" s="358"/>
      <c r="AV53" s="358"/>
      <c r="AW53" s="358"/>
      <c r="AX53" s="358"/>
      <c r="AY53" s="358"/>
      <c r="AZ53" s="358"/>
      <c r="BA53" s="358"/>
      <c r="BB53" s="358"/>
      <c r="BC53" s="358"/>
      <c r="BD53" s="358"/>
      <c r="BE53" s="358"/>
      <c r="BF53" s="358"/>
      <c r="BG53" s="358"/>
      <c r="BH53" s="358"/>
      <c r="BI53" s="358"/>
      <c r="BJ53" s="358"/>
      <c r="BK53" s="358"/>
      <c r="BL53" s="358"/>
      <c r="BM53" s="358"/>
      <c r="BN53" s="358"/>
      <c r="BO53" s="358"/>
      <c r="BP53" s="358"/>
      <c r="BQ53" s="358"/>
      <c r="BR53" s="358"/>
      <c r="BS53" s="358"/>
      <c r="BT53" s="358"/>
      <c r="BU53" s="358"/>
      <c r="BV53" s="358"/>
      <c r="BW53" s="358"/>
      <c r="BX53" s="358"/>
      <c r="BY53" s="358"/>
      <c r="BZ53" s="358"/>
      <c r="CA53" s="358"/>
      <c r="CB53" s="358"/>
      <c r="CC53" s="358"/>
    </row>
    <row r="54" spans="1:81" s="224" customFormat="1" ht="10.15" hidden="1" customHeight="1" thickBot="1">
      <c r="A54" s="358"/>
      <c r="B54" s="379"/>
      <c r="C54" s="376"/>
      <c r="D54" s="376"/>
      <c r="E54" s="376"/>
      <c r="F54" s="376"/>
      <c r="G54" s="376"/>
      <c r="H54" s="376"/>
      <c r="I54" s="376"/>
      <c r="J54" s="380"/>
      <c r="K54" s="358"/>
      <c r="L54" s="358"/>
      <c r="M54" s="358"/>
      <c r="N54" s="358"/>
      <c r="O54" s="358"/>
      <c r="P54" s="358"/>
      <c r="Q54" s="358"/>
      <c r="R54" s="358"/>
      <c r="S54" s="361"/>
      <c r="T54" s="361"/>
      <c r="U54" s="358"/>
      <c r="V54" s="358"/>
      <c r="W54" s="358"/>
      <c r="X54" s="358"/>
      <c r="Y54" s="358"/>
      <c r="Z54" s="358"/>
      <c r="AA54" s="358"/>
      <c r="AB54" s="358"/>
      <c r="AC54" s="358"/>
      <c r="AD54" s="358"/>
      <c r="AE54" s="358"/>
      <c r="AF54" s="358"/>
      <c r="AG54" s="358"/>
      <c r="AH54" s="358"/>
      <c r="AI54" s="358"/>
      <c r="AJ54" s="358"/>
      <c r="AK54" s="358"/>
      <c r="AL54" s="358"/>
      <c r="AM54" s="358"/>
      <c r="AN54" s="358"/>
      <c r="AO54" s="358"/>
      <c r="AP54" s="358"/>
      <c r="AQ54" s="358"/>
      <c r="AR54" s="358"/>
      <c r="AS54" s="358"/>
      <c r="AT54" s="358"/>
      <c r="AU54" s="358"/>
      <c r="AV54" s="358"/>
      <c r="AW54" s="358"/>
      <c r="AX54" s="358"/>
      <c r="AY54" s="358"/>
      <c r="AZ54" s="358"/>
      <c r="BA54" s="358"/>
      <c r="BB54" s="358"/>
      <c r="BC54" s="358"/>
      <c r="BD54" s="358"/>
      <c r="BE54" s="358"/>
      <c r="BF54" s="358"/>
      <c r="BG54" s="358"/>
      <c r="BH54" s="358"/>
      <c r="BI54" s="358"/>
      <c r="BJ54" s="358"/>
      <c r="BK54" s="358"/>
      <c r="BL54" s="358"/>
      <c r="BM54" s="358"/>
      <c r="BN54" s="358"/>
      <c r="BO54" s="358"/>
      <c r="BP54" s="358"/>
      <c r="BQ54" s="358"/>
      <c r="BR54" s="358"/>
      <c r="BS54" s="358"/>
      <c r="BT54" s="358"/>
      <c r="BU54" s="358"/>
      <c r="BV54" s="358"/>
      <c r="BW54" s="358"/>
      <c r="BX54" s="358"/>
      <c r="BY54" s="358"/>
      <c r="BZ54" s="358"/>
      <c r="CA54" s="358"/>
      <c r="CB54" s="358"/>
      <c r="CC54" s="358"/>
    </row>
    <row r="55" spans="1:81" hidden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</row>
    <row r="56" spans="1:8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</row>
    <row r="57" spans="1:8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</row>
    <row r="58" spans="1:8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</row>
    <row r="59" spans="1:8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</row>
    <row r="60" spans="1:8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</row>
    <row r="61" spans="1:8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</row>
    <row r="62" spans="1:8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</row>
    <row r="63" spans="1:8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</row>
    <row r="64" spans="1:8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</row>
    <row r="65" spans="1:8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</row>
    <row r="66" spans="1:8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</row>
    <row r="67" spans="1:8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</row>
    <row r="68" spans="1:8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</row>
    <row r="69" spans="1:8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</row>
    <row r="70" spans="1:8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</row>
    <row r="71" spans="1:8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</row>
    <row r="72" spans="1:8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</row>
    <row r="73" spans="1:8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</row>
    <row r="74" spans="1:8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</row>
    <row r="75" spans="1:8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</row>
    <row r="76" spans="1:8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</row>
    <row r="77" spans="1:8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</row>
    <row r="78" spans="1:8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</row>
    <row r="79" spans="1:8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</row>
    <row r="80" spans="1:8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</row>
    <row r="81" spans="1: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</row>
    <row r="82" spans="1:8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</row>
    <row r="83" spans="1:8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</row>
    <row r="84" spans="1:8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</row>
    <row r="85" spans="1:8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</row>
    <row r="86" spans="1:8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</row>
    <row r="87" spans="1:8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</row>
    <row r="88" spans="1:8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</row>
    <row r="89" spans="1:8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</row>
    <row r="90" spans="1:8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</row>
    <row r="91" spans="1:8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</row>
    <row r="92" spans="1:8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</row>
    <row r="93" spans="1:8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</row>
    <row r="94" spans="1:8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</row>
    <row r="95" spans="1:8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</row>
    <row r="96" spans="1:8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</row>
    <row r="97" spans="1:8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</row>
    <row r="98" spans="1:8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</row>
    <row r="99" spans="1:8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</row>
    <row r="100" spans="1:8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</row>
    <row r="101" spans="1:8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</row>
    <row r="102" spans="1:8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</row>
    <row r="103" spans="1:8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</row>
    <row r="104" spans="1:8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</row>
    <row r="105" spans="1:8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</row>
    <row r="106" spans="1:8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</row>
    <row r="107" spans="1:8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</row>
    <row r="108" spans="1:8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</row>
    <row r="109" spans="1:8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</row>
    <row r="110" spans="1:8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</row>
    <row r="111" spans="1:8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</row>
    <row r="112" spans="1:8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</row>
    <row r="113" spans="1:8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</row>
    <row r="114" spans="1:8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</row>
    <row r="115" spans="1:8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</row>
    <row r="116" spans="1:8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</row>
    <row r="117" spans="1:8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</row>
    <row r="118" spans="1:8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</row>
    <row r="119" spans="1:8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</row>
    <row r="120" spans="1:8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</row>
    <row r="121" spans="1:8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</row>
    <row r="122" spans="1:8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</row>
    <row r="123" spans="1:8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</row>
    <row r="124" spans="1:8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</row>
    <row r="125" spans="1:8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</row>
    <row r="126" spans="1:8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</row>
    <row r="127" spans="1:8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</row>
    <row r="128" spans="1:8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</row>
    <row r="129" spans="1:8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</row>
    <row r="130" spans="1:8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</row>
    <row r="131" spans="1:8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</row>
    <row r="132" spans="1:8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</row>
    <row r="133" spans="1:8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</row>
    <row r="134" spans="1:8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</row>
    <row r="135" spans="1:8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</row>
    <row r="136" spans="1:8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</row>
    <row r="137" spans="1:8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</row>
    <row r="138" spans="1:8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</row>
    <row r="139" spans="1:8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</row>
    <row r="140" spans="1:8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</row>
    <row r="141" spans="1:8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</row>
    <row r="142" spans="1:8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</row>
    <row r="143" spans="1:8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</row>
    <row r="144" spans="1:8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</row>
    <row r="145" spans="1:8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</row>
    <row r="146" spans="1:8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</row>
    <row r="147" spans="1:8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</row>
    <row r="148" spans="1:8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</row>
    <row r="149" spans="1:8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</row>
    <row r="150" spans="1:8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</row>
    <row r="151" spans="1:8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</row>
    <row r="152" spans="1:8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</row>
    <row r="153" spans="1:8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</row>
    <row r="154" spans="1:8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</row>
    <row r="155" spans="1:8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</row>
    <row r="156" spans="1:8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</row>
    <row r="157" spans="1:8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</row>
    <row r="158" spans="1:8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</row>
    <row r="159" spans="1:8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</row>
    <row r="160" spans="1:8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</row>
    <row r="161" spans="1:8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</row>
    <row r="162" spans="1:8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</row>
    <row r="163" spans="1:8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</row>
    <row r="164" spans="1:8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</row>
    <row r="165" spans="1:8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</row>
    <row r="166" spans="1:8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</row>
    <row r="167" spans="1:8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</row>
    <row r="168" spans="1:8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</row>
    <row r="169" spans="1:8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</row>
    <row r="170" spans="1:8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</row>
    <row r="171" spans="1:8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</row>
    <row r="172" spans="1:8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</row>
    <row r="173" spans="1:8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</row>
    <row r="174" spans="1:8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</row>
    <row r="175" spans="1:8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</row>
    <row r="176" spans="1:8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</row>
    <row r="177" spans="1:8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</row>
    <row r="178" spans="1:8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</row>
    <row r="179" spans="1:8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</row>
    <row r="180" spans="1:8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</row>
    <row r="181" spans="1: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</row>
    <row r="182" spans="1:8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</row>
    <row r="183" spans="1:8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</row>
    <row r="184" spans="1:8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</row>
    <row r="185" spans="1:8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</row>
    <row r="186" spans="1:8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</row>
    <row r="187" spans="1:8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</row>
    <row r="188" spans="1:8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</row>
    <row r="189" spans="1:8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</row>
    <row r="190" spans="1:8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</row>
    <row r="191" spans="1:8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</row>
    <row r="192" spans="1:8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</row>
    <row r="193" spans="1:8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</row>
    <row r="194" spans="1:8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</row>
    <row r="195" spans="1:8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</row>
    <row r="196" spans="1:8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</row>
    <row r="197" spans="1:8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</row>
    <row r="198" spans="1:8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</row>
    <row r="199" spans="1:8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</row>
    <row r="200" spans="1:8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</row>
    <row r="201" spans="1:8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</row>
    <row r="202" spans="1:8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</row>
    <row r="203" spans="1:8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</row>
    <row r="204" spans="1:8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</row>
    <row r="205" spans="1:8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</row>
    <row r="206" spans="1:8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</row>
    <row r="207" spans="1:8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</row>
    <row r="208" spans="1:8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</row>
    <row r="209" spans="1:8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</row>
    <row r="210" spans="1:8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</row>
    <row r="211" spans="1:8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</row>
    <row r="212" spans="1:8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</row>
    <row r="213" spans="1:8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</row>
    <row r="214" spans="1:8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</row>
    <row r="215" spans="1:8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</row>
    <row r="216" spans="1:8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</row>
    <row r="217" spans="1:8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</row>
    <row r="218" spans="1:8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</row>
    <row r="219" spans="1:8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</row>
    <row r="220" spans="1:8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</row>
    <row r="221" spans="1:8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</row>
    <row r="222" spans="1:8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</row>
    <row r="223" spans="1:8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</row>
    <row r="224" spans="1:8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</row>
    <row r="225" spans="1:8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</row>
    <row r="226" spans="1:8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</row>
    <row r="227" spans="1:8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</row>
    <row r="228" spans="1:8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</row>
    <row r="229" spans="1:8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</row>
    <row r="230" spans="1:8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</row>
    <row r="231" spans="1:8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</row>
    <row r="232" spans="1:8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</row>
    <row r="233" spans="1:8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</row>
    <row r="234" spans="1:8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</row>
    <row r="235" spans="1:8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</row>
    <row r="236" spans="1:8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</row>
    <row r="237" spans="1:8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</row>
    <row r="238" spans="1:8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</row>
    <row r="239" spans="1:8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</row>
    <row r="240" spans="1:8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</row>
    <row r="241" spans="1:8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</row>
    <row r="242" spans="1:8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</row>
    <row r="243" spans="1:8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</row>
    <row r="244" spans="1:8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</row>
    <row r="245" spans="1:8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</row>
    <row r="246" spans="1:8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</row>
    <row r="247" spans="1:8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</row>
    <row r="248" spans="1:8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</row>
    <row r="249" spans="1:8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</row>
    <row r="250" spans="1:8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</row>
    <row r="251" spans="1:8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</row>
    <row r="252" spans="1:8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</row>
    <row r="253" spans="1:8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</row>
    <row r="254" spans="1:8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  <c r="CA254" s="32"/>
      <c r="CB254" s="32"/>
      <c r="CC254" s="32"/>
    </row>
    <row r="255" spans="1:8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  <c r="BW255" s="32"/>
      <c r="BX255" s="32"/>
      <c r="BY255" s="32"/>
      <c r="BZ255" s="32"/>
      <c r="CA255" s="32"/>
      <c r="CB255" s="32"/>
      <c r="CC255" s="32"/>
    </row>
    <row r="256" spans="1:8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2"/>
      <c r="BU256" s="32"/>
      <c r="BV256" s="32"/>
      <c r="BW256" s="32"/>
      <c r="BX256" s="32"/>
      <c r="BY256" s="32"/>
      <c r="BZ256" s="32"/>
      <c r="CA256" s="32"/>
      <c r="CB256" s="32"/>
      <c r="CC256" s="32"/>
    </row>
    <row r="257" spans="1:8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32"/>
      <c r="BW257" s="32"/>
      <c r="BX257" s="32"/>
      <c r="BY257" s="32"/>
      <c r="BZ257" s="32"/>
      <c r="CA257" s="32"/>
      <c r="CB257" s="32"/>
      <c r="CC257" s="32"/>
    </row>
    <row r="258" spans="1:8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2"/>
      <c r="BU258" s="32"/>
      <c r="BV258" s="32"/>
      <c r="BW258" s="32"/>
      <c r="BX258" s="32"/>
      <c r="BY258" s="32"/>
      <c r="BZ258" s="32"/>
      <c r="CA258" s="32"/>
      <c r="CB258" s="32"/>
      <c r="CC258" s="32"/>
    </row>
    <row r="259" spans="1:8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  <c r="BQ259" s="32"/>
      <c r="BR259" s="32"/>
      <c r="BS259" s="32"/>
      <c r="BT259" s="32"/>
      <c r="BU259" s="32"/>
      <c r="BV259" s="32"/>
      <c r="BW259" s="32"/>
      <c r="BX259" s="32"/>
      <c r="BY259" s="32"/>
      <c r="BZ259" s="32"/>
      <c r="CA259" s="32"/>
      <c r="CB259" s="32"/>
      <c r="CC259" s="32"/>
    </row>
    <row r="260" spans="1:8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  <c r="BP260" s="32"/>
      <c r="BQ260" s="32"/>
      <c r="BR260" s="32"/>
      <c r="BS260" s="32"/>
      <c r="BT260" s="32"/>
      <c r="BU260" s="32"/>
      <c r="BV260" s="32"/>
      <c r="BW260" s="32"/>
      <c r="BX260" s="32"/>
      <c r="BY260" s="32"/>
      <c r="BZ260" s="32"/>
      <c r="CA260" s="32"/>
      <c r="CB260" s="32"/>
      <c r="CC260" s="32"/>
    </row>
    <row r="261" spans="1:8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  <c r="BW261" s="32"/>
      <c r="BX261" s="32"/>
      <c r="BY261" s="32"/>
      <c r="BZ261" s="32"/>
      <c r="CA261" s="32"/>
      <c r="CB261" s="32"/>
      <c r="CC261" s="32"/>
    </row>
    <row r="262" spans="1:8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2"/>
      <c r="BU262" s="32"/>
      <c r="BV262" s="32"/>
      <c r="BW262" s="32"/>
      <c r="BX262" s="32"/>
      <c r="BY262" s="32"/>
      <c r="BZ262" s="32"/>
      <c r="CA262" s="32"/>
      <c r="CB262" s="32"/>
      <c r="CC262" s="32"/>
    </row>
    <row r="263" spans="1:8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  <c r="BP263" s="32"/>
      <c r="BQ263" s="32"/>
      <c r="BR263" s="32"/>
      <c r="BS263" s="32"/>
      <c r="BT263" s="32"/>
      <c r="BU263" s="32"/>
      <c r="BV263" s="32"/>
      <c r="BW263" s="32"/>
      <c r="BX263" s="32"/>
      <c r="BY263" s="32"/>
      <c r="BZ263" s="32"/>
      <c r="CA263" s="32"/>
      <c r="CB263" s="32"/>
      <c r="CC263" s="32"/>
    </row>
    <row r="264" spans="1:8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2"/>
      <c r="BU264" s="32"/>
      <c r="BV264" s="32"/>
      <c r="BW264" s="32"/>
      <c r="BX264" s="32"/>
      <c r="BY264" s="32"/>
      <c r="BZ264" s="32"/>
      <c r="CA264" s="32"/>
      <c r="CB264" s="32"/>
      <c r="CC264" s="32"/>
    </row>
    <row r="265" spans="1:8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  <c r="BP265" s="32"/>
      <c r="BQ265" s="32"/>
      <c r="BR265" s="32"/>
      <c r="BS265" s="32"/>
      <c r="BT265" s="32"/>
      <c r="BU265" s="32"/>
      <c r="BV265" s="32"/>
      <c r="BW265" s="32"/>
      <c r="BX265" s="32"/>
      <c r="BY265" s="32"/>
      <c r="BZ265" s="32"/>
      <c r="CA265" s="32"/>
      <c r="CB265" s="32"/>
      <c r="CC265" s="32"/>
    </row>
    <row r="266" spans="1:8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  <c r="BP266" s="32"/>
      <c r="BQ266" s="32"/>
      <c r="BR266" s="32"/>
      <c r="BS266" s="32"/>
      <c r="BT266" s="32"/>
      <c r="BU266" s="32"/>
      <c r="BV266" s="32"/>
      <c r="BW266" s="32"/>
      <c r="BX266" s="32"/>
      <c r="BY266" s="32"/>
      <c r="BZ266" s="32"/>
      <c r="CA266" s="32"/>
      <c r="CB266" s="32"/>
      <c r="CC266" s="32"/>
    </row>
    <row r="267" spans="1:8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/>
      <c r="BM267" s="32"/>
      <c r="BN267" s="32"/>
      <c r="BO267" s="32"/>
      <c r="BP267" s="32"/>
      <c r="BQ267" s="32"/>
      <c r="BR267" s="32"/>
      <c r="BS267" s="32"/>
      <c r="BT267" s="32"/>
      <c r="BU267" s="32"/>
      <c r="BV267" s="32"/>
      <c r="BW267" s="32"/>
      <c r="BX267" s="32"/>
      <c r="BY267" s="32"/>
      <c r="BZ267" s="32"/>
      <c r="CA267" s="32"/>
      <c r="CB267" s="32"/>
      <c r="CC267" s="32"/>
    </row>
    <row r="268" spans="1:8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  <c r="BP268" s="32"/>
      <c r="BQ268" s="32"/>
      <c r="BR268" s="32"/>
      <c r="BS268" s="32"/>
      <c r="BT268" s="32"/>
      <c r="BU268" s="32"/>
      <c r="BV268" s="32"/>
      <c r="BW268" s="32"/>
      <c r="BX268" s="32"/>
      <c r="BY268" s="32"/>
      <c r="BZ268" s="32"/>
      <c r="CA268" s="32"/>
      <c r="CB268" s="32"/>
      <c r="CC268" s="32"/>
    </row>
    <row r="269" spans="1:8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  <c r="BW269" s="32"/>
      <c r="BX269" s="32"/>
      <c r="BY269" s="32"/>
      <c r="BZ269" s="32"/>
      <c r="CA269" s="32"/>
      <c r="CB269" s="32"/>
      <c r="CC269" s="32"/>
    </row>
    <row r="270" spans="1:8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32"/>
      <c r="BW270" s="32"/>
      <c r="BX270" s="32"/>
      <c r="BY270" s="32"/>
      <c r="BZ270" s="32"/>
      <c r="CA270" s="32"/>
      <c r="CB270" s="32"/>
      <c r="CC270" s="32"/>
    </row>
    <row r="271" spans="1:8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32"/>
      <c r="BW271" s="32"/>
      <c r="BX271" s="32"/>
      <c r="BY271" s="32"/>
      <c r="BZ271" s="32"/>
      <c r="CA271" s="32"/>
      <c r="CB271" s="32"/>
      <c r="CC271" s="32"/>
    </row>
    <row r="272" spans="1:8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  <c r="BW272" s="32"/>
      <c r="BX272" s="32"/>
      <c r="BY272" s="32"/>
      <c r="BZ272" s="32"/>
      <c r="CA272" s="32"/>
      <c r="CB272" s="32"/>
      <c r="CC272" s="32"/>
    </row>
    <row r="273" spans="1:8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  <c r="BP273" s="32"/>
      <c r="BQ273" s="32"/>
      <c r="BR273" s="32"/>
      <c r="BS273" s="32"/>
      <c r="BT273" s="32"/>
      <c r="BU273" s="32"/>
      <c r="BV273" s="32"/>
      <c r="BW273" s="32"/>
      <c r="BX273" s="32"/>
      <c r="BY273" s="32"/>
      <c r="BZ273" s="32"/>
      <c r="CA273" s="32"/>
      <c r="CB273" s="32"/>
      <c r="CC273" s="32"/>
    </row>
    <row r="274" spans="1:8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  <c r="BP274" s="32"/>
      <c r="BQ274" s="32"/>
      <c r="BR274" s="32"/>
      <c r="BS274" s="32"/>
      <c r="BT274" s="32"/>
      <c r="BU274" s="32"/>
      <c r="BV274" s="32"/>
      <c r="BW274" s="32"/>
      <c r="BX274" s="32"/>
      <c r="BY274" s="32"/>
      <c r="BZ274" s="32"/>
      <c r="CA274" s="32"/>
      <c r="CB274" s="32"/>
      <c r="CC274" s="32"/>
    </row>
    <row r="275" spans="1:8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  <c r="BP275" s="32"/>
      <c r="BQ275" s="32"/>
      <c r="BR275" s="32"/>
      <c r="BS275" s="32"/>
      <c r="BT275" s="32"/>
      <c r="BU275" s="32"/>
      <c r="BV275" s="32"/>
      <c r="BW275" s="32"/>
      <c r="BX275" s="32"/>
      <c r="BY275" s="32"/>
      <c r="BZ275" s="32"/>
      <c r="CA275" s="32"/>
      <c r="CB275" s="32"/>
      <c r="CC275" s="32"/>
    </row>
    <row r="276" spans="1:8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  <c r="BP276" s="32"/>
      <c r="BQ276" s="32"/>
      <c r="BR276" s="32"/>
      <c r="BS276" s="32"/>
      <c r="BT276" s="32"/>
      <c r="BU276" s="32"/>
      <c r="BV276" s="32"/>
      <c r="BW276" s="32"/>
      <c r="BX276" s="32"/>
      <c r="BY276" s="32"/>
      <c r="BZ276" s="32"/>
      <c r="CA276" s="32"/>
      <c r="CB276" s="32"/>
      <c r="CC276" s="32"/>
    </row>
    <row r="277" spans="1:8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  <c r="BW277" s="32"/>
      <c r="BX277" s="32"/>
      <c r="BY277" s="32"/>
      <c r="BZ277" s="32"/>
      <c r="CA277" s="32"/>
      <c r="CB277" s="32"/>
      <c r="CC277" s="32"/>
    </row>
    <row r="278" spans="1:8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2"/>
      <c r="BU278" s="32"/>
      <c r="BV278" s="32"/>
      <c r="BW278" s="32"/>
      <c r="BX278" s="32"/>
      <c r="BY278" s="32"/>
      <c r="BZ278" s="32"/>
      <c r="CA278" s="32"/>
      <c r="CB278" s="32"/>
      <c r="CC278" s="32"/>
    </row>
    <row r="279" spans="1:8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  <c r="BP279" s="32"/>
      <c r="BQ279" s="32"/>
      <c r="BR279" s="32"/>
      <c r="BS279" s="32"/>
      <c r="BT279" s="32"/>
      <c r="BU279" s="32"/>
      <c r="BV279" s="32"/>
      <c r="BW279" s="32"/>
      <c r="BX279" s="32"/>
      <c r="BY279" s="32"/>
      <c r="BZ279" s="32"/>
      <c r="CA279" s="32"/>
      <c r="CB279" s="32"/>
      <c r="CC279" s="32"/>
    </row>
    <row r="280" spans="1:8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  <c r="BP280" s="32"/>
      <c r="BQ280" s="32"/>
      <c r="BR280" s="32"/>
      <c r="BS280" s="32"/>
      <c r="BT280" s="32"/>
      <c r="BU280" s="32"/>
      <c r="BV280" s="32"/>
      <c r="BW280" s="32"/>
      <c r="BX280" s="32"/>
      <c r="BY280" s="32"/>
      <c r="BZ280" s="32"/>
      <c r="CA280" s="32"/>
      <c r="CB280" s="32"/>
      <c r="CC280" s="32"/>
    </row>
    <row r="281" spans="1: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2"/>
      <c r="BU281" s="32"/>
      <c r="BV281" s="32"/>
      <c r="BW281" s="32"/>
      <c r="BX281" s="32"/>
      <c r="BY281" s="32"/>
      <c r="BZ281" s="32"/>
      <c r="CA281" s="32"/>
      <c r="CB281" s="32"/>
      <c r="CC281" s="32"/>
    </row>
    <row r="282" spans="1:8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2"/>
      <c r="BU282" s="32"/>
      <c r="BV282" s="32"/>
      <c r="BW282" s="32"/>
      <c r="BX282" s="32"/>
      <c r="BY282" s="32"/>
      <c r="BZ282" s="32"/>
      <c r="CA282" s="32"/>
      <c r="CB282" s="32"/>
      <c r="CC282" s="32"/>
    </row>
    <row r="283" spans="1:8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  <c r="BP283" s="32"/>
      <c r="BQ283" s="32"/>
      <c r="BR283" s="32"/>
      <c r="BS283" s="32"/>
      <c r="BT283" s="32"/>
      <c r="BU283" s="32"/>
      <c r="BV283" s="32"/>
      <c r="BW283" s="32"/>
      <c r="BX283" s="32"/>
      <c r="BY283" s="32"/>
      <c r="BZ283" s="32"/>
      <c r="CA283" s="32"/>
      <c r="CB283" s="32"/>
      <c r="CC283" s="32"/>
    </row>
    <row r="284" spans="1:8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2"/>
      <c r="BU284" s="32"/>
      <c r="BV284" s="32"/>
      <c r="BW284" s="32"/>
      <c r="BX284" s="32"/>
      <c r="BY284" s="32"/>
      <c r="BZ284" s="32"/>
      <c r="CA284" s="32"/>
      <c r="CB284" s="32"/>
      <c r="CC284" s="32"/>
    </row>
    <row r="285" spans="1:8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  <c r="BP285" s="32"/>
      <c r="BQ285" s="32"/>
      <c r="BR285" s="32"/>
      <c r="BS285" s="32"/>
      <c r="BT285" s="32"/>
      <c r="BU285" s="32"/>
      <c r="BV285" s="32"/>
      <c r="BW285" s="32"/>
      <c r="BX285" s="32"/>
      <c r="BY285" s="32"/>
      <c r="BZ285" s="32"/>
      <c r="CA285" s="32"/>
      <c r="CB285" s="32"/>
      <c r="CC285" s="32"/>
    </row>
    <row r="286" spans="1:8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  <c r="BP286" s="32"/>
      <c r="BQ286" s="32"/>
      <c r="BR286" s="32"/>
      <c r="BS286" s="32"/>
      <c r="BT286" s="32"/>
      <c r="BU286" s="32"/>
      <c r="BV286" s="32"/>
      <c r="BW286" s="32"/>
      <c r="BX286" s="32"/>
      <c r="BY286" s="32"/>
      <c r="BZ286" s="32"/>
      <c r="CA286" s="32"/>
      <c r="CB286" s="32"/>
      <c r="CC286" s="32"/>
    </row>
    <row r="287" spans="1:8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  <c r="BP287" s="32"/>
      <c r="BQ287" s="32"/>
      <c r="BR287" s="32"/>
      <c r="BS287" s="32"/>
      <c r="BT287" s="32"/>
      <c r="BU287" s="32"/>
      <c r="BV287" s="32"/>
      <c r="BW287" s="32"/>
      <c r="BX287" s="32"/>
      <c r="BY287" s="32"/>
      <c r="BZ287" s="32"/>
      <c r="CA287" s="32"/>
      <c r="CB287" s="32"/>
      <c r="CC287" s="32"/>
    </row>
    <row r="288" spans="1:8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  <c r="BP288" s="32"/>
      <c r="BQ288" s="32"/>
      <c r="BR288" s="32"/>
      <c r="BS288" s="32"/>
      <c r="BT288" s="32"/>
      <c r="BU288" s="32"/>
      <c r="BV288" s="32"/>
      <c r="BW288" s="32"/>
      <c r="BX288" s="32"/>
      <c r="BY288" s="32"/>
      <c r="BZ288" s="32"/>
      <c r="CA288" s="32"/>
      <c r="CB288" s="32"/>
      <c r="CC288" s="32"/>
    </row>
    <row r="289" spans="1:8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  <c r="BQ289" s="32"/>
      <c r="BR289" s="32"/>
      <c r="BS289" s="32"/>
      <c r="BT289" s="32"/>
      <c r="BU289" s="32"/>
      <c r="BV289" s="32"/>
      <c r="BW289" s="32"/>
      <c r="BX289" s="32"/>
      <c r="BY289" s="32"/>
      <c r="BZ289" s="32"/>
      <c r="CA289" s="32"/>
      <c r="CB289" s="32"/>
      <c r="CC289" s="32"/>
    </row>
    <row r="290" spans="1:8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  <c r="BS290" s="32"/>
      <c r="BT290" s="32"/>
      <c r="BU290" s="32"/>
      <c r="BV290" s="32"/>
      <c r="BW290" s="32"/>
      <c r="BX290" s="32"/>
      <c r="BY290" s="32"/>
      <c r="BZ290" s="32"/>
      <c r="CA290" s="32"/>
      <c r="CB290" s="32"/>
      <c r="CC290" s="32"/>
    </row>
    <row r="291" spans="1:8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  <c r="BP291" s="32"/>
      <c r="BQ291" s="32"/>
      <c r="BR291" s="32"/>
      <c r="BS291" s="32"/>
      <c r="BT291" s="32"/>
      <c r="BU291" s="32"/>
      <c r="BV291" s="32"/>
      <c r="BW291" s="32"/>
      <c r="BX291" s="32"/>
      <c r="BY291" s="32"/>
      <c r="BZ291" s="32"/>
      <c r="CA291" s="32"/>
      <c r="CB291" s="32"/>
      <c r="CC291" s="32"/>
    </row>
    <row r="292" spans="1:8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  <c r="BP292" s="32"/>
      <c r="BQ292" s="32"/>
      <c r="BR292" s="32"/>
      <c r="BS292" s="32"/>
      <c r="BT292" s="32"/>
      <c r="BU292" s="32"/>
      <c r="BV292" s="32"/>
      <c r="BW292" s="32"/>
      <c r="BX292" s="32"/>
      <c r="BY292" s="32"/>
      <c r="BZ292" s="32"/>
      <c r="CA292" s="32"/>
      <c r="CB292" s="32"/>
      <c r="CC292" s="32"/>
    </row>
    <row r="293" spans="1:8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  <c r="BP293" s="32"/>
      <c r="BQ293" s="32"/>
      <c r="BR293" s="32"/>
      <c r="BS293" s="32"/>
      <c r="BT293" s="32"/>
      <c r="BU293" s="32"/>
      <c r="BV293" s="32"/>
      <c r="BW293" s="32"/>
      <c r="BX293" s="32"/>
      <c r="BY293" s="32"/>
      <c r="BZ293" s="32"/>
      <c r="CA293" s="32"/>
      <c r="CB293" s="32"/>
      <c r="CC293" s="32"/>
    </row>
    <row r="294" spans="1:8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  <c r="BP294" s="32"/>
      <c r="BQ294" s="32"/>
      <c r="BR294" s="32"/>
      <c r="BS294" s="32"/>
      <c r="BT294" s="32"/>
      <c r="BU294" s="32"/>
      <c r="BV294" s="32"/>
      <c r="BW294" s="32"/>
      <c r="BX294" s="32"/>
      <c r="BY294" s="32"/>
      <c r="BZ294" s="32"/>
      <c r="CA294" s="32"/>
      <c r="CB294" s="32"/>
      <c r="CC294" s="32"/>
    </row>
    <row r="295" spans="1:8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  <c r="BP295" s="32"/>
      <c r="BQ295" s="32"/>
      <c r="BR295" s="32"/>
      <c r="BS295" s="32"/>
      <c r="BT295" s="32"/>
      <c r="BU295" s="32"/>
      <c r="BV295" s="32"/>
      <c r="BW295" s="32"/>
      <c r="BX295" s="32"/>
      <c r="BY295" s="32"/>
      <c r="BZ295" s="32"/>
      <c r="CA295" s="32"/>
      <c r="CB295" s="32"/>
      <c r="CC295" s="32"/>
    </row>
    <row r="296" spans="1:8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  <c r="BG296" s="32"/>
      <c r="BH296" s="32"/>
      <c r="BI296" s="32"/>
      <c r="BJ296" s="32"/>
      <c r="BK296" s="32"/>
      <c r="BL296" s="32"/>
      <c r="BM296" s="32"/>
      <c r="BN296" s="32"/>
      <c r="BO296" s="32"/>
      <c r="BP296" s="32"/>
      <c r="BQ296" s="32"/>
      <c r="BR296" s="32"/>
      <c r="BS296" s="32"/>
      <c r="BT296" s="32"/>
      <c r="BU296" s="32"/>
      <c r="BV296" s="32"/>
      <c r="BW296" s="32"/>
      <c r="BX296" s="32"/>
      <c r="BY296" s="32"/>
      <c r="BZ296" s="32"/>
      <c r="CA296" s="32"/>
      <c r="CB296" s="32"/>
      <c r="CC296" s="32"/>
    </row>
    <row r="297" spans="1:8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  <c r="BF297" s="32"/>
      <c r="BG297" s="32"/>
      <c r="BH297" s="32"/>
      <c r="BI297" s="32"/>
      <c r="BJ297" s="32"/>
      <c r="BK297" s="32"/>
      <c r="BL297" s="32"/>
      <c r="BM297" s="32"/>
      <c r="BN297" s="32"/>
      <c r="BO297" s="32"/>
      <c r="BP297" s="32"/>
      <c r="BQ297" s="32"/>
      <c r="BR297" s="32"/>
      <c r="BS297" s="32"/>
      <c r="BT297" s="32"/>
      <c r="BU297" s="32"/>
      <c r="BV297" s="32"/>
      <c r="BW297" s="32"/>
      <c r="BX297" s="32"/>
      <c r="BY297" s="32"/>
      <c r="BZ297" s="32"/>
      <c r="CA297" s="32"/>
      <c r="CB297" s="32"/>
      <c r="CC297" s="32"/>
    </row>
    <row r="298" spans="1:8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2"/>
      <c r="BF298" s="32"/>
      <c r="BG298" s="32"/>
      <c r="BH298" s="32"/>
      <c r="BI298" s="32"/>
      <c r="BJ298" s="32"/>
      <c r="BK298" s="32"/>
      <c r="BL298" s="32"/>
      <c r="BM298" s="32"/>
      <c r="BN298" s="32"/>
      <c r="BO298" s="32"/>
      <c r="BP298" s="32"/>
      <c r="BQ298" s="32"/>
      <c r="BR298" s="32"/>
      <c r="BS298" s="32"/>
      <c r="BT298" s="32"/>
      <c r="BU298" s="32"/>
      <c r="BV298" s="32"/>
      <c r="BW298" s="32"/>
      <c r="BX298" s="32"/>
      <c r="BY298" s="32"/>
      <c r="BZ298" s="32"/>
      <c r="CA298" s="32"/>
      <c r="CB298" s="32"/>
      <c r="CC298" s="32"/>
    </row>
    <row r="299" spans="1:8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  <c r="BF299" s="32"/>
      <c r="BG299" s="32"/>
      <c r="BH299" s="32"/>
      <c r="BI299" s="32"/>
      <c r="BJ299" s="32"/>
      <c r="BK299" s="32"/>
      <c r="BL299" s="32"/>
      <c r="BM299" s="32"/>
      <c r="BN299" s="32"/>
      <c r="BO299" s="32"/>
      <c r="BP299" s="32"/>
      <c r="BQ299" s="32"/>
      <c r="BR299" s="32"/>
      <c r="BS299" s="32"/>
      <c r="BT299" s="32"/>
      <c r="BU299" s="32"/>
      <c r="BV299" s="32"/>
      <c r="BW299" s="32"/>
      <c r="BX299" s="32"/>
      <c r="BY299" s="32"/>
      <c r="BZ299" s="32"/>
      <c r="CA299" s="32"/>
      <c r="CB299" s="32"/>
      <c r="CC299" s="32"/>
    </row>
    <row r="300" spans="1:8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/>
      <c r="BO300" s="32"/>
      <c r="BP300" s="32"/>
      <c r="BQ300" s="32"/>
      <c r="BR300" s="32"/>
      <c r="BS300" s="32"/>
      <c r="BT300" s="32"/>
      <c r="BU300" s="32"/>
      <c r="BV300" s="32"/>
      <c r="BW300" s="32"/>
      <c r="BX300" s="32"/>
      <c r="BY300" s="32"/>
      <c r="BZ300" s="32"/>
      <c r="CA300" s="32"/>
      <c r="CB300" s="32"/>
      <c r="CC300" s="32"/>
    </row>
    <row r="301" spans="1:8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  <c r="BF301" s="32"/>
      <c r="BG301" s="32"/>
      <c r="BH301" s="32"/>
      <c r="BI301" s="32"/>
      <c r="BJ301" s="32"/>
      <c r="BK301" s="32"/>
      <c r="BL301" s="32"/>
      <c r="BM301" s="32"/>
      <c r="BN301" s="32"/>
      <c r="BO301" s="32"/>
      <c r="BP301" s="32"/>
      <c r="BQ301" s="32"/>
      <c r="BR301" s="32"/>
      <c r="BS301" s="32"/>
      <c r="BT301" s="32"/>
      <c r="BU301" s="32"/>
      <c r="BV301" s="32"/>
      <c r="BW301" s="32"/>
      <c r="BX301" s="32"/>
      <c r="BY301" s="32"/>
      <c r="BZ301" s="32"/>
      <c r="CA301" s="32"/>
      <c r="CB301" s="32"/>
      <c r="CC301" s="32"/>
    </row>
    <row r="302" spans="1:8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  <c r="BP302" s="32"/>
      <c r="BQ302" s="32"/>
      <c r="BR302" s="32"/>
      <c r="BS302" s="32"/>
      <c r="BT302" s="32"/>
      <c r="BU302" s="32"/>
      <c r="BV302" s="32"/>
      <c r="BW302" s="32"/>
      <c r="BX302" s="32"/>
      <c r="BY302" s="32"/>
      <c r="BZ302" s="32"/>
      <c r="CA302" s="32"/>
      <c r="CB302" s="32"/>
      <c r="CC302" s="32"/>
    </row>
    <row r="303" spans="1:8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  <c r="BN303" s="32"/>
      <c r="BO303" s="32"/>
      <c r="BP303" s="32"/>
      <c r="BQ303" s="32"/>
      <c r="BR303" s="32"/>
      <c r="BS303" s="32"/>
      <c r="BT303" s="32"/>
      <c r="BU303" s="32"/>
      <c r="BV303" s="32"/>
      <c r="BW303" s="32"/>
      <c r="BX303" s="32"/>
      <c r="BY303" s="32"/>
      <c r="BZ303" s="32"/>
      <c r="CA303" s="32"/>
      <c r="CB303" s="32"/>
      <c r="CC303" s="32"/>
    </row>
    <row r="304" spans="1:8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  <c r="BG304" s="32"/>
      <c r="BH304" s="32"/>
      <c r="BI304" s="32"/>
      <c r="BJ304" s="32"/>
      <c r="BK304" s="32"/>
      <c r="BL304" s="32"/>
      <c r="BM304" s="32"/>
      <c r="BN304" s="32"/>
      <c r="BO304" s="32"/>
      <c r="BP304" s="32"/>
      <c r="BQ304" s="32"/>
      <c r="BR304" s="32"/>
      <c r="BS304" s="32"/>
      <c r="BT304" s="32"/>
      <c r="BU304" s="32"/>
      <c r="BV304" s="32"/>
      <c r="BW304" s="32"/>
      <c r="BX304" s="32"/>
      <c r="BY304" s="32"/>
      <c r="BZ304" s="32"/>
      <c r="CA304" s="32"/>
      <c r="CB304" s="32"/>
      <c r="CC304" s="32"/>
    </row>
    <row r="305" spans="1:8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  <c r="BN305" s="32"/>
      <c r="BO305" s="32"/>
      <c r="BP305" s="32"/>
      <c r="BQ305" s="32"/>
      <c r="BR305" s="32"/>
      <c r="BS305" s="32"/>
      <c r="BT305" s="32"/>
      <c r="BU305" s="32"/>
      <c r="BV305" s="32"/>
      <c r="BW305" s="32"/>
      <c r="BX305" s="32"/>
      <c r="BY305" s="32"/>
      <c r="BZ305" s="32"/>
      <c r="CA305" s="32"/>
      <c r="CB305" s="32"/>
      <c r="CC305" s="32"/>
    </row>
    <row r="306" spans="1:8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/>
      <c r="BM306" s="32"/>
      <c r="BN306" s="32"/>
      <c r="BO306" s="32"/>
      <c r="BP306" s="32"/>
      <c r="BQ306" s="32"/>
      <c r="BR306" s="32"/>
      <c r="BS306" s="32"/>
      <c r="BT306" s="32"/>
      <c r="BU306" s="32"/>
      <c r="BV306" s="32"/>
      <c r="BW306" s="32"/>
      <c r="BX306" s="32"/>
      <c r="BY306" s="32"/>
      <c r="BZ306" s="32"/>
      <c r="CA306" s="32"/>
      <c r="CB306" s="32"/>
      <c r="CC306" s="32"/>
    </row>
    <row r="307" spans="1:8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  <c r="BN307" s="32"/>
      <c r="BO307" s="32"/>
      <c r="BP307" s="32"/>
      <c r="BQ307" s="32"/>
      <c r="BR307" s="32"/>
      <c r="BS307" s="32"/>
      <c r="BT307" s="32"/>
      <c r="BU307" s="32"/>
      <c r="BV307" s="32"/>
      <c r="BW307" s="32"/>
      <c r="BX307" s="32"/>
      <c r="BY307" s="32"/>
      <c r="BZ307" s="32"/>
      <c r="CA307" s="32"/>
      <c r="CB307" s="32"/>
      <c r="CC307" s="32"/>
    </row>
    <row r="308" spans="1:8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  <c r="BP308" s="32"/>
      <c r="BQ308" s="32"/>
      <c r="BR308" s="32"/>
      <c r="BS308" s="32"/>
      <c r="BT308" s="32"/>
      <c r="BU308" s="32"/>
      <c r="BV308" s="32"/>
      <c r="BW308" s="32"/>
      <c r="BX308" s="32"/>
      <c r="BY308" s="32"/>
      <c r="BZ308" s="32"/>
      <c r="CA308" s="32"/>
      <c r="CB308" s="32"/>
      <c r="CC308" s="32"/>
    </row>
    <row r="309" spans="1:8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  <c r="BP309" s="32"/>
      <c r="BQ309" s="32"/>
      <c r="BR309" s="32"/>
      <c r="BS309" s="32"/>
      <c r="BT309" s="32"/>
      <c r="BU309" s="32"/>
      <c r="BV309" s="32"/>
      <c r="BW309" s="32"/>
      <c r="BX309" s="32"/>
      <c r="BY309" s="32"/>
      <c r="BZ309" s="32"/>
      <c r="CA309" s="32"/>
      <c r="CB309" s="32"/>
      <c r="CC309" s="32"/>
    </row>
    <row r="310" spans="1:8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  <c r="BP310" s="32"/>
      <c r="BQ310" s="32"/>
      <c r="BR310" s="32"/>
      <c r="BS310" s="32"/>
      <c r="BT310" s="32"/>
      <c r="BU310" s="32"/>
      <c r="BV310" s="32"/>
      <c r="BW310" s="32"/>
      <c r="BX310" s="32"/>
      <c r="BY310" s="32"/>
      <c r="BZ310" s="32"/>
      <c r="CA310" s="32"/>
      <c r="CB310" s="32"/>
      <c r="CC310" s="32"/>
    </row>
    <row r="311" spans="1:8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  <c r="BP311" s="32"/>
      <c r="BQ311" s="32"/>
      <c r="BR311" s="32"/>
      <c r="BS311" s="32"/>
      <c r="BT311" s="32"/>
      <c r="BU311" s="32"/>
      <c r="BV311" s="32"/>
      <c r="BW311" s="32"/>
      <c r="BX311" s="32"/>
      <c r="BY311" s="32"/>
      <c r="BZ311" s="32"/>
      <c r="CA311" s="32"/>
      <c r="CB311" s="32"/>
      <c r="CC311" s="32"/>
    </row>
    <row r="312" spans="1:8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  <c r="BP312" s="32"/>
      <c r="BQ312" s="32"/>
      <c r="BR312" s="32"/>
      <c r="BS312" s="32"/>
      <c r="BT312" s="32"/>
      <c r="BU312" s="32"/>
      <c r="BV312" s="32"/>
      <c r="BW312" s="32"/>
      <c r="BX312" s="32"/>
      <c r="BY312" s="32"/>
      <c r="BZ312" s="32"/>
      <c r="CA312" s="32"/>
      <c r="CB312" s="32"/>
      <c r="CC312" s="32"/>
    </row>
    <row r="313" spans="1:8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  <c r="BP313" s="32"/>
      <c r="BQ313" s="32"/>
      <c r="BR313" s="32"/>
      <c r="BS313" s="32"/>
      <c r="BT313" s="32"/>
      <c r="BU313" s="32"/>
      <c r="BV313" s="32"/>
      <c r="BW313" s="32"/>
      <c r="BX313" s="32"/>
      <c r="BY313" s="32"/>
      <c r="BZ313" s="32"/>
      <c r="CA313" s="32"/>
      <c r="CB313" s="32"/>
      <c r="CC313" s="32"/>
    </row>
    <row r="314" spans="1:8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  <c r="BP314" s="32"/>
      <c r="BQ314" s="32"/>
      <c r="BR314" s="32"/>
      <c r="BS314" s="32"/>
      <c r="BT314" s="32"/>
      <c r="BU314" s="32"/>
      <c r="BV314" s="32"/>
      <c r="BW314" s="32"/>
      <c r="BX314" s="32"/>
      <c r="BY314" s="32"/>
      <c r="BZ314" s="32"/>
      <c r="CA314" s="32"/>
      <c r="CB314" s="32"/>
      <c r="CC314" s="32"/>
    </row>
    <row r="315" spans="1:8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  <c r="BP315" s="32"/>
      <c r="BQ315" s="32"/>
      <c r="BR315" s="32"/>
      <c r="BS315" s="32"/>
      <c r="BT315" s="32"/>
      <c r="BU315" s="32"/>
      <c r="BV315" s="32"/>
      <c r="BW315" s="32"/>
      <c r="BX315" s="32"/>
      <c r="BY315" s="32"/>
      <c r="BZ315" s="32"/>
      <c r="CA315" s="32"/>
      <c r="CB315" s="32"/>
      <c r="CC315" s="32"/>
    </row>
    <row r="316" spans="1:8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  <c r="BP316" s="32"/>
      <c r="BQ316" s="32"/>
      <c r="BR316" s="32"/>
      <c r="BS316" s="32"/>
      <c r="BT316" s="32"/>
      <c r="BU316" s="32"/>
      <c r="BV316" s="32"/>
      <c r="BW316" s="32"/>
      <c r="BX316" s="32"/>
      <c r="BY316" s="32"/>
      <c r="BZ316" s="32"/>
      <c r="CA316" s="32"/>
      <c r="CB316" s="32"/>
      <c r="CC316" s="32"/>
    </row>
    <row r="317" spans="1:8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  <c r="BP317" s="32"/>
      <c r="BQ317" s="32"/>
      <c r="BR317" s="32"/>
      <c r="BS317" s="32"/>
      <c r="BT317" s="32"/>
      <c r="BU317" s="32"/>
      <c r="BV317" s="32"/>
      <c r="BW317" s="32"/>
      <c r="BX317" s="32"/>
      <c r="BY317" s="32"/>
      <c r="BZ317" s="32"/>
      <c r="CA317" s="32"/>
      <c r="CB317" s="32"/>
      <c r="CC317" s="32"/>
    </row>
    <row r="318" spans="1:8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  <c r="BQ318" s="32"/>
      <c r="BR318" s="32"/>
      <c r="BS318" s="32"/>
      <c r="BT318" s="32"/>
      <c r="BU318" s="32"/>
      <c r="BV318" s="32"/>
      <c r="BW318" s="32"/>
      <c r="BX318" s="32"/>
      <c r="BY318" s="32"/>
      <c r="BZ318" s="32"/>
      <c r="CA318" s="32"/>
      <c r="CB318" s="32"/>
      <c r="CC318" s="32"/>
    </row>
    <row r="319" spans="1:8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  <c r="BP319" s="32"/>
      <c r="BQ319" s="32"/>
      <c r="BR319" s="32"/>
      <c r="BS319" s="32"/>
      <c r="BT319" s="32"/>
      <c r="BU319" s="32"/>
      <c r="BV319" s="32"/>
      <c r="BW319" s="32"/>
      <c r="BX319" s="32"/>
      <c r="BY319" s="32"/>
      <c r="BZ319" s="32"/>
      <c r="CA319" s="32"/>
      <c r="CB319" s="32"/>
      <c r="CC319" s="32"/>
    </row>
    <row r="320" spans="1:8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  <c r="BP320" s="32"/>
      <c r="BQ320" s="32"/>
      <c r="BR320" s="32"/>
      <c r="BS320" s="32"/>
      <c r="BT320" s="32"/>
      <c r="BU320" s="32"/>
      <c r="BV320" s="32"/>
      <c r="BW320" s="32"/>
      <c r="BX320" s="32"/>
      <c r="BY320" s="32"/>
      <c r="BZ320" s="32"/>
      <c r="CA320" s="32"/>
      <c r="CB320" s="32"/>
      <c r="CC320" s="32"/>
    </row>
    <row r="321" spans="1:8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/>
      <c r="BO321" s="32"/>
      <c r="BP321" s="32"/>
      <c r="BQ321" s="32"/>
      <c r="BR321" s="32"/>
      <c r="BS321" s="32"/>
      <c r="BT321" s="32"/>
      <c r="BU321" s="32"/>
      <c r="BV321" s="32"/>
      <c r="BW321" s="32"/>
      <c r="BX321" s="32"/>
      <c r="BY321" s="32"/>
      <c r="BZ321" s="32"/>
      <c r="CA321" s="32"/>
      <c r="CB321" s="32"/>
      <c r="CC321" s="32"/>
    </row>
    <row r="322" spans="1:8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  <c r="BP322" s="32"/>
      <c r="BQ322" s="32"/>
      <c r="BR322" s="32"/>
      <c r="BS322" s="32"/>
      <c r="BT322" s="32"/>
      <c r="BU322" s="32"/>
      <c r="BV322" s="32"/>
      <c r="BW322" s="32"/>
      <c r="BX322" s="32"/>
      <c r="BY322" s="32"/>
      <c r="BZ322" s="32"/>
      <c r="CA322" s="32"/>
      <c r="CB322" s="32"/>
      <c r="CC322" s="32"/>
    </row>
    <row r="323" spans="1:8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/>
      <c r="BP323" s="32"/>
      <c r="BQ323" s="32"/>
      <c r="BR323" s="32"/>
      <c r="BS323" s="32"/>
      <c r="BT323" s="32"/>
      <c r="BU323" s="32"/>
      <c r="BV323" s="32"/>
      <c r="BW323" s="32"/>
      <c r="BX323" s="32"/>
      <c r="BY323" s="32"/>
      <c r="BZ323" s="32"/>
      <c r="CA323" s="32"/>
      <c r="CB323" s="32"/>
      <c r="CC323" s="32"/>
    </row>
    <row r="324" spans="1:8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  <c r="BP324" s="32"/>
      <c r="BQ324" s="32"/>
      <c r="BR324" s="32"/>
      <c r="BS324" s="32"/>
      <c r="BT324" s="32"/>
      <c r="BU324" s="32"/>
      <c r="BV324" s="32"/>
      <c r="BW324" s="32"/>
      <c r="BX324" s="32"/>
      <c r="BY324" s="32"/>
      <c r="BZ324" s="32"/>
      <c r="CA324" s="32"/>
      <c r="CB324" s="32"/>
      <c r="CC324" s="32"/>
    </row>
    <row r="325" spans="1:8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  <c r="BP325" s="32"/>
      <c r="BQ325" s="32"/>
      <c r="BR325" s="32"/>
      <c r="BS325" s="32"/>
      <c r="BT325" s="32"/>
      <c r="BU325" s="32"/>
      <c r="BV325" s="32"/>
      <c r="BW325" s="32"/>
      <c r="BX325" s="32"/>
      <c r="BY325" s="32"/>
      <c r="BZ325" s="32"/>
      <c r="CA325" s="32"/>
      <c r="CB325" s="32"/>
      <c r="CC325" s="32"/>
    </row>
    <row r="326" spans="1:8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  <c r="BP326" s="32"/>
      <c r="BQ326" s="32"/>
      <c r="BR326" s="32"/>
      <c r="BS326" s="32"/>
      <c r="BT326" s="32"/>
      <c r="BU326" s="32"/>
      <c r="BV326" s="32"/>
      <c r="BW326" s="32"/>
      <c r="BX326" s="32"/>
      <c r="BY326" s="32"/>
      <c r="BZ326" s="32"/>
      <c r="CA326" s="32"/>
      <c r="CB326" s="32"/>
      <c r="CC326" s="32"/>
    </row>
    <row r="327" spans="1:8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  <c r="BP327" s="32"/>
      <c r="BQ327" s="32"/>
      <c r="BR327" s="32"/>
      <c r="BS327" s="32"/>
      <c r="BT327" s="32"/>
      <c r="BU327" s="32"/>
      <c r="BV327" s="32"/>
      <c r="BW327" s="32"/>
      <c r="BX327" s="32"/>
      <c r="BY327" s="32"/>
      <c r="BZ327" s="32"/>
      <c r="CA327" s="32"/>
      <c r="CB327" s="32"/>
      <c r="CC327" s="32"/>
    </row>
    <row r="328" spans="1:8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  <c r="BP328" s="32"/>
      <c r="BQ328" s="32"/>
      <c r="BR328" s="32"/>
      <c r="BS328" s="32"/>
      <c r="BT328" s="32"/>
      <c r="BU328" s="32"/>
      <c r="BV328" s="32"/>
      <c r="BW328" s="32"/>
      <c r="BX328" s="32"/>
      <c r="BY328" s="32"/>
      <c r="BZ328" s="32"/>
      <c r="CA328" s="32"/>
      <c r="CB328" s="32"/>
      <c r="CC328" s="32"/>
    </row>
    <row r="329" spans="1:8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  <c r="BP329" s="32"/>
      <c r="BQ329" s="32"/>
      <c r="BR329" s="32"/>
      <c r="BS329" s="32"/>
      <c r="BT329" s="32"/>
      <c r="BU329" s="32"/>
      <c r="BV329" s="32"/>
      <c r="BW329" s="32"/>
      <c r="BX329" s="32"/>
      <c r="BY329" s="32"/>
      <c r="BZ329" s="32"/>
      <c r="CA329" s="32"/>
      <c r="CB329" s="32"/>
      <c r="CC329" s="32"/>
    </row>
    <row r="330" spans="1:8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  <c r="BP330" s="32"/>
      <c r="BQ330" s="32"/>
      <c r="BR330" s="32"/>
      <c r="BS330" s="32"/>
      <c r="BT330" s="32"/>
      <c r="BU330" s="32"/>
      <c r="BV330" s="32"/>
      <c r="BW330" s="32"/>
      <c r="BX330" s="32"/>
      <c r="BY330" s="32"/>
      <c r="BZ330" s="32"/>
      <c r="CA330" s="32"/>
      <c r="CB330" s="32"/>
      <c r="CC330" s="32"/>
    </row>
    <row r="331" spans="1:8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  <c r="BP331" s="32"/>
      <c r="BQ331" s="32"/>
      <c r="BR331" s="32"/>
      <c r="BS331" s="32"/>
      <c r="BT331" s="32"/>
      <c r="BU331" s="32"/>
      <c r="BV331" s="32"/>
      <c r="BW331" s="32"/>
      <c r="BX331" s="32"/>
      <c r="BY331" s="32"/>
      <c r="BZ331" s="32"/>
      <c r="CA331" s="32"/>
      <c r="CB331" s="32"/>
      <c r="CC331" s="32"/>
    </row>
    <row r="332" spans="1:8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  <c r="BP332" s="32"/>
      <c r="BQ332" s="32"/>
      <c r="BR332" s="32"/>
      <c r="BS332" s="32"/>
      <c r="BT332" s="32"/>
      <c r="BU332" s="32"/>
      <c r="BV332" s="32"/>
      <c r="BW332" s="32"/>
      <c r="BX332" s="32"/>
      <c r="BY332" s="32"/>
      <c r="BZ332" s="32"/>
      <c r="CA332" s="32"/>
      <c r="CB332" s="32"/>
      <c r="CC332" s="32"/>
    </row>
    <row r="333" spans="1:8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  <c r="BP333" s="32"/>
      <c r="BQ333" s="32"/>
      <c r="BR333" s="32"/>
      <c r="BS333" s="32"/>
      <c r="BT333" s="32"/>
      <c r="BU333" s="32"/>
      <c r="BV333" s="32"/>
      <c r="BW333" s="32"/>
      <c r="BX333" s="32"/>
      <c r="BY333" s="32"/>
      <c r="BZ333" s="32"/>
      <c r="CA333" s="32"/>
      <c r="CB333" s="32"/>
      <c r="CC333" s="32"/>
    </row>
    <row r="334" spans="1:8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  <c r="BP334" s="32"/>
      <c r="BQ334" s="32"/>
      <c r="BR334" s="32"/>
      <c r="BS334" s="32"/>
      <c r="BT334" s="32"/>
      <c r="BU334" s="32"/>
      <c r="BV334" s="32"/>
      <c r="BW334" s="32"/>
      <c r="BX334" s="32"/>
      <c r="BY334" s="32"/>
      <c r="BZ334" s="32"/>
      <c r="CA334" s="32"/>
      <c r="CB334" s="32"/>
      <c r="CC334" s="32"/>
    </row>
    <row r="335" spans="1:8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  <c r="BP335" s="32"/>
      <c r="BQ335" s="32"/>
      <c r="BR335" s="32"/>
      <c r="BS335" s="32"/>
      <c r="BT335" s="32"/>
      <c r="BU335" s="32"/>
      <c r="BV335" s="32"/>
      <c r="BW335" s="32"/>
      <c r="BX335" s="32"/>
      <c r="BY335" s="32"/>
      <c r="BZ335" s="32"/>
      <c r="CA335" s="32"/>
      <c r="CB335" s="32"/>
      <c r="CC335" s="32"/>
    </row>
    <row r="336" spans="1:8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  <c r="BP336" s="32"/>
      <c r="BQ336" s="32"/>
      <c r="BR336" s="32"/>
      <c r="BS336" s="32"/>
      <c r="BT336" s="32"/>
      <c r="BU336" s="32"/>
      <c r="BV336" s="32"/>
      <c r="BW336" s="32"/>
      <c r="BX336" s="32"/>
      <c r="BY336" s="32"/>
      <c r="BZ336" s="32"/>
      <c r="CA336" s="32"/>
      <c r="CB336" s="32"/>
      <c r="CC336" s="32"/>
    </row>
    <row r="337" spans="1:8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  <c r="BP337" s="32"/>
      <c r="BQ337" s="32"/>
      <c r="BR337" s="32"/>
      <c r="BS337" s="32"/>
      <c r="BT337" s="32"/>
      <c r="BU337" s="32"/>
      <c r="BV337" s="32"/>
      <c r="BW337" s="32"/>
      <c r="BX337" s="32"/>
      <c r="BY337" s="32"/>
      <c r="BZ337" s="32"/>
      <c r="CA337" s="32"/>
      <c r="CB337" s="32"/>
      <c r="CC337" s="32"/>
    </row>
    <row r="338" spans="1:8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  <c r="BQ338" s="32"/>
      <c r="BR338" s="32"/>
      <c r="BS338" s="32"/>
      <c r="BT338" s="32"/>
      <c r="BU338" s="32"/>
      <c r="BV338" s="32"/>
      <c r="BW338" s="32"/>
      <c r="BX338" s="32"/>
      <c r="BY338" s="32"/>
      <c r="BZ338" s="32"/>
      <c r="CA338" s="32"/>
      <c r="CB338" s="32"/>
      <c r="CC338" s="32"/>
    </row>
    <row r="339" spans="1:8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  <c r="BP339" s="32"/>
      <c r="BQ339" s="32"/>
      <c r="BR339" s="32"/>
      <c r="BS339" s="32"/>
      <c r="BT339" s="32"/>
      <c r="BU339" s="32"/>
      <c r="BV339" s="32"/>
      <c r="BW339" s="32"/>
      <c r="BX339" s="32"/>
      <c r="BY339" s="32"/>
      <c r="BZ339" s="32"/>
      <c r="CA339" s="32"/>
      <c r="CB339" s="32"/>
      <c r="CC339" s="32"/>
    </row>
    <row r="340" spans="1:8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  <c r="BP340" s="32"/>
      <c r="BQ340" s="32"/>
      <c r="BR340" s="32"/>
      <c r="BS340" s="32"/>
      <c r="BT340" s="32"/>
      <c r="BU340" s="32"/>
      <c r="BV340" s="32"/>
      <c r="BW340" s="32"/>
      <c r="BX340" s="32"/>
      <c r="BY340" s="32"/>
      <c r="BZ340" s="32"/>
      <c r="CA340" s="32"/>
      <c r="CB340" s="32"/>
      <c r="CC340" s="32"/>
    </row>
    <row r="341" spans="1:8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  <c r="BP341" s="32"/>
      <c r="BQ341" s="32"/>
      <c r="BR341" s="32"/>
      <c r="BS341" s="32"/>
      <c r="BT341" s="32"/>
      <c r="BU341" s="32"/>
      <c r="BV341" s="32"/>
      <c r="BW341" s="32"/>
      <c r="BX341" s="32"/>
      <c r="BY341" s="32"/>
      <c r="BZ341" s="32"/>
      <c r="CA341" s="32"/>
      <c r="CB341" s="32"/>
      <c r="CC341" s="32"/>
    </row>
    <row r="342" spans="1:8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  <c r="BP342" s="32"/>
      <c r="BQ342" s="32"/>
      <c r="BR342" s="32"/>
      <c r="BS342" s="32"/>
      <c r="BT342" s="32"/>
      <c r="BU342" s="32"/>
      <c r="BV342" s="32"/>
      <c r="BW342" s="32"/>
      <c r="BX342" s="32"/>
      <c r="BY342" s="32"/>
      <c r="BZ342" s="32"/>
      <c r="CA342" s="32"/>
      <c r="CB342" s="32"/>
      <c r="CC342" s="32"/>
    </row>
    <row r="343" spans="1:8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  <c r="BP343" s="32"/>
      <c r="BQ343" s="32"/>
      <c r="BR343" s="32"/>
      <c r="BS343" s="32"/>
      <c r="BT343" s="32"/>
      <c r="BU343" s="32"/>
      <c r="BV343" s="32"/>
      <c r="BW343" s="32"/>
      <c r="BX343" s="32"/>
      <c r="BY343" s="32"/>
      <c r="BZ343" s="32"/>
      <c r="CA343" s="32"/>
      <c r="CB343" s="32"/>
      <c r="CC343" s="32"/>
    </row>
    <row r="344" spans="1:8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  <c r="BP344" s="32"/>
      <c r="BQ344" s="32"/>
      <c r="BR344" s="32"/>
      <c r="BS344" s="32"/>
      <c r="BT344" s="32"/>
      <c r="BU344" s="32"/>
      <c r="BV344" s="32"/>
      <c r="BW344" s="32"/>
      <c r="BX344" s="32"/>
      <c r="BY344" s="32"/>
      <c r="BZ344" s="32"/>
      <c r="CA344" s="32"/>
      <c r="CB344" s="32"/>
      <c r="CC344" s="32"/>
    </row>
    <row r="345" spans="1:8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  <c r="BP345" s="32"/>
      <c r="BQ345" s="32"/>
      <c r="BR345" s="32"/>
      <c r="BS345" s="32"/>
      <c r="BT345" s="32"/>
      <c r="BU345" s="32"/>
      <c r="BV345" s="32"/>
      <c r="BW345" s="32"/>
      <c r="BX345" s="32"/>
      <c r="BY345" s="32"/>
      <c r="BZ345" s="32"/>
      <c r="CA345" s="32"/>
      <c r="CB345" s="32"/>
      <c r="CC345" s="32"/>
    </row>
    <row r="346" spans="1:8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  <c r="BP346" s="32"/>
      <c r="BQ346" s="32"/>
      <c r="BR346" s="32"/>
      <c r="BS346" s="32"/>
      <c r="BT346" s="32"/>
      <c r="BU346" s="32"/>
      <c r="BV346" s="32"/>
      <c r="BW346" s="32"/>
      <c r="BX346" s="32"/>
      <c r="BY346" s="32"/>
      <c r="BZ346" s="32"/>
      <c r="CA346" s="32"/>
      <c r="CB346" s="32"/>
      <c r="CC346" s="32"/>
    </row>
    <row r="347" spans="1:8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  <c r="BP347" s="32"/>
      <c r="BQ347" s="32"/>
      <c r="BR347" s="32"/>
      <c r="BS347" s="32"/>
      <c r="BT347" s="32"/>
      <c r="BU347" s="32"/>
      <c r="BV347" s="32"/>
      <c r="BW347" s="32"/>
      <c r="BX347" s="32"/>
      <c r="BY347" s="32"/>
      <c r="BZ347" s="32"/>
      <c r="CA347" s="32"/>
      <c r="CB347" s="32"/>
      <c r="CC347" s="32"/>
    </row>
    <row r="348" spans="1:8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  <c r="BP348" s="32"/>
      <c r="BQ348" s="32"/>
      <c r="BR348" s="32"/>
      <c r="BS348" s="32"/>
      <c r="BT348" s="32"/>
      <c r="BU348" s="32"/>
      <c r="BV348" s="32"/>
      <c r="BW348" s="32"/>
      <c r="BX348" s="32"/>
      <c r="BY348" s="32"/>
      <c r="BZ348" s="32"/>
      <c r="CA348" s="32"/>
      <c r="CB348" s="32"/>
      <c r="CC348" s="32"/>
    </row>
    <row r="349" spans="1:8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  <c r="BP349" s="32"/>
      <c r="BQ349" s="32"/>
      <c r="BR349" s="32"/>
      <c r="BS349" s="32"/>
      <c r="BT349" s="32"/>
      <c r="BU349" s="32"/>
      <c r="BV349" s="32"/>
      <c r="BW349" s="32"/>
      <c r="BX349" s="32"/>
      <c r="BY349" s="32"/>
      <c r="BZ349" s="32"/>
      <c r="CA349" s="32"/>
      <c r="CB349" s="32"/>
      <c r="CC349" s="32"/>
    </row>
    <row r="350" spans="1:8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  <c r="BP350" s="32"/>
      <c r="BQ350" s="32"/>
      <c r="BR350" s="32"/>
      <c r="BS350" s="32"/>
      <c r="BT350" s="32"/>
      <c r="BU350" s="32"/>
      <c r="BV350" s="32"/>
      <c r="BW350" s="32"/>
      <c r="BX350" s="32"/>
      <c r="BY350" s="32"/>
      <c r="BZ350" s="32"/>
      <c r="CA350" s="32"/>
      <c r="CB350" s="32"/>
      <c r="CC350" s="32"/>
    </row>
    <row r="351" spans="1:8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  <c r="BN351" s="32"/>
      <c r="BO351" s="32"/>
      <c r="BP351" s="32"/>
      <c r="BQ351" s="32"/>
      <c r="BR351" s="32"/>
      <c r="BS351" s="32"/>
      <c r="BT351" s="32"/>
      <c r="BU351" s="32"/>
      <c r="BV351" s="32"/>
      <c r="BW351" s="32"/>
      <c r="BX351" s="32"/>
      <c r="BY351" s="32"/>
      <c r="BZ351" s="32"/>
      <c r="CA351" s="32"/>
      <c r="CB351" s="32"/>
      <c r="CC351" s="32"/>
    </row>
    <row r="352" spans="1:8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32"/>
      <c r="BN352" s="32"/>
      <c r="BO352" s="32"/>
      <c r="BP352" s="32"/>
      <c r="BQ352" s="32"/>
      <c r="BR352" s="32"/>
      <c r="BS352" s="32"/>
      <c r="BT352" s="32"/>
      <c r="BU352" s="32"/>
      <c r="BV352" s="32"/>
      <c r="BW352" s="32"/>
      <c r="BX352" s="32"/>
      <c r="BY352" s="32"/>
      <c r="BZ352" s="32"/>
      <c r="CA352" s="32"/>
      <c r="CB352" s="32"/>
      <c r="CC352" s="32"/>
    </row>
    <row r="353" spans="1:8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32"/>
      <c r="BN353" s="32"/>
      <c r="BO353" s="32"/>
      <c r="BP353" s="32"/>
      <c r="BQ353" s="32"/>
      <c r="BR353" s="32"/>
      <c r="BS353" s="32"/>
      <c r="BT353" s="32"/>
      <c r="BU353" s="32"/>
      <c r="BV353" s="32"/>
      <c r="BW353" s="32"/>
      <c r="BX353" s="32"/>
      <c r="BY353" s="32"/>
      <c r="BZ353" s="32"/>
      <c r="CA353" s="32"/>
      <c r="CB353" s="32"/>
      <c r="CC353" s="32"/>
    </row>
    <row r="354" spans="1:8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BH354" s="32"/>
      <c r="BI354" s="32"/>
      <c r="BJ354" s="32"/>
      <c r="BK354" s="32"/>
      <c r="BL354" s="32"/>
      <c r="BM354" s="32"/>
      <c r="BN354" s="32"/>
      <c r="BO354" s="32"/>
      <c r="BP354" s="32"/>
      <c r="BQ354" s="32"/>
      <c r="BR354" s="32"/>
      <c r="BS354" s="32"/>
      <c r="BT354" s="32"/>
      <c r="BU354" s="32"/>
      <c r="BV354" s="32"/>
      <c r="BW354" s="32"/>
      <c r="BX354" s="32"/>
      <c r="BY354" s="32"/>
      <c r="BZ354" s="32"/>
      <c r="CA354" s="32"/>
      <c r="CB354" s="32"/>
      <c r="CC354" s="32"/>
    </row>
    <row r="355" spans="1:8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  <c r="BG355" s="32"/>
      <c r="BH355" s="32"/>
      <c r="BI355" s="32"/>
      <c r="BJ355" s="32"/>
      <c r="BK355" s="32"/>
      <c r="BL355" s="32"/>
      <c r="BM355" s="32"/>
      <c r="BN355" s="32"/>
      <c r="BO355" s="32"/>
      <c r="BP355" s="32"/>
      <c r="BQ355" s="32"/>
      <c r="BR355" s="32"/>
      <c r="BS355" s="32"/>
      <c r="BT355" s="32"/>
      <c r="BU355" s="32"/>
      <c r="BV355" s="32"/>
      <c r="BW355" s="32"/>
      <c r="BX355" s="32"/>
      <c r="BY355" s="32"/>
      <c r="BZ355" s="32"/>
      <c r="CA355" s="32"/>
      <c r="CB355" s="32"/>
      <c r="CC355" s="32"/>
    </row>
    <row r="356" spans="1:8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BH356" s="32"/>
      <c r="BI356" s="32"/>
      <c r="BJ356" s="32"/>
      <c r="BK356" s="32"/>
      <c r="BL356" s="32"/>
      <c r="BM356" s="32"/>
      <c r="BN356" s="32"/>
      <c r="BO356" s="32"/>
      <c r="BP356" s="32"/>
      <c r="BQ356" s="32"/>
      <c r="BR356" s="32"/>
      <c r="BS356" s="32"/>
      <c r="BT356" s="32"/>
      <c r="BU356" s="32"/>
      <c r="BV356" s="32"/>
      <c r="BW356" s="32"/>
      <c r="BX356" s="32"/>
      <c r="BY356" s="32"/>
      <c r="BZ356" s="32"/>
      <c r="CA356" s="32"/>
      <c r="CB356" s="32"/>
      <c r="CC356" s="32"/>
    </row>
    <row r="357" spans="1:8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  <c r="BG357" s="32"/>
      <c r="BH357" s="32"/>
      <c r="BI357" s="32"/>
      <c r="BJ357" s="32"/>
      <c r="BK357" s="32"/>
      <c r="BL357" s="32"/>
      <c r="BM357" s="32"/>
      <c r="BN357" s="32"/>
      <c r="BO357" s="32"/>
      <c r="BP357" s="32"/>
      <c r="BQ357" s="32"/>
      <c r="BR357" s="32"/>
      <c r="BS357" s="32"/>
      <c r="BT357" s="32"/>
      <c r="BU357" s="32"/>
      <c r="BV357" s="32"/>
      <c r="BW357" s="32"/>
      <c r="BX357" s="32"/>
      <c r="BY357" s="32"/>
      <c r="BZ357" s="32"/>
      <c r="CA357" s="32"/>
      <c r="CB357" s="32"/>
      <c r="CC357" s="32"/>
    </row>
    <row r="358" spans="1:8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  <c r="BN358" s="32"/>
      <c r="BO358" s="32"/>
      <c r="BP358" s="32"/>
      <c r="BQ358" s="32"/>
      <c r="BR358" s="32"/>
      <c r="BS358" s="32"/>
      <c r="BT358" s="32"/>
      <c r="BU358" s="32"/>
      <c r="BV358" s="32"/>
      <c r="BW358" s="32"/>
      <c r="BX358" s="32"/>
      <c r="BY358" s="32"/>
      <c r="BZ358" s="32"/>
      <c r="CA358" s="32"/>
      <c r="CB358" s="32"/>
      <c r="CC358" s="32"/>
    </row>
    <row r="359" spans="1:8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BH359" s="32"/>
      <c r="BI359" s="32"/>
      <c r="BJ359" s="32"/>
      <c r="BK359" s="32"/>
      <c r="BL359" s="32"/>
      <c r="BM359" s="32"/>
      <c r="BN359" s="32"/>
      <c r="BO359" s="32"/>
      <c r="BP359" s="32"/>
      <c r="BQ359" s="32"/>
      <c r="BR359" s="32"/>
      <c r="BS359" s="32"/>
      <c r="BT359" s="32"/>
      <c r="BU359" s="32"/>
      <c r="BV359" s="32"/>
      <c r="BW359" s="32"/>
      <c r="BX359" s="32"/>
      <c r="BY359" s="32"/>
      <c r="BZ359" s="32"/>
      <c r="CA359" s="32"/>
      <c r="CB359" s="32"/>
      <c r="CC359" s="32"/>
    </row>
    <row r="360" spans="1:8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  <c r="BN360" s="32"/>
      <c r="BO360" s="32"/>
      <c r="BP360" s="32"/>
      <c r="BQ360" s="32"/>
      <c r="BR360" s="32"/>
      <c r="BS360" s="32"/>
      <c r="BT360" s="32"/>
      <c r="BU360" s="32"/>
      <c r="BV360" s="32"/>
      <c r="BW360" s="32"/>
      <c r="BX360" s="32"/>
      <c r="BY360" s="32"/>
      <c r="BZ360" s="32"/>
      <c r="CA360" s="32"/>
      <c r="CB360" s="32"/>
      <c r="CC360" s="32"/>
    </row>
    <row r="361" spans="1:8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  <c r="BN361" s="32"/>
      <c r="BO361" s="32"/>
      <c r="BP361" s="32"/>
      <c r="BQ361" s="32"/>
      <c r="BR361" s="32"/>
      <c r="BS361" s="32"/>
      <c r="BT361" s="32"/>
      <c r="BU361" s="32"/>
      <c r="BV361" s="32"/>
      <c r="BW361" s="32"/>
      <c r="BX361" s="32"/>
      <c r="BY361" s="32"/>
      <c r="BZ361" s="32"/>
      <c r="CA361" s="32"/>
      <c r="CB361" s="32"/>
      <c r="CC361" s="32"/>
    </row>
    <row r="362" spans="1:8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  <c r="BG362" s="32"/>
      <c r="BH362" s="32"/>
      <c r="BI362" s="32"/>
      <c r="BJ362" s="32"/>
      <c r="BK362" s="32"/>
      <c r="BL362" s="32"/>
      <c r="BM362" s="32"/>
      <c r="BN362" s="32"/>
      <c r="BO362" s="32"/>
      <c r="BP362" s="32"/>
      <c r="BQ362" s="32"/>
      <c r="BR362" s="32"/>
      <c r="BS362" s="32"/>
      <c r="BT362" s="32"/>
      <c r="BU362" s="32"/>
      <c r="BV362" s="32"/>
      <c r="BW362" s="32"/>
      <c r="BX362" s="32"/>
      <c r="BY362" s="32"/>
      <c r="BZ362" s="32"/>
      <c r="CA362" s="32"/>
      <c r="CB362" s="32"/>
      <c r="CC362" s="32"/>
    </row>
    <row r="363" spans="1:8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  <c r="BN363" s="32"/>
      <c r="BO363" s="32"/>
      <c r="BP363" s="32"/>
      <c r="BQ363" s="32"/>
      <c r="BR363" s="32"/>
      <c r="BS363" s="32"/>
      <c r="BT363" s="32"/>
      <c r="BU363" s="32"/>
      <c r="BV363" s="32"/>
      <c r="BW363" s="32"/>
      <c r="BX363" s="32"/>
      <c r="BY363" s="32"/>
      <c r="BZ363" s="32"/>
      <c r="CA363" s="32"/>
      <c r="CB363" s="32"/>
      <c r="CC363" s="32"/>
    </row>
    <row r="364" spans="1:8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  <c r="BM364" s="32"/>
      <c r="BN364" s="32"/>
      <c r="BO364" s="32"/>
      <c r="BP364" s="32"/>
      <c r="BQ364" s="32"/>
      <c r="BR364" s="32"/>
      <c r="BS364" s="32"/>
      <c r="BT364" s="32"/>
      <c r="BU364" s="32"/>
      <c r="BV364" s="32"/>
      <c r="BW364" s="32"/>
      <c r="BX364" s="32"/>
      <c r="BY364" s="32"/>
      <c r="BZ364" s="32"/>
      <c r="CA364" s="32"/>
      <c r="CB364" s="32"/>
      <c r="CC364" s="32"/>
    </row>
    <row r="365" spans="1:8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  <c r="BM365" s="32"/>
      <c r="BN365" s="32"/>
      <c r="BO365" s="32"/>
      <c r="BP365" s="32"/>
      <c r="BQ365" s="32"/>
      <c r="BR365" s="32"/>
      <c r="BS365" s="32"/>
      <c r="BT365" s="32"/>
      <c r="BU365" s="32"/>
      <c r="BV365" s="32"/>
      <c r="BW365" s="32"/>
      <c r="BX365" s="32"/>
      <c r="BY365" s="32"/>
      <c r="BZ365" s="32"/>
      <c r="CA365" s="32"/>
      <c r="CB365" s="32"/>
      <c r="CC365" s="32"/>
    </row>
    <row r="366" spans="1:8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  <c r="BG366" s="32"/>
      <c r="BH366" s="32"/>
      <c r="BI366" s="32"/>
      <c r="BJ366" s="32"/>
      <c r="BK366" s="32"/>
      <c r="BL366" s="32"/>
      <c r="BM366" s="32"/>
      <c r="BN366" s="32"/>
      <c r="BO366" s="32"/>
      <c r="BP366" s="32"/>
      <c r="BQ366" s="32"/>
      <c r="BR366" s="32"/>
      <c r="BS366" s="32"/>
      <c r="BT366" s="32"/>
      <c r="BU366" s="32"/>
      <c r="BV366" s="32"/>
      <c r="BW366" s="32"/>
      <c r="BX366" s="32"/>
      <c r="BY366" s="32"/>
      <c r="BZ366" s="32"/>
      <c r="CA366" s="32"/>
      <c r="CB366" s="32"/>
      <c r="CC366" s="32"/>
    </row>
    <row r="367" spans="1:8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  <c r="BG367" s="32"/>
      <c r="BH367" s="32"/>
      <c r="BI367" s="32"/>
      <c r="BJ367" s="32"/>
      <c r="BK367" s="32"/>
      <c r="BL367" s="32"/>
      <c r="BM367" s="32"/>
      <c r="BN367" s="32"/>
      <c r="BO367" s="32"/>
      <c r="BP367" s="32"/>
      <c r="BQ367" s="32"/>
      <c r="BR367" s="32"/>
      <c r="BS367" s="32"/>
      <c r="BT367" s="32"/>
      <c r="BU367" s="32"/>
      <c r="BV367" s="32"/>
      <c r="BW367" s="32"/>
      <c r="BX367" s="32"/>
      <c r="BY367" s="32"/>
      <c r="BZ367" s="32"/>
      <c r="CA367" s="32"/>
      <c r="CB367" s="32"/>
      <c r="CC367" s="32"/>
    </row>
    <row r="368" spans="1:8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  <c r="BM368" s="32"/>
      <c r="BN368" s="32"/>
      <c r="BO368" s="32"/>
      <c r="BP368" s="32"/>
      <c r="BQ368" s="32"/>
      <c r="BR368" s="32"/>
      <c r="BS368" s="32"/>
      <c r="BT368" s="32"/>
      <c r="BU368" s="32"/>
      <c r="BV368" s="32"/>
      <c r="BW368" s="32"/>
      <c r="BX368" s="32"/>
      <c r="BY368" s="32"/>
      <c r="BZ368" s="32"/>
      <c r="CA368" s="32"/>
      <c r="CB368" s="32"/>
      <c r="CC368" s="32"/>
    </row>
    <row r="369" spans="1:8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  <c r="BN369" s="32"/>
      <c r="BO369" s="32"/>
      <c r="BP369" s="32"/>
      <c r="BQ369" s="32"/>
      <c r="BR369" s="32"/>
      <c r="BS369" s="32"/>
      <c r="BT369" s="32"/>
      <c r="BU369" s="32"/>
      <c r="BV369" s="32"/>
      <c r="BW369" s="32"/>
      <c r="BX369" s="32"/>
      <c r="BY369" s="32"/>
      <c r="BZ369" s="32"/>
      <c r="CA369" s="32"/>
      <c r="CB369" s="32"/>
      <c r="CC369" s="32"/>
    </row>
    <row r="370" spans="1:8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  <c r="BN370" s="32"/>
      <c r="BO370" s="32"/>
      <c r="BP370" s="32"/>
      <c r="BQ370" s="32"/>
      <c r="BR370" s="32"/>
      <c r="BS370" s="32"/>
      <c r="BT370" s="32"/>
      <c r="BU370" s="32"/>
      <c r="BV370" s="32"/>
      <c r="BW370" s="32"/>
      <c r="BX370" s="32"/>
      <c r="BY370" s="32"/>
      <c r="BZ370" s="32"/>
      <c r="CA370" s="32"/>
      <c r="CB370" s="32"/>
      <c r="CC370" s="32"/>
    </row>
    <row r="371" spans="1:8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  <c r="BN371" s="32"/>
      <c r="BO371" s="32"/>
      <c r="BP371" s="32"/>
      <c r="BQ371" s="32"/>
      <c r="BR371" s="32"/>
      <c r="BS371" s="32"/>
      <c r="BT371" s="32"/>
      <c r="BU371" s="32"/>
      <c r="BV371" s="32"/>
      <c r="BW371" s="32"/>
      <c r="BX371" s="32"/>
      <c r="BY371" s="32"/>
      <c r="BZ371" s="32"/>
      <c r="CA371" s="32"/>
      <c r="CB371" s="32"/>
      <c r="CC371" s="32"/>
    </row>
    <row r="372" spans="1:8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BH372" s="32"/>
      <c r="BI372" s="32"/>
      <c r="BJ372" s="32"/>
      <c r="BK372" s="32"/>
      <c r="BL372" s="32"/>
      <c r="BM372" s="32"/>
      <c r="BN372" s="32"/>
      <c r="BO372" s="32"/>
      <c r="BP372" s="32"/>
      <c r="BQ372" s="32"/>
      <c r="BR372" s="32"/>
      <c r="BS372" s="32"/>
      <c r="BT372" s="32"/>
      <c r="BU372" s="32"/>
      <c r="BV372" s="32"/>
      <c r="BW372" s="32"/>
      <c r="BX372" s="32"/>
      <c r="BY372" s="32"/>
      <c r="BZ372" s="32"/>
      <c r="CA372" s="32"/>
      <c r="CB372" s="32"/>
      <c r="CC372" s="32"/>
    </row>
    <row r="373" spans="1:8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BH373" s="32"/>
      <c r="BI373" s="32"/>
      <c r="BJ373" s="32"/>
      <c r="BK373" s="32"/>
      <c r="BL373" s="32"/>
      <c r="BM373" s="32"/>
      <c r="BN373" s="32"/>
      <c r="BO373" s="32"/>
      <c r="BP373" s="32"/>
      <c r="BQ373" s="32"/>
      <c r="BR373" s="32"/>
      <c r="BS373" s="32"/>
      <c r="BT373" s="32"/>
      <c r="BU373" s="32"/>
      <c r="BV373" s="32"/>
      <c r="BW373" s="32"/>
      <c r="BX373" s="32"/>
      <c r="BY373" s="32"/>
      <c r="BZ373" s="32"/>
      <c r="CA373" s="32"/>
      <c r="CB373" s="32"/>
      <c r="CC373" s="32"/>
    </row>
    <row r="374" spans="1:8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BH374" s="32"/>
      <c r="BI374" s="32"/>
      <c r="BJ374" s="32"/>
      <c r="BK374" s="32"/>
      <c r="BL374" s="32"/>
      <c r="BM374" s="32"/>
      <c r="BN374" s="32"/>
      <c r="BO374" s="32"/>
      <c r="BP374" s="32"/>
      <c r="BQ374" s="32"/>
      <c r="BR374" s="32"/>
      <c r="BS374" s="32"/>
      <c r="BT374" s="32"/>
      <c r="BU374" s="32"/>
      <c r="BV374" s="32"/>
      <c r="BW374" s="32"/>
      <c r="BX374" s="32"/>
      <c r="BY374" s="32"/>
      <c r="BZ374" s="32"/>
      <c r="CA374" s="32"/>
      <c r="CB374" s="32"/>
      <c r="CC374" s="32"/>
    </row>
    <row r="375" spans="1:8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  <c r="BG375" s="32"/>
      <c r="BH375" s="32"/>
      <c r="BI375" s="32"/>
      <c r="BJ375" s="32"/>
      <c r="BK375" s="32"/>
      <c r="BL375" s="32"/>
      <c r="BM375" s="32"/>
      <c r="BN375" s="32"/>
      <c r="BO375" s="32"/>
      <c r="BP375" s="32"/>
      <c r="BQ375" s="32"/>
      <c r="BR375" s="32"/>
      <c r="BS375" s="32"/>
      <c r="BT375" s="32"/>
      <c r="BU375" s="32"/>
      <c r="BV375" s="32"/>
      <c r="BW375" s="32"/>
      <c r="BX375" s="32"/>
      <c r="BY375" s="32"/>
      <c r="BZ375" s="32"/>
      <c r="CA375" s="32"/>
      <c r="CB375" s="32"/>
      <c r="CC375" s="32"/>
    </row>
    <row r="376" spans="1:8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  <c r="BP376" s="32"/>
      <c r="BQ376" s="32"/>
      <c r="BR376" s="32"/>
      <c r="BS376" s="32"/>
      <c r="BT376" s="32"/>
      <c r="BU376" s="32"/>
      <c r="BV376" s="32"/>
      <c r="BW376" s="32"/>
      <c r="BX376" s="32"/>
      <c r="BY376" s="32"/>
      <c r="BZ376" s="32"/>
      <c r="CA376" s="32"/>
      <c r="CB376" s="32"/>
      <c r="CC376" s="32"/>
    </row>
    <row r="377" spans="1:8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  <c r="BG377" s="32"/>
      <c r="BH377" s="32"/>
      <c r="BI377" s="32"/>
      <c r="BJ377" s="32"/>
      <c r="BK377" s="32"/>
      <c r="BL377" s="32"/>
      <c r="BM377" s="32"/>
      <c r="BN377" s="32"/>
      <c r="BO377" s="32"/>
      <c r="BP377" s="32"/>
      <c r="BQ377" s="32"/>
      <c r="BR377" s="32"/>
      <c r="BS377" s="32"/>
      <c r="BT377" s="32"/>
      <c r="BU377" s="32"/>
      <c r="BV377" s="32"/>
      <c r="BW377" s="32"/>
      <c r="BX377" s="32"/>
      <c r="BY377" s="32"/>
      <c r="BZ377" s="32"/>
      <c r="CA377" s="32"/>
      <c r="CB377" s="32"/>
      <c r="CC377" s="32"/>
    </row>
    <row r="378" spans="1:8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BH378" s="32"/>
      <c r="BI378" s="32"/>
      <c r="BJ378" s="32"/>
      <c r="BK378" s="32"/>
      <c r="BL378" s="32"/>
      <c r="BM378" s="32"/>
      <c r="BN378" s="32"/>
      <c r="BO378" s="32"/>
      <c r="BP378" s="32"/>
      <c r="BQ378" s="32"/>
      <c r="BR378" s="32"/>
      <c r="BS378" s="32"/>
      <c r="BT378" s="32"/>
      <c r="BU378" s="32"/>
      <c r="BV378" s="32"/>
      <c r="BW378" s="32"/>
      <c r="BX378" s="32"/>
      <c r="BY378" s="32"/>
      <c r="BZ378" s="32"/>
      <c r="CA378" s="32"/>
      <c r="CB378" s="32"/>
      <c r="CC378" s="32"/>
    </row>
    <row r="379" spans="1:8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  <c r="BG379" s="32"/>
      <c r="BH379" s="32"/>
      <c r="BI379" s="32"/>
      <c r="BJ379" s="32"/>
      <c r="BK379" s="32"/>
      <c r="BL379" s="32"/>
      <c r="BM379" s="32"/>
      <c r="BN379" s="32"/>
      <c r="BO379" s="32"/>
      <c r="BP379" s="32"/>
      <c r="BQ379" s="32"/>
      <c r="BR379" s="32"/>
      <c r="BS379" s="32"/>
      <c r="BT379" s="32"/>
      <c r="BU379" s="32"/>
      <c r="BV379" s="32"/>
      <c r="BW379" s="32"/>
      <c r="BX379" s="32"/>
      <c r="BY379" s="32"/>
      <c r="BZ379" s="32"/>
      <c r="CA379" s="32"/>
      <c r="CB379" s="32"/>
      <c r="CC379" s="32"/>
    </row>
    <row r="380" spans="1:8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BH380" s="32"/>
      <c r="BI380" s="32"/>
      <c r="BJ380" s="32"/>
      <c r="BK380" s="32"/>
      <c r="BL380" s="32"/>
      <c r="BM380" s="32"/>
      <c r="BN380" s="32"/>
      <c r="BO380" s="32"/>
      <c r="BP380" s="32"/>
      <c r="BQ380" s="32"/>
      <c r="BR380" s="32"/>
      <c r="BS380" s="32"/>
      <c r="BT380" s="32"/>
      <c r="BU380" s="32"/>
      <c r="BV380" s="32"/>
      <c r="BW380" s="32"/>
      <c r="BX380" s="32"/>
      <c r="BY380" s="32"/>
      <c r="BZ380" s="32"/>
      <c r="CA380" s="32"/>
      <c r="CB380" s="32"/>
      <c r="CC380" s="32"/>
    </row>
    <row r="381" spans="1: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  <c r="BG381" s="32"/>
      <c r="BH381" s="32"/>
      <c r="BI381" s="32"/>
      <c r="BJ381" s="32"/>
      <c r="BK381" s="32"/>
      <c r="BL381" s="32"/>
      <c r="BM381" s="32"/>
      <c r="BN381" s="32"/>
      <c r="BO381" s="32"/>
      <c r="BP381" s="32"/>
      <c r="BQ381" s="32"/>
      <c r="BR381" s="32"/>
      <c r="BS381" s="32"/>
      <c r="BT381" s="32"/>
      <c r="BU381" s="32"/>
      <c r="BV381" s="32"/>
      <c r="BW381" s="32"/>
      <c r="BX381" s="32"/>
      <c r="BY381" s="32"/>
      <c r="BZ381" s="32"/>
      <c r="CA381" s="32"/>
      <c r="CB381" s="32"/>
      <c r="CC381" s="32"/>
    </row>
    <row r="382" spans="1:8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  <c r="BG382" s="32"/>
      <c r="BH382" s="32"/>
      <c r="BI382" s="32"/>
      <c r="BJ382" s="32"/>
      <c r="BK382" s="32"/>
      <c r="BL382" s="32"/>
      <c r="BM382" s="32"/>
      <c r="BN382" s="32"/>
      <c r="BO382" s="32"/>
      <c r="BP382" s="32"/>
      <c r="BQ382" s="32"/>
      <c r="BR382" s="32"/>
      <c r="BS382" s="32"/>
      <c r="BT382" s="32"/>
      <c r="BU382" s="32"/>
      <c r="BV382" s="32"/>
      <c r="BW382" s="32"/>
      <c r="BX382" s="32"/>
      <c r="BY382" s="32"/>
      <c r="BZ382" s="32"/>
      <c r="CA382" s="32"/>
      <c r="CB382" s="32"/>
      <c r="CC382" s="32"/>
    </row>
    <row r="383" spans="1:8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  <c r="BG383" s="32"/>
      <c r="BH383" s="32"/>
      <c r="BI383" s="32"/>
      <c r="BJ383" s="32"/>
      <c r="BK383" s="32"/>
      <c r="BL383" s="32"/>
      <c r="BM383" s="32"/>
      <c r="BN383" s="32"/>
      <c r="BO383" s="32"/>
      <c r="BP383" s="32"/>
      <c r="BQ383" s="32"/>
      <c r="BR383" s="32"/>
      <c r="BS383" s="32"/>
      <c r="BT383" s="32"/>
      <c r="BU383" s="32"/>
      <c r="BV383" s="32"/>
      <c r="BW383" s="32"/>
      <c r="BX383" s="32"/>
      <c r="BY383" s="32"/>
      <c r="BZ383" s="32"/>
      <c r="CA383" s="32"/>
      <c r="CB383" s="32"/>
      <c r="CC383" s="32"/>
    </row>
    <row r="384" spans="1:8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  <c r="BG384" s="32"/>
      <c r="BH384" s="32"/>
      <c r="BI384" s="32"/>
      <c r="BJ384" s="32"/>
      <c r="BK384" s="32"/>
      <c r="BL384" s="32"/>
      <c r="BM384" s="32"/>
      <c r="BN384" s="32"/>
      <c r="BO384" s="32"/>
      <c r="BP384" s="32"/>
      <c r="BQ384" s="32"/>
      <c r="BR384" s="32"/>
      <c r="BS384" s="32"/>
      <c r="BT384" s="32"/>
      <c r="BU384" s="32"/>
      <c r="BV384" s="32"/>
      <c r="BW384" s="32"/>
      <c r="BX384" s="32"/>
      <c r="BY384" s="32"/>
      <c r="BZ384" s="32"/>
      <c r="CA384" s="32"/>
      <c r="CB384" s="32"/>
      <c r="CC384" s="32"/>
    </row>
    <row r="385" spans="1:8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  <c r="BF385" s="32"/>
      <c r="BG385" s="32"/>
      <c r="BH385" s="32"/>
      <c r="BI385" s="32"/>
      <c r="BJ385" s="32"/>
      <c r="BK385" s="32"/>
      <c r="BL385" s="32"/>
      <c r="BM385" s="32"/>
      <c r="BN385" s="32"/>
      <c r="BO385" s="32"/>
      <c r="BP385" s="32"/>
      <c r="BQ385" s="32"/>
      <c r="BR385" s="32"/>
      <c r="BS385" s="32"/>
      <c r="BT385" s="32"/>
      <c r="BU385" s="32"/>
      <c r="BV385" s="32"/>
      <c r="BW385" s="32"/>
      <c r="BX385" s="32"/>
      <c r="BY385" s="32"/>
      <c r="BZ385" s="32"/>
      <c r="CA385" s="32"/>
      <c r="CB385" s="32"/>
      <c r="CC385" s="32"/>
    </row>
    <row r="386" spans="1:8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  <c r="BG386" s="32"/>
      <c r="BH386" s="32"/>
      <c r="BI386" s="32"/>
      <c r="BJ386" s="32"/>
      <c r="BK386" s="32"/>
      <c r="BL386" s="32"/>
      <c r="BM386" s="32"/>
      <c r="BN386" s="32"/>
      <c r="BO386" s="32"/>
      <c r="BP386" s="32"/>
      <c r="BQ386" s="32"/>
      <c r="BR386" s="32"/>
      <c r="BS386" s="32"/>
      <c r="BT386" s="32"/>
      <c r="BU386" s="32"/>
      <c r="BV386" s="32"/>
      <c r="BW386" s="32"/>
      <c r="BX386" s="32"/>
      <c r="BY386" s="32"/>
      <c r="BZ386" s="32"/>
      <c r="CA386" s="32"/>
      <c r="CB386" s="32"/>
      <c r="CC386" s="32"/>
    </row>
    <row r="387" spans="1:8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  <c r="BG387" s="32"/>
      <c r="BH387" s="32"/>
      <c r="BI387" s="32"/>
      <c r="BJ387" s="32"/>
      <c r="BK387" s="32"/>
      <c r="BL387" s="32"/>
      <c r="BM387" s="32"/>
      <c r="BN387" s="32"/>
      <c r="BO387" s="32"/>
      <c r="BP387" s="32"/>
      <c r="BQ387" s="32"/>
      <c r="BR387" s="32"/>
      <c r="BS387" s="32"/>
      <c r="BT387" s="32"/>
      <c r="BU387" s="32"/>
      <c r="BV387" s="32"/>
      <c r="BW387" s="32"/>
      <c r="BX387" s="32"/>
      <c r="BY387" s="32"/>
      <c r="BZ387" s="32"/>
      <c r="CA387" s="32"/>
      <c r="CB387" s="32"/>
      <c r="CC387" s="32"/>
    </row>
    <row r="388" spans="1:8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BH388" s="32"/>
      <c r="BI388" s="32"/>
      <c r="BJ388" s="32"/>
      <c r="BK388" s="32"/>
      <c r="BL388" s="32"/>
      <c r="BM388" s="32"/>
      <c r="BN388" s="32"/>
      <c r="BO388" s="32"/>
      <c r="BP388" s="32"/>
      <c r="BQ388" s="32"/>
      <c r="BR388" s="32"/>
      <c r="BS388" s="32"/>
      <c r="BT388" s="32"/>
      <c r="BU388" s="32"/>
      <c r="BV388" s="32"/>
      <c r="BW388" s="32"/>
      <c r="BX388" s="32"/>
      <c r="BY388" s="32"/>
      <c r="BZ388" s="32"/>
      <c r="CA388" s="32"/>
      <c r="CB388" s="32"/>
      <c r="CC388" s="32"/>
    </row>
    <row r="389" spans="1:8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BH389" s="32"/>
      <c r="BI389" s="32"/>
      <c r="BJ389" s="32"/>
      <c r="BK389" s="32"/>
      <c r="BL389" s="32"/>
      <c r="BM389" s="32"/>
      <c r="BN389" s="32"/>
      <c r="BO389" s="32"/>
      <c r="BP389" s="32"/>
      <c r="BQ389" s="32"/>
      <c r="BR389" s="32"/>
      <c r="BS389" s="32"/>
      <c r="BT389" s="32"/>
      <c r="BU389" s="32"/>
      <c r="BV389" s="32"/>
      <c r="BW389" s="32"/>
      <c r="BX389" s="32"/>
      <c r="BY389" s="32"/>
      <c r="BZ389" s="32"/>
      <c r="CA389" s="32"/>
      <c r="CB389" s="32"/>
      <c r="CC389" s="32"/>
    </row>
    <row r="390" spans="1:8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  <c r="BG390" s="32"/>
      <c r="BH390" s="32"/>
      <c r="BI390" s="32"/>
      <c r="BJ390" s="32"/>
      <c r="BK390" s="32"/>
      <c r="BL390" s="32"/>
      <c r="BM390" s="32"/>
      <c r="BN390" s="32"/>
      <c r="BO390" s="32"/>
      <c r="BP390" s="32"/>
      <c r="BQ390" s="32"/>
      <c r="BR390" s="32"/>
      <c r="BS390" s="32"/>
      <c r="BT390" s="32"/>
      <c r="BU390" s="32"/>
      <c r="BV390" s="32"/>
      <c r="BW390" s="32"/>
      <c r="BX390" s="32"/>
      <c r="BY390" s="32"/>
      <c r="BZ390" s="32"/>
      <c r="CA390" s="32"/>
      <c r="CB390" s="32"/>
      <c r="CC390" s="32"/>
    </row>
    <row r="391" spans="1:8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  <c r="BG391" s="32"/>
      <c r="BH391" s="32"/>
      <c r="BI391" s="32"/>
      <c r="BJ391" s="32"/>
      <c r="BK391" s="32"/>
      <c r="BL391" s="32"/>
      <c r="BM391" s="32"/>
      <c r="BN391" s="32"/>
      <c r="BO391" s="32"/>
      <c r="BP391" s="32"/>
      <c r="BQ391" s="32"/>
      <c r="BR391" s="32"/>
      <c r="BS391" s="32"/>
      <c r="BT391" s="32"/>
      <c r="BU391" s="32"/>
      <c r="BV391" s="32"/>
      <c r="BW391" s="32"/>
      <c r="BX391" s="32"/>
      <c r="BY391" s="32"/>
      <c r="BZ391" s="32"/>
      <c r="CA391" s="32"/>
      <c r="CB391" s="32"/>
      <c r="CC391" s="32"/>
    </row>
    <row r="392" spans="1:8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  <c r="BG392" s="32"/>
      <c r="BH392" s="32"/>
      <c r="BI392" s="32"/>
      <c r="BJ392" s="32"/>
      <c r="BK392" s="32"/>
      <c r="BL392" s="32"/>
      <c r="BM392" s="32"/>
      <c r="BN392" s="32"/>
      <c r="BO392" s="32"/>
      <c r="BP392" s="32"/>
      <c r="BQ392" s="32"/>
      <c r="BR392" s="32"/>
      <c r="BS392" s="32"/>
      <c r="BT392" s="32"/>
      <c r="BU392" s="32"/>
      <c r="BV392" s="32"/>
      <c r="BW392" s="32"/>
      <c r="BX392" s="32"/>
      <c r="BY392" s="32"/>
      <c r="BZ392" s="32"/>
      <c r="CA392" s="32"/>
      <c r="CB392" s="32"/>
      <c r="CC392" s="32"/>
    </row>
    <row r="393" spans="1:8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  <c r="BG393" s="32"/>
      <c r="BH393" s="32"/>
      <c r="BI393" s="32"/>
      <c r="BJ393" s="32"/>
      <c r="BK393" s="32"/>
      <c r="BL393" s="32"/>
      <c r="BM393" s="32"/>
      <c r="BN393" s="32"/>
      <c r="BO393" s="32"/>
      <c r="BP393" s="32"/>
      <c r="BQ393" s="32"/>
      <c r="BR393" s="32"/>
      <c r="BS393" s="32"/>
      <c r="BT393" s="32"/>
      <c r="BU393" s="32"/>
      <c r="BV393" s="32"/>
      <c r="BW393" s="32"/>
      <c r="BX393" s="32"/>
      <c r="BY393" s="32"/>
      <c r="BZ393" s="32"/>
      <c r="CA393" s="32"/>
      <c r="CB393" s="32"/>
      <c r="CC393" s="32"/>
    </row>
    <row r="394" spans="1:8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  <c r="BG394" s="32"/>
      <c r="BH394" s="32"/>
      <c r="BI394" s="32"/>
      <c r="BJ394" s="32"/>
      <c r="BK394" s="32"/>
      <c r="BL394" s="32"/>
      <c r="BM394" s="32"/>
      <c r="BN394" s="32"/>
      <c r="BO394" s="32"/>
      <c r="BP394" s="32"/>
      <c r="BQ394" s="32"/>
      <c r="BR394" s="32"/>
      <c r="BS394" s="32"/>
      <c r="BT394" s="32"/>
      <c r="BU394" s="32"/>
      <c r="BV394" s="32"/>
      <c r="BW394" s="32"/>
      <c r="BX394" s="32"/>
      <c r="BY394" s="32"/>
      <c r="BZ394" s="32"/>
      <c r="CA394" s="32"/>
      <c r="CB394" s="32"/>
      <c r="CC394" s="32"/>
    </row>
    <row r="395" spans="1:8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  <c r="BG395" s="32"/>
      <c r="BH395" s="32"/>
      <c r="BI395" s="32"/>
      <c r="BJ395" s="32"/>
      <c r="BK395" s="32"/>
      <c r="BL395" s="32"/>
      <c r="BM395" s="32"/>
      <c r="BN395" s="32"/>
      <c r="BO395" s="32"/>
      <c r="BP395" s="32"/>
      <c r="BQ395" s="32"/>
      <c r="BR395" s="32"/>
      <c r="BS395" s="32"/>
      <c r="BT395" s="32"/>
      <c r="BU395" s="32"/>
      <c r="BV395" s="32"/>
      <c r="BW395" s="32"/>
      <c r="BX395" s="32"/>
      <c r="BY395" s="32"/>
      <c r="BZ395" s="32"/>
      <c r="CA395" s="32"/>
      <c r="CB395" s="32"/>
      <c r="CC395" s="32"/>
    </row>
    <row r="396" spans="1:8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  <c r="BG396" s="32"/>
      <c r="BH396" s="32"/>
      <c r="BI396" s="32"/>
      <c r="BJ396" s="32"/>
      <c r="BK396" s="32"/>
      <c r="BL396" s="32"/>
      <c r="BM396" s="32"/>
      <c r="BN396" s="32"/>
      <c r="BO396" s="32"/>
      <c r="BP396" s="32"/>
      <c r="BQ396" s="32"/>
      <c r="BR396" s="32"/>
      <c r="BS396" s="32"/>
      <c r="BT396" s="32"/>
      <c r="BU396" s="32"/>
      <c r="BV396" s="32"/>
      <c r="BW396" s="32"/>
      <c r="BX396" s="32"/>
      <c r="BY396" s="32"/>
      <c r="BZ396" s="32"/>
      <c r="CA396" s="32"/>
      <c r="CB396" s="32"/>
      <c r="CC396" s="32"/>
    </row>
    <row r="397" spans="1:8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  <c r="BG397" s="32"/>
      <c r="BH397" s="32"/>
      <c r="BI397" s="32"/>
      <c r="BJ397" s="32"/>
      <c r="BK397" s="32"/>
      <c r="BL397" s="32"/>
      <c r="BM397" s="32"/>
      <c r="BN397" s="32"/>
      <c r="BO397" s="32"/>
      <c r="BP397" s="32"/>
      <c r="BQ397" s="32"/>
      <c r="BR397" s="32"/>
      <c r="BS397" s="32"/>
      <c r="BT397" s="32"/>
      <c r="BU397" s="32"/>
      <c r="BV397" s="32"/>
      <c r="BW397" s="32"/>
      <c r="BX397" s="32"/>
      <c r="BY397" s="32"/>
      <c r="BZ397" s="32"/>
      <c r="CA397" s="32"/>
      <c r="CB397" s="32"/>
      <c r="CC397" s="32"/>
    </row>
    <row r="398" spans="1:8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  <c r="BG398" s="32"/>
      <c r="BH398" s="32"/>
      <c r="BI398" s="32"/>
      <c r="BJ398" s="32"/>
      <c r="BK398" s="32"/>
      <c r="BL398" s="32"/>
      <c r="BM398" s="32"/>
      <c r="BN398" s="32"/>
      <c r="BO398" s="32"/>
      <c r="BP398" s="32"/>
      <c r="BQ398" s="32"/>
      <c r="BR398" s="32"/>
      <c r="BS398" s="32"/>
      <c r="BT398" s="32"/>
      <c r="BU398" s="32"/>
      <c r="BV398" s="32"/>
      <c r="BW398" s="32"/>
      <c r="BX398" s="32"/>
      <c r="BY398" s="32"/>
      <c r="BZ398" s="32"/>
      <c r="CA398" s="32"/>
      <c r="CB398" s="32"/>
      <c r="CC398" s="32"/>
    </row>
    <row r="399" spans="1:8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  <c r="BG399" s="32"/>
      <c r="BH399" s="32"/>
      <c r="BI399" s="32"/>
      <c r="BJ399" s="32"/>
      <c r="BK399" s="32"/>
      <c r="BL399" s="32"/>
      <c r="BM399" s="32"/>
      <c r="BN399" s="32"/>
      <c r="BO399" s="32"/>
      <c r="BP399" s="32"/>
      <c r="BQ399" s="32"/>
      <c r="BR399" s="32"/>
      <c r="BS399" s="32"/>
      <c r="BT399" s="32"/>
      <c r="BU399" s="32"/>
      <c r="BV399" s="32"/>
      <c r="BW399" s="32"/>
      <c r="BX399" s="32"/>
      <c r="BY399" s="32"/>
      <c r="BZ399" s="32"/>
      <c r="CA399" s="32"/>
      <c r="CB399" s="32"/>
      <c r="CC399" s="32"/>
    </row>
    <row r="400" spans="1:8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  <c r="BF400" s="32"/>
      <c r="BG400" s="32"/>
      <c r="BH400" s="32"/>
      <c r="BI400" s="32"/>
      <c r="BJ400" s="32"/>
      <c r="BK400" s="32"/>
      <c r="BL400" s="32"/>
      <c r="BM400" s="32"/>
      <c r="BN400" s="32"/>
      <c r="BO400" s="32"/>
      <c r="BP400" s="32"/>
      <c r="BQ400" s="32"/>
      <c r="BR400" s="32"/>
      <c r="BS400" s="32"/>
      <c r="BT400" s="32"/>
      <c r="BU400" s="32"/>
      <c r="BV400" s="32"/>
      <c r="BW400" s="32"/>
      <c r="BX400" s="32"/>
      <c r="BY400" s="32"/>
      <c r="BZ400" s="32"/>
      <c r="CA400" s="32"/>
      <c r="CB400" s="32"/>
      <c r="CC400" s="32"/>
    </row>
    <row r="401" spans="1:8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  <c r="BF401" s="32"/>
      <c r="BG401" s="32"/>
      <c r="BH401" s="32"/>
      <c r="BI401" s="32"/>
      <c r="BJ401" s="32"/>
      <c r="BK401" s="32"/>
      <c r="BL401" s="32"/>
      <c r="BM401" s="32"/>
      <c r="BN401" s="32"/>
      <c r="BO401" s="32"/>
      <c r="BP401" s="32"/>
      <c r="BQ401" s="32"/>
      <c r="BR401" s="32"/>
      <c r="BS401" s="32"/>
      <c r="BT401" s="32"/>
      <c r="BU401" s="32"/>
      <c r="BV401" s="32"/>
      <c r="BW401" s="32"/>
      <c r="BX401" s="32"/>
      <c r="BY401" s="32"/>
      <c r="BZ401" s="32"/>
      <c r="CA401" s="32"/>
      <c r="CB401" s="32"/>
      <c r="CC401" s="32"/>
    </row>
    <row r="402" spans="1:8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  <c r="BE402" s="32"/>
      <c r="BF402" s="32"/>
      <c r="BG402" s="32"/>
      <c r="BH402" s="32"/>
      <c r="BI402" s="32"/>
      <c r="BJ402" s="32"/>
      <c r="BK402" s="32"/>
      <c r="BL402" s="32"/>
      <c r="BM402" s="32"/>
      <c r="BN402" s="32"/>
      <c r="BO402" s="32"/>
      <c r="BP402" s="32"/>
      <c r="BQ402" s="32"/>
      <c r="BR402" s="32"/>
      <c r="BS402" s="32"/>
      <c r="BT402" s="32"/>
      <c r="BU402" s="32"/>
      <c r="BV402" s="32"/>
      <c r="BW402" s="32"/>
      <c r="BX402" s="32"/>
      <c r="BY402" s="32"/>
      <c r="BZ402" s="32"/>
      <c r="CA402" s="32"/>
      <c r="CB402" s="32"/>
      <c r="CC402" s="32"/>
    </row>
    <row r="403" spans="1:8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  <c r="BG403" s="32"/>
      <c r="BH403" s="32"/>
      <c r="BI403" s="32"/>
      <c r="BJ403" s="32"/>
      <c r="BK403" s="32"/>
      <c r="BL403" s="32"/>
      <c r="BM403" s="32"/>
      <c r="BN403" s="32"/>
      <c r="BO403" s="32"/>
      <c r="BP403" s="32"/>
      <c r="BQ403" s="32"/>
      <c r="BR403" s="32"/>
      <c r="BS403" s="32"/>
      <c r="BT403" s="32"/>
      <c r="BU403" s="32"/>
      <c r="BV403" s="32"/>
      <c r="BW403" s="32"/>
      <c r="BX403" s="32"/>
      <c r="BY403" s="32"/>
      <c r="BZ403" s="32"/>
      <c r="CA403" s="32"/>
      <c r="CB403" s="32"/>
      <c r="CC403" s="32"/>
    </row>
    <row r="404" spans="1:8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  <c r="BG404" s="32"/>
      <c r="BH404" s="32"/>
      <c r="BI404" s="32"/>
      <c r="BJ404" s="32"/>
      <c r="BK404" s="32"/>
      <c r="BL404" s="32"/>
      <c r="BM404" s="32"/>
      <c r="BN404" s="32"/>
      <c r="BO404" s="32"/>
      <c r="BP404" s="32"/>
      <c r="BQ404" s="32"/>
      <c r="BR404" s="32"/>
      <c r="BS404" s="32"/>
      <c r="BT404" s="32"/>
      <c r="BU404" s="32"/>
      <c r="BV404" s="32"/>
      <c r="BW404" s="32"/>
      <c r="BX404" s="32"/>
      <c r="BY404" s="32"/>
      <c r="BZ404" s="32"/>
      <c r="CA404" s="32"/>
      <c r="CB404" s="32"/>
      <c r="CC404" s="32"/>
    </row>
    <row r="405" spans="1:8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  <c r="BG405" s="32"/>
      <c r="BH405" s="32"/>
      <c r="BI405" s="32"/>
      <c r="BJ405" s="32"/>
      <c r="BK405" s="32"/>
      <c r="BL405" s="32"/>
      <c r="BM405" s="32"/>
      <c r="BN405" s="32"/>
      <c r="BO405" s="32"/>
      <c r="BP405" s="32"/>
      <c r="BQ405" s="32"/>
      <c r="BR405" s="32"/>
      <c r="BS405" s="32"/>
      <c r="BT405" s="32"/>
      <c r="BU405" s="32"/>
      <c r="BV405" s="32"/>
      <c r="BW405" s="32"/>
      <c r="BX405" s="32"/>
      <c r="BY405" s="32"/>
      <c r="BZ405" s="32"/>
      <c r="CA405" s="32"/>
      <c r="CB405" s="32"/>
      <c r="CC405" s="32"/>
    </row>
    <row r="406" spans="1:8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  <c r="BG406" s="32"/>
      <c r="BH406" s="32"/>
      <c r="BI406" s="32"/>
      <c r="BJ406" s="32"/>
      <c r="BK406" s="32"/>
      <c r="BL406" s="32"/>
      <c r="BM406" s="32"/>
      <c r="BN406" s="32"/>
      <c r="BO406" s="32"/>
      <c r="BP406" s="32"/>
      <c r="BQ406" s="32"/>
      <c r="BR406" s="32"/>
      <c r="BS406" s="32"/>
      <c r="BT406" s="32"/>
      <c r="BU406" s="32"/>
      <c r="BV406" s="32"/>
      <c r="BW406" s="32"/>
      <c r="BX406" s="32"/>
      <c r="BY406" s="32"/>
      <c r="BZ406" s="32"/>
      <c r="CA406" s="32"/>
      <c r="CB406" s="32"/>
      <c r="CC406" s="32"/>
    </row>
    <row r="407" spans="1:8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2"/>
      <c r="BF407" s="32"/>
      <c r="BG407" s="32"/>
      <c r="BH407" s="32"/>
      <c r="BI407" s="32"/>
      <c r="BJ407" s="32"/>
      <c r="BK407" s="32"/>
      <c r="BL407" s="32"/>
      <c r="BM407" s="32"/>
      <c r="BN407" s="32"/>
      <c r="BO407" s="32"/>
      <c r="BP407" s="32"/>
      <c r="BQ407" s="32"/>
      <c r="BR407" s="32"/>
      <c r="BS407" s="32"/>
      <c r="BT407" s="32"/>
      <c r="BU407" s="32"/>
      <c r="BV407" s="32"/>
      <c r="BW407" s="32"/>
      <c r="BX407" s="32"/>
      <c r="BY407" s="32"/>
      <c r="BZ407" s="32"/>
      <c r="CA407" s="32"/>
      <c r="CB407" s="32"/>
      <c r="CC407" s="32"/>
    </row>
    <row r="408" spans="1:8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  <c r="BE408" s="32"/>
      <c r="BF408" s="32"/>
      <c r="BG408" s="32"/>
      <c r="BH408" s="32"/>
      <c r="BI408" s="32"/>
      <c r="BJ408" s="32"/>
      <c r="BK408" s="32"/>
      <c r="BL408" s="32"/>
      <c r="BM408" s="32"/>
      <c r="BN408" s="32"/>
      <c r="BO408" s="32"/>
      <c r="BP408" s="32"/>
      <c r="BQ408" s="32"/>
      <c r="BR408" s="32"/>
      <c r="BS408" s="32"/>
      <c r="BT408" s="32"/>
      <c r="BU408" s="32"/>
      <c r="BV408" s="32"/>
      <c r="BW408" s="32"/>
      <c r="BX408" s="32"/>
      <c r="BY408" s="32"/>
      <c r="BZ408" s="32"/>
      <c r="CA408" s="32"/>
      <c r="CB408" s="32"/>
      <c r="CC408" s="32"/>
    </row>
    <row r="409" spans="1:8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  <c r="BE409" s="32"/>
      <c r="BF409" s="32"/>
      <c r="BG409" s="32"/>
      <c r="BH409" s="32"/>
      <c r="BI409" s="32"/>
      <c r="BJ409" s="32"/>
      <c r="BK409" s="32"/>
      <c r="BL409" s="32"/>
      <c r="BM409" s="32"/>
      <c r="BN409" s="32"/>
      <c r="BO409" s="32"/>
      <c r="BP409" s="32"/>
      <c r="BQ409" s="32"/>
      <c r="BR409" s="32"/>
      <c r="BS409" s="32"/>
      <c r="BT409" s="32"/>
      <c r="BU409" s="32"/>
      <c r="BV409" s="32"/>
      <c r="BW409" s="32"/>
      <c r="BX409" s="32"/>
      <c r="BY409" s="32"/>
      <c r="BZ409" s="32"/>
      <c r="CA409" s="32"/>
      <c r="CB409" s="32"/>
      <c r="CC409" s="32"/>
    </row>
    <row r="410" spans="1:8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  <c r="BE410" s="32"/>
      <c r="BF410" s="32"/>
      <c r="BG410" s="32"/>
      <c r="BH410" s="32"/>
      <c r="BI410" s="32"/>
      <c r="BJ410" s="32"/>
      <c r="BK410" s="32"/>
      <c r="BL410" s="32"/>
      <c r="BM410" s="32"/>
      <c r="BN410" s="32"/>
      <c r="BO410" s="32"/>
      <c r="BP410" s="32"/>
      <c r="BQ410" s="32"/>
      <c r="BR410" s="32"/>
      <c r="BS410" s="32"/>
      <c r="BT410" s="32"/>
      <c r="BU410" s="32"/>
      <c r="BV410" s="32"/>
      <c r="BW410" s="32"/>
      <c r="BX410" s="32"/>
      <c r="BY410" s="32"/>
      <c r="BZ410" s="32"/>
      <c r="CA410" s="32"/>
      <c r="CB410" s="32"/>
      <c r="CC410" s="32"/>
    </row>
    <row r="411" spans="1:8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  <c r="BE411" s="32"/>
      <c r="BF411" s="32"/>
      <c r="BG411" s="32"/>
      <c r="BH411" s="32"/>
      <c r="BI411" s="32"/>
      <c r="BJ411" s="32"/>
      <c r="BK411" s="32"/>
      <c r="BL411" s="32"/>
      <c r="BM411" s="32"/>
      <c r="BN411" s="32"/>
      <c r="BO411" s="32"/>
      <c r="BP411" s="32"/>
      <c r="BQ411" s="32"/>
      <c r="BR411" s="32"/>
      <c r="BS411" s="32"/>
      <c r="BT411" s="32"/>
      <c r="BU411" s="32"/>
      <c r="BV411" s="32"/>
      <c r="BW411" s="32"/>
      <c r="BX411" s="32"/>
      <c r="BY411" s="32"/>
      <c r="BZ411" s="32"/>
      <c r="CA411" s="32"/>
      <c r="CB411" s="32"/>
      <c r="CC411" s="32"/>
    </row>
    <row r="412" spans="1:8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  <c r="BE412" s="32"/>
      <c r="BF412" s="32"/>
      <c r="BG412" s="32"/>
      <c r="BH412" s="32"/>
      <c r="BI412" s="32"/>
      <c r="BJ412" s="32"/>
      <c r="BK412" s="32"/>
      <c r="BL412" s="32"/>
      <c r="BM412" s="32"/>
      <c r="BN412" s="32"/>
      <c r="BO412" s="32"/>
      <c r="BP412" s="32"/>
      <c r="BQ412" s="32"/>
      <c r="BR412" s="32"/>
      <c r="BS412" s="32"/>
      <c r="BT412" s="32"/>
      <c r="BU412" s="32"/>
      <c r="BV412" s="32"/>
      <c r="BW412" s="32"/>
      <c r="BX412" s="32"/>
      <c r="BY412" s="32"/>
      <c r="BZ412" s="32"/>
      <c r="CA412" s="32"/>
      <c r="CB412" s="32"/>
      <c r="CC412" s="32"/>
    </row>
    <row r="413" spans="1:8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2"/>
      <c r="BE413" s="32"/>
      <c r="BF413" s="32"/>
      <c r="BG413" s="32"/>
      <c r="BH413" s="32"/>
      <c r="BI413" s="32"/>
      <c r="BJ413" s="32"/>
      <c r="BK413" s="32"/>
      <c r="BL413" s="32"/>
      <c r="BM413" s="32"/>
      <c r="BN413" s="32"/>
      <c r="BO413" s="32"/>
      <c r="BP413" s="32"/>
      <c r="BQ413" s="32"/>
      <c r="BR413" s="32"/>
      <c r="BS413" s="32"/>
      <c r="BT413" s="32"/>
      <c r="BU413" s="32"/>
      <c r="BV413" s="32"/>
      <c r="BW413" s="32"/>
      <c r="BX413" s="32"/>
      <c r="BY413" s="32"/>
      <c r="BZ413" s="32"/>
      <c r="CA413" s="32"/>
      <c r="CB413" s="32"/>
      <c r="CC413" s="32"/>
    </row>
    <row r="414" spans="1:8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2"/>
      <c r="BF414" s="32"/>
      <c r="BG414" s="32"/>
      <c r="BH414" s="32"/>
      <c r="BI414" s="32"/>
      <c r="BJ414" s="32"/>
      <c r="BK414" s="32"/>
      <c r="BL414" s="32"/>
      <c r="BM414" s="32"/>
      <c r="BN414" s="32"/>
      <c r="BO414" s="32"/>
      <c r="BP414" s="32"/>
      <c r="BQ414" s="32"/>
      <c r="BR414" s="32"/>
      <c r="BS414" s="32"/>
      <c r="BT414" s="32"/>
      <c r="BU414" s="32"/>
      <c r="BV414" s="32"/>
      <c r="BW414" s="32"/>
      <c r="BX414" s="32"/>
      <c r="BY414" s="32"/>
      <c r="BZ414" s="32"/>
      <c r="CA414" s="32"/>
      <c r="CB414" s="32"/>
      <c r="CC414" s="32"/>
    </row>
    <row r="415" spans="1:8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  <c r="CA415" s="32"/>
      <c r="CB415" s="32"/>
      <c r="CC415" s="32"/>
    </row>
    <row r="416" spans="1:8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  <c r="BF416" s="32"/>
      <c r="BG416" s="32"/>
      <c r="BH416" s="32"/>
      <c r="BI416" s="32"/>
      <c r="BJ416" s="32"/>
      <c r="BK416" s="32"/>
      <c r="BL416" s="32"/>
      <c r="BM416" s="32"/>
      <c r="BN416" s="32"/>
      <c r="BO416" s="32"/>
      <c r="BP416" s="32"/>
      <c r="BQ416" s="32"/>
      <c r="BR416" s="32"/>
      <c r="BS416" s="32"/>
      <c r="BT416" s="32"/>
      <c r="BU416" s="32"/>
      <c r="BV416" s="32"/>
      <c r="BW416" s="32"/>
      <c r="BX416" s="32"/>
      <c r="BY416" s="32"/>
      <c r="BZ416" s="32"/>
      <c r="CA416" s="32"/>
      <c r="CB416" s="32"/>
      <c r="CC416" s="32"/>
    </row>
    <row r="417" spans="1:8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2"/>
      <c r="BF417" s="32"/>
      <c r="BG417" s="32"/>
      <c r="BH417" s="32"/>
      <c r="BI417" s="32"/>
      <c r="BJ417" s="32"/>
      <c r="BK417" s="32"/>
      <c r="BL417" s="32"/>
      <c r="BM417" s="32"/>
      <c r="BN417" s="32"/>
      <c r="BO417" s="32"/>
      <c r="BP417" s="32"/>
      <c r="BQ417" s="32"/>
      <c r="BR417" s="32"/>
      <c r="BS417" s="32"/>
      <c r="BT417" s="32"/>
      <c r="BU417" s="32"/>
      <c r="BV417" s="32"/>
      <c r="BW417" s="32"/>
      <c r="BX417" s="32"/>
      <c r="BY417" s="32"/>
      <c r="BZ417" s="32"/>
      <c r="CA417" s="32"/>
      <c r="CB417" s="32"/>
      <c r="CC417" s="32"/>
    </row>
    <row r="418" spans="1:8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  <c r="BG418" s="32"/>
      <c r="BH418" s="32"/>
      <c r="BI418" s="32"/>
      <c r="BJ418" s="32"/>
      <c r="BK418" s="32"/>
      <c r="BL418" s="32"/>
      <c r="BM418" s="32"/>
      <c r="BN418" s="32"/>
      <c r="BO418" s="32"/>
      <c r="BP418" s="32"/>
      <c r="BQ418" s="32"/>
      <c r="BR418" s="32"/>
      <c r="BS418" s="32"/>
      <c r="BT418" s="32"/>
      <c r="BU418" s="32"/>
      <c r="BV418" s="32"/>
      <c r="BW418" s="32"/>
      <c r="BX418" s="32"/>
      <c r="BY418" s="32"/>
      <c r="BZ418" s="32"/>
      <c r="CA418" s="32"/>
      <c r="CB418" s="32"/>
      <c r="CC418" s="32"/>
    </row>
    <row r="419" spans="1:8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2"/>
      <c r="BF419" s="32"/>
      <c r="BG419" s="32"/>
      <c r="BH419" s="32"/>
      <c r="BI419" s="32"/>
      <c r="BJ419" s="32"/>
      <c r="BK419" s="32"/>
      <c r="BL419" s="32"/>
      <c r="BM419" s="32"/>
      <c r="BN419" s="32"/>
      <c r="BO419" s="32"/>
      <c r="BP419" s="32"/>
      <c r="BQ419" s="32"/>
      <c r="BR419" s="32"/>
      <c r="BS419" s="32"/>
      <c r="BT419" s="32"/>
      <c r="BU419" s="32"/>
      <c r="BV419" s="32"/>
      <c r="BW419" s="32"/>
      <c r="BX419" s="32"/>
      <c r="BY419" s="32"/>
      <c r="BZ419" s="32"/>
      <c r="CA419" s="32"/>
      <c r="CB419" s="32"/>
      <c r="CC419" s="32"/>
    </row>
    <row r="420" spans="1:8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2"/>
      <c r="BF420" s="32"/>
      <c r="BG420" s="32"/>
      <c r="BH420" s="32"/>
      <c r="BI420" s="32"/>
      <c r="BJ420" s="32"/>
      <c r="BK420" s="32"/>
      <c r="BL420" s="32"/>
      <c r="BM420" s="32"/>
      <c r="BN420" s="32"/>
      <c r="BO420" s="32"/>
      <c r="BP420" s="32"/>
      <c r="BQ420" s="32"/>
      <c r="BR420" s="32"/>
      <c r="BS420" s="32"/>
      <c r="BT420" s="32"/>
      <c r="BU420" s="32"/>
      <c r="BV420" s="32"/>
      <c r="BW420" s="32"/>
      <c r="BX420" s="32"/>
      <c r="BY420" s="32"/>
      <c r="BZ420" s="32"/>
      <c r="CA420" s="32"/>
      <c r="CB420" s="32"/>
      <c r="CC420" s="32"/>
    </row>
    <row r="421" spans="1:8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  <c r="CA421" s="32"/>
      <c r="CB421" s="32"/>
      <c r="CC421" s="32"/>
    </row>
    <row r="422" spans="1:8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  <c r="BF422" s="32"/>
      <c r="BG422" s="32"/>
      <c r="BH422" s="32"/>
      <c r="BI422" s="32"/>
      <c r="BJ422" s="32"/>
      <c r="BK422" s="32"/>
      <c r="BL422" s="32"/>
      <c r="BM422" s="32"/>
      <c r="BN422" s="32"/>
      <c r="BO422" s="32"/>
      <c r="BP422" s="32"/>
      <c r="BQ422" s="32"/>
      <c r="BR422" s="32"/>
      <c r="BS422" s="32"/>
      <c r="BT422" s="32"/>
      <c r="BU422" s="32"/>
      <c r="BV422" s="32"/>
      <c r="BW422" s="32"/>
      <c r="BX422" s="32"/>
      <c r="BY422" s="32"/>
      <c r="BZ422" s="32"/>
      <c r="CA422" s="32"/>
      <c r="CB422" s="32"/>
      <c r="CC422" s="32"/>
    </row>
    <row r="423" spans="1:8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  <c r="BE423" s="32"/>
      <c r="BF423" s="32"/>
      <c r="BG423" s="32"/>
      <c r="BH423" s="32"/>
      <c r="BI423" s="32"/>
      <c r="BJ423" s="32"/>
      <c r="BK423" s="32"/>
      <c r="BL423" s="32"/>
      <c r="BM423" s="32"/>
      <c r="BN423" s="32"/>
      <c r="BO423" s="32"/>
      <c r="BP423" s="32"/>
      <c r="BQ423" s="32"/>
      <c r="BR423" s="32"/>
      <c r="BS423" s="32"/>
      <c r="BT423" s="32"/>
      <c r="BU423" s="32"/>
      <c r="BV423" s="32"/>
      <c r="BW423" s="32"/>
      <c r="BX423" s="32"/>
      <c r="BY423" s="32"/>
      <c r="BZ423" s="32"/>
      <c r="CA423" s="32"/>
      <c r="CB423" s="32"/>
      <c r="CC423" s="32"/>
    </row>
    <row r="424" spans="1:8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2"/>
      <c r="BF424" s="32"/>
      <c r="BG424" s="32"/>
      <c r="BH424" s="32"/>
      <c r="BI424" s="32"/>
      <c r="BJ424" s="32"/>
      <c r="BK424" s="32"/>
      <c r="BL424" s="32"/>
      <c r="BM424" s="32"/>
      <c r="BN424" s="32"/>
      <c r="BO424" s="32"/>
      <c r="BP424" s="32"/>
      <c r="BQ424" s="32"/>
      <c r="BR424" s="32"/>
      <c r="BS424" s="32"/>
      <c r="BT424" s="32"/>
      <c r="BU424" s="32"/>
      <c r="BV424" s="32"/>
      <c r="BW424" s="32"/>
      <c r="BX424" s="32"/>
      <c r="BY424" s="32"/>
      <c r="BZ424" s="32"/>
      <c r="CA424" s="32"/>
      <c r="CB424" s="32"/>
      <c r="CC424" s="32"/>
    </row>
    <row r="425" spans="1:8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  <c r="BD425" s="32"/>
      <c r="BE425" s="32"/>
      <c r="BF425" s="32"/>
      <c r="BG425" s="32"/>
      <c r="BH425" s="32"/>
      <c r="BI425" s="32"/>
      <c r="BJ425" s="32"/>
      <c r="BK425" s="32"/>
      <c r="BL425" s="32"/>
      <c r="BM425" s="32"/>
      <c r="BN425" s="32"/>
      <c r="BO425" s="32"/>
      <c r="BP425" s="32"/>
      <c r="BQ425" s="32"/>
      <c r="BR425" s="32"/>
      <c r="BS425" s="32"/>
      <c r="BT425" s="32"/>
      <c r="BU425" s="32"/>
      <c r="BV425" s="32"/>
      <c r="BW425" s="32"/>
      <c r="BX425" s="32"/>
      <c r="BY425" s="32"/>
      <c r="BZ425" s="32"/>
      <c r="CA425" s="32"/>
      <c r="CB425" s="32"/>
      <c r="CC425" s="32"/>
    </row>
    <row r="426" spans="1:8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  <c r="BE426" s="32"/>
      <c r="BF426" s="32"/>
      <c r="BG426" s="32"/>
      <c r="BH426" s="32"/>
      <c r="BI426" s="32"/>
      <c r="BJ426" s="32"/>
      <c r="BK426" s="32"/>
      <c r="BL426" s="32"/>
      <c r="BM426" s="32"/>
      <c r="BN426" s="32"/>
      <c r="BO426" s="32"/>
      <c r="BP426" s="32"/>
      <c r="BQ426" s="32"/>
      <c r="BR426" s="32"/>
      <c r="BS426" s="32"/>
      <c r="BT426" s="32"/>
      <c r="BU426" s="32"/>
      <c r="BV426" s="32"/>
      <c r="BW426" s="32"/>
      <c r="BX426" s="32"/>
      <c r="BY426" s="32"/>
      <c r="BZ426" s="32"/>
      <c r="CA426" s="32"/>
      <c r="CB426" s="32"/>
      <c r="CC426" s="32"/>
    </row>
    <row r="427" spans="1:8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  <c r="BD427" s="32"/>
      <c r="BE427" s="32"/>
      <c r="BF427" s="32"/>
      <c r="BG427" s="32"/>
      <c r="BH427" s="32"/>
      <c r="BI427" s="32"/>
      <c r="BJ427" s="32"/>
      <c r="BK427" s="32"/>
      <c r="BL427" s="32"/>
      <c r="BM427" s="32"/>
      <c r="BN427" s="32"/>
      <c r="BO427" s="32"/>
      <c r="BP427" s="32"/>
      <c r="BQ427" s="32"/>
      <c r="BR427" s="32"/>
      <c r="BS427" s="32"/>
      <c r="BT427" s="32"/>
      <c r="BU427" s="32"/>
      <c r="BV427" s="32"/>
      <c r="BW427" s="32"/>
      <c r="BX427" s="32"/>
      <c r="BY427" s="32"/>
      <c r="BZ427" s="32"/>
      <c r="CA427" s="32"/>
      <c r="CB427" s="32"/>
      <c r="CC427" s="32"/>
    </row>
    <row r="428" spans="1:8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2"/>
      <c r="BU428" s="32"/>
      <c r="BV428" s="32"/>
      <c r="BW428" s="32"/>
      <c r="BX428" s="32"/>
      <c r="BY428" s="32"/>
      <c r="BZ428" s="32"/>
      <c r="CA428" s="32"/>
      <c r="CB428" s="32"/>
      <c r="CC428" s="32"/>
    </row>
    <row r="429" spans="1:8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  <c r="BG429" s="32"/>
      <c r="BH429" s="32"/>
      <c r="BI429" s="32"/>
      <c r="BJ429" s="32"/>
      <c r="BK429" s="32"/>
      <c r="BL429" s="32"/>
      <c r="BM429" s="32"/>
      <c r="BN429" s="32"/>
      <c r="BO429" s="32"/>
      <c r="BP429" s="32"/>
      <c r="BQ429" s="32"/>
      <c r="BR429" s="32"/>
      <c r="BS429" s="32"/>
      <c r="BT429" s="32"/>
      <c r="BU429" s="32"/>
      <c r="BV429" s="32"/>
      <c r="BW429" s="32"/>
      <c r="BX429" s="32"/>
      <c r="BY429" s="32"/>
      <c r="BZ429" s="32"/>
      <c r="CA429" s="32"/>
      <c r="CB429" s="32"/>
      <c r="CC429" s="32"/>
    </row>
    <row r="430" spans="1:8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  <c r="BE430" s="32"/>
      <c r="BF430" s="32"/>
      <c r="BG430" s="32"/>
      <c r="BH430" s="32"/>
      <c r="BI430" s="32"/>
      <c r="BJ430" s="32"/>
      <c r="BK430" s="32"/>
      <c r="BL430" s="32"/>
      <c r="BM430" s="32"/>
      <c r="BN430" s="32"/>
      <c r="BO430" s="32"/>
      <c r="BP430" s="32"/>
      <c r="BQ430" s="32"/>
      <c r="BR430" s="32"/>
      <c r="BS430" s="32"/>
      <c r="BT430" s="32"/>
      <c r="BU430" s="32"/>
      <c r="BV430" s="32"/>
      <c r="BW430" s="32"/>
      <c r="BX430" s="32"/>
      <c r="BY430" s="32"/>
      <c r="BZ430" s="32"/>
      <c r="CA430" s="32"/>
      <c r="CB430" s="32"/>
      <c r="CC430" s="32"/>
    </row>
    <row r="431" spans="1:8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2"/>
      <c r="BF431" s="32"/>
      <c r="BG431" s="32"/>
      <c r="BH431" s="32"/>
      <c r="BI431" s="32"/>
      <c r="BJ431" s="32"/>
      <c r="BK431" s="32"/>
      <c r="BL431" s="32"/>
      <c r="BM431" s="32"/>
      <c r="BN431" s="32"/>
      <c r="BO431" s="32"/>
      <c r="BP431" s="32"/>
      <c r="BQ431" s="32"/>
      <c r="BR431" s="32"/>
      <c r="BS431" s="32"/>
      <c r="BT431" s="32"/>
      <c r="BU431" s="32"/>
      <c r="BV431" s="32"/>
      <c r="BW431" s="32"/>
      <c r="BX431" s="32"/>
      <c r="BY431" s="32"/>
      <c r="BZ431" s="32"/>
      <c r="CA431" s="32"/>
      <c r="CB431" s="32"/>
      <c r="CC431" s="32"/>
    </row>
    <row r="432" spans="1:8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  <c r="BD432" s="32"/>
      <c r="BE432" s="32"/>
      <c r="BF432" s="32"/>
      <c r="BG432" s="32"/>
      <c r="BH432" s="32"/>
      <c r="BI432" s="32"/>
      <c r="BJ432" s="32"/>
      <c r="BK432" s="32"/>
      <c r="BL432" s="32"/>
      <c r="BM432" s="32"/>
      <c r="BN432" s="32"/>
      <c r="BO432" s="32"/>
      <c r="BP432" s="32"/>
      <c r="BQ432" s="32"/>
      <c r="BR432" s="32"/>
      <c r="BS432" s="32"/>
      <c r="BT432" s="32"/>
      <c r="BU432" s="32"/>
      <c r="BV432" s="32"/>
      <c r="BW432" s="32"/>
      <c r="BX432" s="32"/>
      <c r="BY432" s="32"/>
      <c r="BZ432" s="32"/>
      <c r="CA432" s="32"/>
      <c r="CB432" s="32"/>
      <c r="CC432" s="32"/>
    </row>
    <row r="433" spans="1:8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  <c r="CA433" s="32"/>
      <c r="CB433" s="32"/>
      <c r="CC433" s="32"/>
    </row>
    <row r="434" spans="1:8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  <c r="BD434" s="32"/>
      <c r="BE434" s="32"/>
      <c r="BF434" s="32"/>
      <c r="BG434" s="32"/>
      <c r="BH434" s="32"/>
      <c r="BI434" s="32"/>
      <c r="BJ434" s="32"/>
      <c r="BK434" s="32"/>
      <c r="BL434" s="32"/>
      <c r="BM434" s="32"/>
      <c r="BN434" s="32"/>
      <c r="BO434" s="32"/>
      <c r="BP434" s="32"/>
      <c r="BQ434" s="32"/>
      <c r="BR434" s="32"/>
      <c r="BS434" s="32"/>
      <c r="BT434" s="32"/>
      <c r="BU434" s="32"/>
      <c r="BV434" s="32"/>
      <c r="BW434" s="32"/>
      <c r="BX434" s="32"/>
      <c r="BY434" s="32"/>
      <c r="BZ434" s="32"/>
      <c r="CA434" s="32"/>
      <c r="CB434" s="32"/>
      <c r="CC434" s="32"/>
    </row>
    <row r="435" spans="1:8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  <c r="BE435" s="32"/>
      <c r="BF435" s="32"/>
      <c r="BG435" s="32"/>
      <c r="BH435" s="32"/>
      <c r="BI435" s="32"/>
      <c r="BJ435" s="32"/>
      <c r="BK435" s="32"/>
      <c r="BL435" s="32"/>
      <c r="BM435" s="32"/>
      <c r="BN435" s="32"/>
      <c r="BO435" s="32"/>
      <c r="BP435" s="32"/>
      <c r="BQ435" s="32"/>
      <c r="BR435" s="32"/>
      <c r="BS435" s="32"/>
      <c r="BT435" s="32"/>
      <c r="BU435" s="32"/>
      <c r="BV435" s="32"/>
      <c r="BW435" s="32"/>
      <c r="BX435" s="32"/>
      <c r="BY435" s="32"/>
      <c r="BZ435" s="32"/>
      <c r="CA435" s="32"/>
      <c r="CB435" s="32"/>
      <c r="CC435" s="32"/>
    </row>
    <row r="436" spans="1:8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  <c r="BE436" s="32"/>
      <c r="BF436" s="32"/>
      <c r="BG436" s="32"/>
      <c r="BH436" s="32"/>
      <c r="BI436" s="32"/>
      <c r="BJ436" s="32"/>
      <c r="BK436" s="32"/>
      <c r="BL436" s="32"/>
      <c r="BM436" s="32"/>
      <c r="BN436" s="32"/>
      <c r="BO436" s="32"/>
      <c r="BP436" s="32"/>
      <c r="BQ436" s="32"/>
      <c r="BR436" s="32"/>
      <c r="BS436" s="32"/>
      <c r="BT436" s="32"/>
      <c r="BU436" s="32"/>
      <c r="BV436" s="32"/>
      <c r="BW436" s="32"/>
      <c r="BX436" s="32"/>
      <c r="BY436" s="32"/>
      <c r="BZ436" s="32"/>
      <c r="CA436" s="32"/>
      <c r="CB436" s="32"/>
      <c r="CC436" s="32"/>
    </row>
    <row r="437" spans="1:8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2"/>
      <c r="BF437" s="32"/>
      <c r="BG437" s="32"/>
      <c r="BH437" s="32"/>
      <c r="BI437" s="32"/>
      <c r="BJ437" s="32"/>
      <c r="BK437" s="32"/>
      <c r="BL437" s="32"/>
      <c r="BM437" s="32"/>
      <c r="BN437" s="32"/>
      <c r="BO437" s="32"/>
      <c r="BP437" s="32"/>
      <c r="BQ437" s="32"/>
      <c r="BR437" s="32"/>
      <c r="BS437" s="32"/>
      <c r="BT437" s="32"/>
      <c r="BU437" s="32"/>
      <c r="BV437" s="32"/>
      <c r="BW437" s="32"/>
      <c r="BX437" s="32"/>
      <c r="BY437" s="32"/>
      <c r="BZ437" s="32"/>
      <c r="CA437" s="32"/>
      <c r="CB437" s="32"/>
      <c r="CC437" s="32"/>
    </row>
    <row r="438" spans="1:8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  <c r="BE438" s="32"/>
      <c r="BF438" s="32"/>
      <c r="BG438" s="32"/>
      <c r="BH438" s="32"/>
      <c r="BI438" s="32"/>
      <c r="BJ438" s="32"/>
      <c r="BK438" s="32"/>
      <c r="BL438" s="32"/>
      <c r="BM438" s="32"/>
      <c r="BN438" s="32"/>
      <c r="BO438" s="32"/>
      <c r="BP438" s="32"/>
      <c r="BQ438" s="32"/>
      <c r="BR438" s="32"/>
      <c r="BS438" s="32"/>
      <c r="BT438" s="32"/>
      <c r="BU438" s="32"/>
      <c r="BV438" s="32"/>
      <c r="BW438" s="32"/>
      <c r="BX438" s="32"/>
      <c r="BY438" s="32"/>
      <c r="BZ438" s="32"/>
      <c r="CA438" s="32"/>
      <c r="CB438" s="32"/>
      <c r="CC438" s="32"/>
    </row>
    <row r="439" spans="1:8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  <c r="BE439" s="32"/>
      <c r="BF439" s="32"/>
      <c r="BG439" s="32"/>
      <c r="BH439" s="32"/>
      <c r="BI439" s="32"/>
      <c r="BJ439" s="32"/>
      <c r="BK439" s="32"/>
      <c r="BL439" s="32"/>
      <c r="BM439" s="32"/>
      <c r="BN439" s="32"/>
      <c r="BO439" s="32"/>
      <c r="BP439" s="32"/>
      <c r="BQ439" s="32"/>
      <c r="BR439" s="32"/>
      <c r="BS439" s="32"/>
      <c r="BT439" s="32"/>
      <c r="BU439" s="32"/>
      <c r="BV439" s="32"/>
      <c r="BW439" s="32"/>
      <c r="BX439" s="32"/>
      <c r="BY439" s="32"/>
      <c r="BZ439" s="32"/>
      <c r="CA439" s="32"/>
      <c r="CB439" s="32"/>
      <c r="CC439" s="32"/>
    </row>
    <row r="440" spans="1:8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2"/>
      <c r="BF440" s="32"/>
      <c r="BG440" s="32"/>
      <c r="BH440" s="32"/>
      <c r="BI440" s="32"/>
      <c r="BJ440" s="32"/>
      <c r="BK440" s="32"/>
      <c r="BL440" s="32"/>
      <c r="BM440" s="32"/>
      <c r="BN440" s="32"/>
      <c r="BO440" s="32"/>
      <c r="BP440" s="32"/>
      <c r="BQ440" s="32"/>
      <c r="BR440" s="32"/>
      <c r="BS440" s="32"/>
      <c r="BT440" s="32"/>
      <c r="BU440" s="32"/>
      <c r="BV440" s="32"/>
      <c r="BW440" s="32"/>
      <c r="BX440" s="32"/>
      <c r="BY440" s="32"/>
      <c r="BZ440" s="32"/>
      <c r="CA440" s="32"/>
      <c r="CB440" s="32"/>
      <c r="CC440" s="32"/>
    </row>
    <row r="441" spans="1:8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  <c r="BF441" s="32"/>
      <c r="BG441" s="32"/>
      <c r="BH441" s="32"/>
      <c r="BI441" s="32"/>
      <c r="BJ441" s="32"/>
      <c r="BK441" s="32"/>
      <c r="BL441" s="32"/>
      <c r="BM441" s="32"/>
      <c r="BN441" s="32"/>
      <c r="BO441" s="32"/>
      <c r="BP441" s="32"/>
      <c r="BQ441" s="32"/>
      <c r="BR441" s="32"/>
      <c r="BS441" s="32"/>
      <c r="BT441" s="32"/>
      <c r="BU441" s="32"/>
      <c r="BV441" s="32"/>
      <c r="BW441" s="32"/>
      <c r="BX441" s="32"/>
      <c r="BY441" s="32"/>
      <c r="BZ441" s="32"/>
      <c r="CA441" s="32"/>
      <c r="CB441" s="32"/>
      <c r="CC441" s="32"/>
    </row>
    <row r="442" spans="1:8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  <c r="BD442" s="32"/>
      <c r="BE442" s="32"/>
      <c r="BF442" s="32"/>
      <c r="BG442" s="32"/>
      <c r="BH442" s="32"/>
      <c r="BI442" s="32"/>
      <c r="BJ442" s="32"/>
      <c r="BK442" s="32"/>
      <c r="BL442" s="32"/>
      <c r="BM442" s="32"/>
      <c r="BN442" s="32"/>
      <c r="BO442" s="32"/>
      <c r="BP442" s="32"/>
      <c r="BQ442" s="32"/>
      <c r="BR442" s="32"/>
      <c r="BS442" s="32"/>
      <c r="BT442" s="32"/>
      <c r="BU442" s="32"/>
      <c r="BV442" s="32"/>
      <c r="BW442" s="32"/>
      <c r="BX442" s="32"/>
      <c r="BY442" s="32"/>
      <c r="BZ442" s="32"/>
      <c r="CA442" s="32"/>
      <c r="CB442" s="32"/>
      <c r="CC442" s="32"/>
    </row>
    <row r="443" spans="1:8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  <c r="BF443" s="32"/>
      <c r="BG443" s="32"/>
      <c r="BH443" s="32"/>
      <c r="BI443" s="32"/>
      <c r="BJ443" s="32"/>
      <c r="BK443" s="32"/>
      <c r="BL443" s="32"/>
      <c r="BM443" s="32"/>
      <c r="BN443" s="32"/>
      <c r="BO443" s="32"/>
      <c r="BP443" s="32"/>
      <c r="BQ443" s="32"/>
      <c r="BR443" s="32"/>
      <c r="BS443" s="32"/>
      <c r="BT443" s="32"/>
      <c r="BU443" s="32"/>
      <c r="BV443" s="32"/>
      <c r="BW443" s="32"/>
      <c r="BX443" s="32"/>
      <c r="BY443" s="32"/>
      <c r="BZ443" s="32"/>
      <c r="CA443" s="32"/>
      <c r="CB443" s="32"/>
      <c r="CC443" s="32"/>
    </row>
    <row r="444" spans="1:8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2"/>
      <c r="BM444" s="32"/>
      <c r="BN444" s="32"/>
      <c r="BO444" s="32"/>
      <c r="BP444" s="32"/>
      <c r="BQ444" s="32"/>
      <c r="BR444" s="32"/>
      <c r="BS444" s="32"/>
      <c r="BT444" s="32"/>
      <c r="BU444" s="32"/>
      <c r="BV444" s="32"/>
      <c r="BW444" s="32"/>
      <c r="BX444" s="32"/>
      <c r="BY444" s="32"/>
      <c r="BZ444" s="32"/>
      <c r="CA444" s="32"/>
      <c r="CB444" s="32"/>
      <c r="CC444" s="32"/>
    </row>
    <row r="445" spans="1:8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  <c r="BF445" s="32"/>
      <c r="BG445" s="32"/>
      <c r="BH445" s="32"/>
      <c r="BI445" s="32"/>
      <c r="BJ445" s="32"/>
      <c r="BK445" s="32"/>
      <c r="BL445" s="32"/>
      <c r="BM445" s="32"/>
      <c r="BN445" s="32"/>
      <c r="BO445" s="32"/>
      <c r="BP445" s="32"/>
      <c r="BQ445" s="32"/>
      <c r="BR445" s="32"/>
      <c r="BS445" s="32"/>
      <c r="BT445" s="32"/>
      <c r="BU445" s="32"/>
      <c r="BV445" s="32"/>
      <c r="BW445" s="32"/>
      <c r="BX445" s="32"/>
      <c r="BY445" s="32"/>
      <c r="BZ445" s="32"/>
      <c r="CA445" s="32"/>
      <c r="CB445" s="32"/>
      <c r="CC445" s="32"/>
    </row>
    <row r="446" spans="1:8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  <c r="BE446" s="32"/>
      <c r="BF446" s="32"/>
      <c r="BG446" s="32"/>
      <c r="BH446" s="32"/>
      <c r="BI446" s="32"/>
      <c r="BJ446" s="32"/>
      <c r="BK446" s="32"/>
      <c r="BL446" s="32"/>
      <c r="BM446" s="32"/>
      <c r="BN446" s="32"/>
      <c r="BO446" s="32"/>
      <c r="BP446" s="32"/>
      <c r="BQ446" s="32"/>
      <c r="BR446" s="32"/>
      <c r="BS446" s="32"/>
      <c r="BT446" s="32"/>
      <c r="BU446" s="32"/>
      <c r="BV446" s="32"/>
      <c r="BW446" s="32"/>
      <c r="BX446" s="32"/>
      <c r="BY446" s="32"/>
      <c r="BZ446" s="32"/>
      <c r="CA446" s="32"/>
      <c r="CB446" s="32"/>
      <c r="CC446" s="32"/>
    </row>
    <row r="447" spans="1:8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2"/>
      <c r="BF447" s="32"/>
      <c r="BG447" s="32"/>
      <c r="BH447" s="32"/>
      <c r="BI447" s="32"/>
      <c r="BJ447" s="32"/>
      <c r="BK447" s="32"/>
      <c r="BL447" s="32"/>
      <c r="BM447" s="32"/>
      <c r="BN447" s="32"/>
      <c r="BO447" s="32"/>
      <c r="BP447" s="32"/>
      <c r="BQ447" s="32"/>
      <c r="BR447" s="32"/>
      <c r="BS447" s="32"/>
      <c r="BT447" s="32"/>
      <c r="BU447" s="32"/>
      <c r="BV447" s="32"/>
      <c r="BW447" s="32"/>
      <c r="BX447" s="32"/>
      <c r="BY447" s="32"/>
      <c r="BZ447" s="32"/>
      <c r="CA447" s="32"/>
      <c r="CB447" s="32"/>
      <c r="CC447" s="32"/>
    </row>
    <row r="448" spans="1:8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  <c r="BE448" s="32"/>
      <c r="BF448" s="32"/>
      <c r="BG448" s="32"/>
      <c r="BH448" s="32"/>
      <c r="BI448" s="32"/>
      <c r="BJ448" s="32"/>
      <c r="BK448" s="32"/>
      <c r="BL448" s="32"/>
      <c r="BM448" s="32"/>
      <c r="BN448" s="32"/>
      <c r="BO448" s="32"/>
      <c r="BP448" s="32"/>
      <c r="BQ448" s="32"/>
      <c r="BR448" s="32"/>
      <c r="BS448" s="32"/>
      <c r="BT448" s="32"/>
      <c r="BU448" s="32"/>
      <c r="BV448" s="32"/>
      <c r="BW448" s="32"/>
      <c r="BX448" s="32"/>
      <c r="BY448" s="32"/>
      <c r="BZ448" s="32"/>
      <c r="CA448" s="32"/>
      <c r="CB448" s="32"/>
      <c r="CC448" s="32"/>
    </row>
    <row r="449" spans="1:8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2"/>
      <c r="BF449" s="32"/>
      <c r="BG449" s="32"/>
      <c r="BH449" s="32"/>
      <c r="BI449" s="32"/>
      <c r="BJ449" s="32"/>
      <c r="BK449" s="32"/>
      <c r="BL449" s="32"/>
      <c r="BM449" s="32"/>
      <c r="BN449" s="32"/>
      <c r="BO449" s="32"/>
      <c r="BP449" s="32"/>
      <c r="BQ449" s="32"/>
      <c r="BR449" s="32"/>
      <c r="BS449" s="32"/>
      <c r="BT449" s="32"/>
      <c r="BU449" s="32"/>
      <c r="BV449" s="32"/>
      <c r="BW449" s="32"/>
      <c r="BX449" s="32"/>
      <c r="BY449" s="32"/>
      <c r="BZ449" s="32"/>
      <c r="CA449" s="32"/>
      <c r="CB449" s="32"/>
      <c r="CC449" s="32"/>
    </row>
    <row r="450" spans="1:8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  <c r="BF450" s="32"/>
      <c r="BG450" s="32"/>
      <c r="BH450" s="32"/>
      <c r="BI450" s="32"/>
      <c r="BJ450" s="32"/>
      <c r="BK450" s="32"/>
      <c r="BL450" s="32"/>
      <c r="BM450" s="32"/>
      <c r="BN450" s="32"/>
      <c r="BO450" s="32"/>
      <c r="BP450" s="32"/>
      <c r="BQ450" s="32"/>
      <c r="BR450" s="32"/>
      <c r="BS450" s="32"/>
      <c r="BT450" s="32"/>
      <c r="BU450" s="32"/>
      <c r="BV450" s="32"/>
      <c r="BW450" s="32"/>
      <c r="BX450" s="32"/>
      <c r="BY450" s="32"/>
      <c r="BZ450" s="32"/>
      <c r="CA450" s="32"/>
      <c r="CB450" s="32"/>
      <c r="CC450" s="32"/>
    </row>
    <row r="451" spans="1:8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  <c r="BF451" s="32"/>
      <c r="BG451" s="32"/>
      <c r="BH451" s="32"/>
      <c r="BI451" s="32"/>
      <c r="BJ451" s="32"/>
      <c r="BK451" s="32"/>
      <c r="BL451" s="32"/>
      <c r="BM451" s="32"/>
      <c r="BN451" s="32"/>
      <c r="BO451" s="32"/>
      <c r="BP451" s="32"/>
      <c r="BQ451" s="32"/>
      <c r="BR451" s="32"/>
      <c r="BS451" s="32"/>
      <c r="BT451" s="32"/>
      <c r="BU451" s="32"/>
      <c r="BV451" s="32"/>
      <c r="BW451" s="32"/>
      <c r="BX451" s="32"/>
      <c r="BY451" s="32"/>
      <c r="BZ451" s="32"/>
      <c r="CA451" s="32"/>
      <c r="CB451" s="32"/>
      <c r="CC451" s="32"/>
    </row>
    <row r="452" spans="1:8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  <c r="BF452" s="32"/>
      <c r="BG452" s="32"/>
      <c r="BH452" s="32"/>
      <c r="BI452" s="32"/>
      <c r="BJ452" s="32"/>
      <c r="BK452" s="32"/>
      <c r="BL452" s="32"/>
      <c r="BM452" s="32"/>
      <c r="BN452" s="32"/>
      <c r="BO452" s="32"/>
      <c r="BP452" s="32"/>
      <c r="BQ452" s="32"/>
      <c r="BR452" s="32"/>
      <c r="BS452" s="32"/>
      <c r="BT452" s="32"/>
      <c r="BU452" s="32"/>
      <c r="BV452" s="32"/>
      <c r="BW452" s="32"/>
      <c r="BX452" s="32"/>
      <c r="BY452" s="32"/>
      <c r="BZ452" s="32"/>
      <c r="CA452" s="32"/>
      <c r="CB452" s="32"/>
      <c r="CC452" s="32"/>
    </row>
    <row r="453" spans="1:8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2"/>
      <c r="BF453" s="32"/>
      <c r="BG453" s="32"/>
      <c r="BH453" s="32"/>
      <c r="BI453" s="32"/>
      <c r="BJ453" s="32"/>
      <c r="BK453" s="32"/>
      <c r="BL453" s="32"/>
      <c r="BM453" s="32"/>
      <c r="BN453" s="32"/>
      <c r="BO453" s="32"/>
      <c r="BP453" s="32"/>
      <c r="BQ453" s="32"/>
      <c r="BR453" s="32"/>
      <c r="BS453" s="32"/>
      <c r="BT453" s="32"/>
      <c r="BU453" s="32"/>
      <c r="BV453" s="32"/>
      <c r="BW453" s="32"/>
      <c r="BX453" s="32"/>
      <c r="BY453" s="32"/>
      <c r="BZ453" s="32"/>
      <c r="CA453" s="32"/>
      <c r="CB453" s="32"/>
      <c r="CC453" s="32"/>
    </row>
    <row r="454" spans="1:8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  <c r="BF454" s="32"/>
      <c r="BG454" s="32"/>
      <c r="BH454" s="32"/>
      <c r="BI454" s="32"/>
      <c r="BJ454" s="32"/>
      <c r="BK454" s="32"/>
      <c r="BL454" s="32"/>
      <c r="BM454" s="32"/>
      <c r="BN454" s="32"/>
      <c r="BO454" s="32"/>
      <c r="BP454" s="32"/>
      <c r="BQ454" s="32"/>
      <c r="BR454" s="32"/>
      <c r="BS454" s="32"/>
      <c r="BT454" s="32"/>
      <c r="BU454" s="32"/>
      <c r="BV454" s="32"/>
      <c r="BW454" s="32"/>
      <c r="BX454" s="32"/>
      <c r="BY454" s="32"/>
      <c r="BZ454" s="32"/>
      <c r="CA454" s="32"/>
      <c r="CB454" s="32"/>
      <c r="CC454" s="32"/>
    </row>
    <row r="455" spans="1:8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  <c r="BG455" s="32"/>
      <c r="BH455" s="32"/>
      <c r="BI455" s="32"/>
      <c r="BJ455" s="32"/>
      <c r="BK455" s="32"/>
      <c r="BL455" s="32"/>
      <c r="BM455" s="32"/>
      <c r="BN455" s="32"/>
      <c r="BO455" s="32"/>
      <c r="BP455" s="32"/>
      <c r="BQ455" s="32"/>
      <c r="BR455" s="32"/>
      <c r="BS455" s="32"/>
      <c r="BT455" s="32"/>
      <c r="BU455" s="32"/>
      <c r="BV455" s="32"/>
      <c r="BW455" s="32"/>
      <c r="BX455" s="32"/>
      <c r="BY455" s="32"/>
      <c r="BZ455" s="32"/>
      <c r="CA455" s="32"/>
      <c r="CB455" s="32"/>
      <c r="CC455" s="32"/>
    </row>
    <row r="456" spans="1:8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2"/>
      <c r="BF456" s="32"/>
      <c r="BG456" s="32"/>
      <c r="BH456" s="32"/>
      <c r="BI456" s="32"/>
      <c r="BJ456" s="32"/>
      <c r="BK456" s="32"/>
      <c r="BL456" s="32"/>
      <c r="BM456" s="32"/>
      <c r="BN456" s="32"/>
      <c r="BO456" s="32"/>
      <c r="BP456" s="32"/>
      <c r="BQ456" s="32"/>
      <c r="BR456" s="32"/>
      <c r="BS456" s="32"/>
      <c r="BT456" s="32"/>
      <c r="BU456" s="32"/>
      <c r="BV456" s="32"/>
      <c r="BW456" s="32"/>
      <c r="BX456" s="32"/>
      <c r="BY456" s="32"/>
      <c r="BZ456" s="32"/>
      <c r="CA456" s="32"/>
      <c r="CB456" s="32"/>
      <c r="CC456" s="32"/>
    </row>
    <row r="457" spans="1:8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  <c r="BF457" s="32"/>
      <c r="BG457" s="32"/>
      <c r="BH457" s="32"/>
      <c r="BI457" s="32"/>
      <c r="BJ457" s="32"/>
      <c r="BK457" s="32"/>
      <c r="BL457" s="32"/>
      <c r="BM457" s="32"/>
      <c r="BN457" s="32"/>
      <c r="BO457" s="32"/>
      <c r="BP457" s="32"/>
      <c r="BQ457" s="32"/>
      <c r="BR457" s="32"/>
      <c r="BS457" s="32"/>
      <c r="BT457" s="32"/>
      <c r="BU457" s="32"/>
      <c r="BV457" s="32"/>
      <c r="BW457" s="32"/>
      <c r="BX457" s="32"/>
      <c r="BY457" s="32"/>
      <c r="BZ457" s="32"/>
      <c r="CA457" s="32"/>
      <c r="CB457" s="32"/>
      <c r="CC457" s="32"/>
    </row>
    <row r="458" spans="1:8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  <c r="BG458" s="32"/>
      <c r="BH458" s="32"/>
      <c r="BI458" s="32"/>
      <c r="BJ458" s="32"/>
      <c r="BK458" s="32"/>
      <c r="BL458" s="32"/>
      <c r="BM458" s="32"/>
      <c r="BN458" s="32"/>
      <c r="BO458" s="32"/>
      <c r="BP458" s="32"/>
      <c r="BQ458" s="32"/>
      <c r="BR458" s="32"/>
      <c r="BS458" s="32"/>
      <c r="BT458" s="32"/>
      <c r="BU458" s="32"/>
      <c r="BV458" s="32"/>
      <c r="BW458" s="32"/>
      <c r="BX458" s="32"/>
      <c r="BY458" s="32"/>
      <c r="BZ458" s="32"/>
      <c r="CA458" s="32"/>
      <c r="CB458" s="32"/>
      <c r="CC458" s="32"/>
    </row>
    <row r="459" spans="1:8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  <c r="BG459" s="32"/>
      <c r="BH459" s="32"/>
      <c r="BI459" s="32"/>
      <c r="BJ459" s="32"/>
      <c r="BK459" s="32"/>
      <c r="BL459" s="32"/>
      <c r="BM459" s="32"/>
      <c r="BN459" s="32"/>
      <c r="BO459" s="32"/>
      <c r="BP459" s="32"/>
      <c r="BQ459" s="32"/>
      <c r="BR459" s="32"/>
      <c r="BS459" s="32"/>
      <c r="BT459" s="32"/>
      <c r="BU459" s="32"/>
      <c r="BV459" s="32"/>
      <c r="BW459" s="32"/>
      <c r="BX459" s="32"/>
      <c r="BY459" s="32"/>
      <c r="BZ459" s="32"/>
      <c r="CA459" s="32"/>
      <c r="CB459" s="32"/>
      <c r="CC459" s="32"/>
    </row>
    <row r="460" spans="1:8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BH460" s="32"/>
      <c r="BI460" s="32"/>
      <c r="BJ460" s="32"/>
      <c r="BK460" s="32"/>
      <c r="BL460" s="32"/>
      <c r="BM460" s="32"/>
      <c r="BN460" s="32"/>
      <c r="BO460" s="32"/>
      <c r="BP460" s="32"/>
      <c r="BQ460" s="32"/>
      <c r="BR460" s="32"/>
      <c r="BS460" s="32"/>
      <c r="BT460" s="32"/>
      <c r="BU460" s="32"/>
      <c r="BV460" s="32"/>
      <c r="BW460" s="32"/>
      <c r="BX460" s="32"/>
      <c r="BY460" s="32"/>
      <c r="BZ460" s="32"/>
      <c r="CA460" s="32"/>
      <c r="CB460" s="32"/>
      <c r="CC460" s="32"/>
    </row>
    <row r="461" spans="1:8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BH461" s="32"/>
      <c r="BI461" s="32"/>
      <c r="BJ461" s="32"/>
      <c r="BK461" s="32"/>
      <c r="BL461" s="32"/>
      <c r="BM461" s="32"/>
      <c r="BN461" s="32"/>
      <c r="BO461" s="32"/>
      <c r="BP461" s="32"/>
      <c r="BQ461" s="32"/>
      <c r="BR461" s="32"/>
      <c r="BS461" s="32"/>
      <c r="BT461" s="32"/>
      <c r="BU461" s="32"/>
      <c r="BV461" s="32"/>
      <c r="BW461" s="32"/>
      <c r="BX461" s="32"/>
      <c r="BY461" s="32"/>
      <c r="BZ461" s="32"/>
      <c r="CA461" s="32"/>
      <c r="CB461" s="32"/>
      <c r="CC461" s="32"/>
    </row>
    <row r="462" spans="1:8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  <c r="BG462" s="32"/>
      <c r="BH462" s="32"/>
      <c r="BI462" s="32"/>
      <c r="BJ462" s="32"/>
      <c r="BK462" s="32"/>
      <c r="BL462" s="32"/>
      <c r="BM462" s="32"/>
      <c r="BN462" s="32"/>
      <c r="BO462" s="32"/>
      <c r="BP462" s="32"/>
      <c r="BQ462" s="32"/>
      <c r="BR462" s="32"/>
      <c r="BS462" s="32"/>
      <c r="BT462" s="32"/>
      <c r="BU462" s="32"/>
      <c r="BV462" s="32"/>
      <c r="BW462" s="32"/>
      <c r="BX462" s="32"/>
      <c r="BY462" s="32"/>
      <c r="BZ462" s="32"/>
      <c r="CA462" s="32"/>
      <c r="CB462" s="32"/>
      <c r="CC462" s="32"/>
    </row>
    <row r="463" spans="1:8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  <c r="BE463" s="32"/>
      <c r="BF463" s="32"/>
      <c r="BG463" s="32"/>
      <c r="BH463" s="32"/>
      <c r="BI463" s="32"/>
      <c r="BJ463" s="32"/>
      <c r="BK463" s="32"/>
      <c r="BL463" s="32"/>
      <c r="BM463" s="32"/>
      <c r="BN463" s="32"/>
      <c r="BO463" s="32"/>
      <c r="BP463" s="32"/>
      <c r="BQ463" s="32"/>
      <c r="BR463" s="32"/>
      <c r="BS463" s="32"/>
      <c r="BT463" s="32"/>
      <c r="BU463" s="32"/>
      <c r="BV463" s="32"/>
      <c r="BW463" s="32"/>
      <c r="BX463" s="32"/>
      <c r="BY463" s="32"/>
      <c r="BZ463" s="32"/>
      <c r="CA463" s="32"/>
      <c r="CB463" s="32"/>
      <c r="CC463" s="32"/>
    </row>
    <row r="464" spans="1:8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  <c r="BF464" s="32"/>
      <c r="BG464" s="32"/>
      <c r="BH464" s="32"/>
      <c r="BI464" s="32"/>
      <c r="BJ464" s="32"/>
      <c r="BK464" s="32"/>
      <c r="BL464" s="32"/>
      <c r="BM464" s="32"/>
      <c r="BN464" s="32"/>
      <c r="BO464" s="32"/>
      <c r="BP464" s="32"/>
      <c r="BQ464" s="32"/>
      <c r="BR464" s="32"/>
      <c r="BS464" s="32"/>
      <c r="BT464" s="32"/>
      <c r="BU464" s="32"/>
      <c r="BV464" s="32"/>
      <c r="BW464" s="32"/>
      <c r="BX464" s="32"/>
      <c r="BY464" s="32"/>
      <c r="BZ464" s="32"/>
      <c r="CA464" s="32"/>
      <c r="CB464" s="32"/>
      <c r="CC464" s="32"/>
    </row>
    <row r="465" spans="1:8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  <c r="BF465" s="32"/>
      <c r="BG465" s="32"/>
      <c r="BH465" s="32"/>
      <c r="BI465" s="32"/>
      <c r="BJ465" s="32"/>
      <c r="BK465" s="32"/>
      <c r="BL465" s="32"/>
      <c r="BM465" s="32"/>
      <c r="BN465" s="32"/>
      <c r="BO465" s="32"/>
      <c r="BP465" s="32"/>
      <c r="BQ465" s="32"/>
      <c r="BR465" s="32"/>
      <c r="BS465" s="32"/>
      <c r="BT465" s="32"/>
      <c r="BU465" s="32"/>
      <c r="BV465" s="32"/>
      <c r="BW465" s="32"/>
      <c r="BX465" s="32"/>
      <c r="BY465" s="32"/>
      <c r="BZ465" s="32"/>
      <c r="CA465" s="32"/>
      <c r="CB465" s="32"/>
      <c r="CC465" s="32"/>
    </row>
    <row r="466" spans="1:8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  <c r="BF466" s="32"/>
      <c r="BG466" s="32"/>
      <c r="BH466" s="32"/>
      <c r="BI466" s="32"/>
      <c r="BJ466" s="32"/>
      <c r="BK466" s="32"/>
      <c r="BL466" s="32"/>
      <c r="BM466" s="32"/>
      <c r="BN466" s="32"/>
      <c r="BO466" s="32"/>
      <c r="BP466" s="32"/>
      <c r="BQ466" s="32"/>
      <c r="BR466" s="32"/>
      <c r="BS466" s="32"/>
      <c r="BT466" s="32"/>
      <c r="BU466" s="32"/>
      <c r="BV466" s="32"/>
      <c r="BW466" s="32"/>
      <c r="BX466" s="32"/>
      <c r="BY466" s="32"/>
      <c r="BZ466" s="32"/>
      <c r="CA466" s="32"/>
      <c r="CB466" s="32"/>
      <c r="CC466" s="32"/>
    </row>
    <row r="467" spans="1:8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  <c r="BF467" s="32"/>
      <c r="BG467" s="32"/>
      <c r="BH467" s="32"/>
      <c r="BI467" s="32"/>
      <c r="BJ467" s="32"/>
      <c r="BK467" s="32"/>
      <c r="BL467" s="32"/>
      <c r="BM467" s="32"/>
      <c r="BN467" s="32"/>
      <c r="BO467" s="32"/>
      <c r="BP467" s="32"/>
      <c r="BQ467" s="32"/>
      <c r="BR467" s="32"/>
      <c r="BS467" s="32"/>
      <c r="BT467" s="32"/>
      <c r="BU467" s="32"/>
      <c r="BV467" s="32"/>
      <c r="BW467" s="32"/>
      <c r="BX467" s="32"/>
      <c r="BY467" s="32"/>
      <c r="BZ467" s="32"/>
      <c r="CA467" s="32"/>
      <c r="CB467" s="32"/>
      <c r="CC467" s="32"/>
    </row>
    <row r="468" spans="1:8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2"/>
      <c r="BF468" s="32"/>
      <c r="BG468" s="32"/>
      <c r="BH468" s="32"/>
      <c r="BI468" s="32"/>
      <c r="BJ468" s="32"/>
      <c r="BK468" s="32"/>
      <c r="BL468" s="32"/>
      <c r="BM468" s="32"/>
      <c r="BN468" s="32"/>
      <c r="BO468" s="32"/>
      <c r="BP468" s="32"/>
      <c r="BQ468" s="32"/>
      <c r="BR468" s="32"/>
      <c r="BS468" s="32"/>
      <c r="BT468" s="32"/>
      <c r="BU468" s="32"/>
      <c r="BV468" s="32"/>
      <c r="BW468" s="32"/>
      <c r="BX468" s="32"/>
      <c r="BY468" s="32"/>
      <c r="BZ468" s="32"/>
      <c r="CA468" s="32"/>
      <c r="CB468" s="32"/>
      <c r="CC468" s="32"/>
    </row>
    <row r="469" spans="1:8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  <c r="BG469" s="32"/>
      <c r="BH469" s="32"/>
      <c r="BI469" s="32"/>
      <c r="BJ469" s="32"/>
      <c r="BK469" s="32"/>
      <c r="BL469" s="32"/>
      <c r="BM469" s="32"/>
      <c r="BN469" s="32"/>
      <c r="BO469" s="32"/>
      <c r="BP469" s="32"/>
      <c r="BQ469" s="32"/>
      <c r="BR469" s="32"/>
      <c r="BS469" s="32"/>
      <c r="BT469" s="32"/>
      <c r="BU469" s="32"/>
      <c r="BV469" s="32"/>
      <c r="BW469" s="32"/>
      <c r="BX469" s="32"/>
      <c r="BY469" s="32"/>
      <c r="BZ469" s="32"/>
      <c r="CA469" s="32"/>
      <c r="CB469" s="32"/>
      <c r="CC469" s="32"/>
    </row>
    <row r="470" spans="1:8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  <c r="BG470" s="32"/>
      <c r="BH470" s="32"/>
      <c r="BI470" s="32"/>
      <c r="BJ470" s="32"/>
      <c r="BK470" s="32"/>
      <c r="BL470" s="32"/>
      <c r="BM470" s="32"/>
      <c r="BN470" s="32"/>
      <c r="BO470" s="32"/>
      <c r="BP470" s="32"/>
      <c r="BQ470" s="32"/>
      <c r="BR470" s="32"/>
      <c r="BS470" s="32"/>
      <c r="BT470" s="32"/>
      <c r="BU470" s="32"/>
      <c r="BV470" s="32"/>
      <c r="BW470" s="32"/>
      <c r="BX470" s="32"/>
      <c r="BY470" s="32"/>
      <c r="BZ470" s="32"/>
      <c r="CA470" s="32"/>
      <c r="CB470" s="32"/>
      <c r="CC470" s="32"/>
    </row>
    <row r="471" spans="1:8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  <c r="BG471" s="32"/>
      <c r="BH471" s="32"/>
      <c r="BI471" s="32"/>
      <c r="BJ471" s="32"/>
      <c r="BK471" s="32"/>
      <c r="BL471" s="32"/>
      <c r="BM471" s="32"/>
      <c r="BN471" s="32"/>
      <c r="BO471" s="32"/>
      <c r="BP471" s="32"/>
      <c r="BQ471" s="32"/>
      <c r="BR471" s="32"/>
      <c r="BS471" s="32"/>
      <c r="BT471" s="32"/>
      <c r="BU471" s="32"/>
      <c r="BV471" s="32"/>
      <c r="BW471" s="32"/>
      <c r="BX471" s="32"/>
      <c r="BY471" s="32"/>
      <c r="BZ471" s="32"/>
      <c r="CA471" s="32"/>
      <c r="CB471" s="32"/>
      <c r="CC471" s="32"/>
    </row>
    <row r="472" spans="1:8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  <c r="BF472" s="32"/>
      <c r="BG472" s="32"/>
      <c r="BH472" s="32"/>
      <c r="BI472" s="32"/>
      <c r="BJ472" s="32"/>
      <c r="BK472" s="32"/>
      <c r="BL472" s="32"/>
      <c r="BM472" s="32"/>
      <c r="BN472" s="32"/>
      <c r="BO472" s="32"/>
      <c r="BP472" s="32"/>
      <c r="BQ472" s="32"/>
      <c r="BR472" s="32"/>
      <c r="BS472" s="32"/>
      <c r="BT472" s="32"/>
      <c r="BU472" s="32"/>
      <c r="BV472" s="32"/>
      <c r="BW472" s="32"/>
      <c r="BX472" s="32"/>
      <c r="BY472" s="32"/>
      <c r="BZ472" s="32"/>
      <c r="CA472" s="32"/>
      <c r="CB472" s="32"/>
      <c r="CC472" s="32"/>
    </row>
    <row r="473" spans="1:8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  <c r="BF473" s="32"/>
      <c r="BG473" s="32"/>
      <c r="BH473" s="32"/>
      <c r="BI473" s="32"/>
      <c r="BJ473" s="32"/>
      <c r="BK473" s="32"/>
      <c r="BL473" s="32"/>
      <c r="BM473" s="32"/>
      <c r="BN473" s="32"/>
      <c r="BO473" s="32"/>
      <c r="BP473" s="32"/>
      <c r="BQ473" s="32"/>
      <c r="BR473" s="32"/>
      <c r="BS473" s="32"/>
      <c r="BT473" s="32"/>
      <c r="BU473" s="32"/>
      <c r="BV473" s="32"/>
      <c r="BW473" s="32"/>
      <c r="BX473" s="32"/>
      <c r="BY473" s="32"/>
      <c r="BZ473" s="32"/>
      <c r="CA473" s="32"/>
      <c r="CB473" s="32"/>
      <c r="CC473" s="32"/>
    </row>
    <row r="474" spans="1:8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2"/>
      <c r="BF474" s="32"/>
      <c r="BG474" s="32"/>
      <c r="BH474" s="32"/>
      <c r="BI474" s="32"/>
      <c r="BJ474" s="32"/>
      <c r="BK474" s="32"/>
      <c r="BL474" s="32"/>
      <c r="BM474" s="32"/>
      <c r="BN474" s="32"/>
      <c r="BO474" s="32"/>
      <c r="BP474" s="32"/>
      <c r="BQ474" s="32"/>
      <c r="BR474" s="32"/>
      <c r="BS474" s="32"/>
      <c r="BT474" s="32"/>
      <c r="BU474" s="32"/>
      <c r="BV474" s="32"/>
      <c r="BW474" s="32"/>
      <c r="BX474" s="32"/>
      <c r="BY474" s="32"/>
      <c r="BZ474" s="32"/>
      <c r="CA474" s="32"/>
      <c r="CB474" s="32"/>
      <c r="CC474" s="32"/>
    </row>
    <row r="475" spans="1:8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2"/>
      <c r="BF475" s="32"/>
      <c r="BG475" s="32"/>
      <c r="BH475" s="32"/>
      <c r="BI475" s="32"/>
      <c r="BJ475" s="32"/>
      <c r="BK475" s="32"/>
      <c r="BL475" s="32"/>
      <c r="BM475" s="32"/>
      <c r="BN475" s="32"/>
      <c r="BO475" s="32"/>
      <c r="BP475" s="32"/>
      <c r="BQ475" s="32"/>
      <c r="BR475" s="32"/>
      <c r="BS475" s="32"/>
      <c r="BT475" s="32"/>
      <c r="BU475" s="32"/>
      <c r="BV475" s="32"/>
      <c r="BW475" s="32"/>
      <c r="BX475" s="32"/>
      <c r="BY475" s="32"/>
      <c r="BZ475" s="32"/>
      <c r="CA475" s="32"/>
      <c r="CB475" s="32"/>
      <c r="CC475" s="32"/>
    </row>
    <row r="476" spans="1:8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  <c r="BF476" s="32"/>
      <c r="BG476" s="32"/>
      <c r="BH476" s="32"/>
      <c r="BI476" s="32"/>
      <c r="BJ476" s="32"/>
      <c r="BK476" s="32"/>
      <c r="BL476" s="32"/>
      <c r="BM476" s="32"/>
      <c r="BN476" s="32"/>
      <c r="BO476" s="32"/>
      <c r="BP476" s="32"/>
      <c r="BQ476" s="32"/>
      <c r="BR476" s="32"/>
      <c r="BS476" s="32"/>
      <c r="BT476" s="32"/>
      <c r="BU476" s="32"/>
      <c r="BV476" s="32"/>
      <c r="BW476" s="32"/>
      <c r="BX476" s="32"/>
      <c r="BY476" s="32"/>
      <c r="BZ476" s="32"/>
      <c r="CA476" s="32"/>
      <c r="CB476" s="32"/>
      <c r="CC476" s="32"/>
    </row>
    <row r="477" spans="1:8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  <c r="BF477" s="32"/>
      <c r="BG477" s="32"/>
      <c r="BH477" s="32"/>
      <c r="BI477" s="32"/>
      <c r="BJ477" s="32"/>
      <c r="BK477" s="32"/>
      <c r="BL477" s="32"/>
      <c r="BM477" s="32"/>
      <c r="BN477" s="32"/>
      <c r="BO477" s="32"/>
      <c r="BP477" s="32"/>
      <c r="BQ477" s="32"/>
      <c r="BR477" s="32"/>
      <c r="BS477" s="32"/>
      <c r="BT477" s="32"/>
      <c r="BU477" s="32"/>
      <c r="BV477" s="32"/>
      <c r="BW477" s="32"/>
      <c r="BX477" s="32"/>
      <c r="BY477" s="32"/>
      <c r="BZ477" s="32"/>
      <c r="CA477" s="32"/>
      <c r="CB477" s="32"/>
      <c r="CC477" s="32"/>
    </row>
    <row r="478" spans="1:8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2"/>
      <c r="BF478" s="32"/>
      <c r="BG478" s="32"/>
      <c r="BH478" s="32"/>
      <c r="BI478" s="32"/>
      <c r="BJ478" s="32"/>
      <c r="BK478" s="32"/>
      <c r="BL478" s="32"/>
      <c r="BM478" s="32"/>
      <c r="BN478" s="32"/>
      <c r="BO478" s="32"/>
      <c r="BP478" s="32"/>
      <c r="BQ478" s="32"/>
      <c r="BR478" s="32"/>
      <c r="BS478" s="32"/>
      <c r="BT478" s="32"/>
      <c r="BU478" s="32"/>
      <c r="BV478" s="32"/>
      <c r="BW478" s="32"/>
      <c r="BX478" s="32"/>
      <c r="BY478" s="32"/>
      <c r="BZ478" s="32"/>
      <c r="CA478" s="32"/>
      <c r="CB478" s="32"/>
      <c r="CC478" s="32"/>
    </row>
    <row r="479" spans="1:8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  <c r="BE479" s="32"/>
      <c r="BF479" s="32"/>
      <c r="BG479" s="32"/>
      <c r="BH479" s="32"/>
      <c r="BI479" s="32"/>
      <c r="BJ479" s="32"/>
      <c r="BK479" s="32"/>
      <c r="BL479" s="32"/>
      <c r="BM479" s="32"/>
      <c r="BN479" s="32"/>
      <c r="BO479" s="32"/>
      <c r="BP479" s="32"/>
      <c r="BQ479" s="32"/>
      <c r="BR479" s="32"/>
      <c r="BS479" s="32"/>
      <c r="BT479" s="32"/>
      <c r="BU479" s="32"/>
      <c r="BV479" s="32"/>
      <c r="BW479" s="32"/>
      <c r="BX479" s="32"/>
      <c r="BY479" s="32"/>
      <c r="BZ479" s="32"/>
      <c r="CA479" s="32"/>
      <c r="CB479" s="32"/>
      <c r="CC479" s="32"/>
    </row>
    <row r="480" spans="1:8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  <c r="BF480" s="32"/>
      <c r="BG480" s="32"/>
      <c r="BH480" s="32"/>
      <c r="BI480" s="32"/>
      <c r="BJ480" s="32"/>
      <c r="BK480" s="32"/>
      <c r="BL480" s="32"/>
      <c r="BM480" s="32"/>
      <c r="BN480" s="32"/>
      <c r="BO480" s="32"/>
      <c r="BP480" s="32"/>
      <c r="BQ480" s="32"/>
      <c r="BR480" s="32"/>
      <c r="BS480" s="32"/>
      <c r="BT480" s="32"/>
      <c r="BU480" s="32"/>
      <c r="BV480" s="32"/>
      <c r="BW480" s="32"/>
      <c r="BX480" s="32"/>
      <c r="BY480" s="32"/>
      <c r="BZ480" s="32"/>
      <c r="CA480" s="32"/>
      <c r="CB480" s="32"/>
      <c r="CC480" s="32"/>
    </row>
    <row r="481" spans="1: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  <c r="BF481" s="32"/>
      <c r="BG481" s="32"/>
      <c r="BH481" s="32"/>
      <c r="BI481" s="32"/>
      <c r="BJ481" s="32"/>
      <c r="BK481" s="32"/>
      <c r="BL481" s="32"/>
      <c r="BM481" s="32"/>
      <c r="BN481" s="32"/>
      <c r="BO481" s="32"/>
      <c r="BP481" s="32"/>
      <c r="BQ481" s="32"/>
      <c r="BR481" s="32"/>
      <c r="BS481" s="32"/>
      <c r="BT481" s="32"/>
      <c r="BU481" s="32"/>
      <c r="BV481" s="32"/>
      <c r="BW481" s="32"/>
      <c r="BX481" s="32"/>
      <c r="BY481" s="32"/>
      <c r="BZ481" s="32"/>
      <c r="CA481" s="32"/>
      <c r="CB481" s="32"/>
      <c r="CC481" s="32"/>
    </row>
    <row r="482" spans="1:8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  <c r="BG482" s="32"/>
      <c r="BH482" s="32"/>
      <c r="BI482" s="32"/>
      <c r="BJ482" s="32"/>
      <c r="BK482" s="32"/>
      <c r="BL482" s="32"/>
      <c r="BM482" s="32"/>
      <c r="BN482" s="32"/>
      <c r="BO482" s="32"/>
      <c r="BP482" s="32"/>
      <c r="BQ482" s="32"/>
      <c r="BR482" s="32"/>
      <c r="BS482" s="32"/>
      <c r="BT482" s="32"/>
      <c r="BU482" s="32"/>
      <c r="BV482" s="32"/>
      <c r="BW482" s="32"/>
      <c r="BX482" s="32"/>
      <c r="BY482" s="32"/>
      <c r="BZ482" s="32"/>
      <c r="CA482" s="32"/>
      <c r="CB482" s="32"/>
      <c r="CC482" s="32"/>
    </row>
    <row r="483" spans="1:8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  <c r="BF483" s="32"/>
      <c r="BG483" s="32"/>
      <c r="BH483" s="32"/>
      <c r="BI483" s="32"/>
      <c r="BJ483" s="32"/>
      <c r="BK483" s="32"/>
      <c r="BL483" s="32"/>
      <c r="BM483" s="32"/>
      <c r="BN483" s="32"/>
      <c r="BO483" s="32"/>
      <c r="BP483" s="32"/>
      <c r="BQ483" s="32"/>
      <c r="BR483" s="32"/>
      <c r="BS483" s="32"/>
      <c r="BT483" s="32"/>
      <c r="BU483" s="32"/>
      <c r="BV483" s="32"/>
      <c r="BW483" s="32"/>
      <c r="BX483" s="32"/>
      <c r="BY483" s="32"/>
      <c r="BZ483" s="32"/>
      <c r="CA483" s="32"/>
      <c r="CB483" s="32"/>
      <c r="CC483" s="32"/>
    </row>
    <row r="484" spans="1:8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  <c r="BF484" s="32"/>
      <c r="BG484" s="32"/>
      <c r="BH484" s="32"/>
      <c r="BI484" s="32"/>
      <c r="BJ484" s="32"/>
      <c r="BK484" s="32"/>
      <c r="BL484" s="32"/>
      <c r="BM484" s="32"/>
      <c r="BN484" s="32"/>
      <c r="BO484" s="32"/>
      <c r="BP484" s="32"/>
      <c r="BQ484" s="32"/>
      <c r="BR484" s="32"/>
      <c r="BS484" s="32"/>
      <c r="BT484" s="32"/>
      <c r="BU484" s="32"/>
      <c r="BV484" s="32"/>
      <c r="BW484" s="32"/>
      <c r="BX484" s="32"/>
      <c r="BY484" s="32"/>
      <c r="BZ484" s="32"/>
      <c r="CA484" s="32"/>
      <c r="CB484" s="32"/>
      <c r="CC484" s="32"/>
    </row>
    <row r="485" spans="1:8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  <c r="BG485" s="32"/>
      <c r="BH485" s="32"/>
      <c r="BI485" s="32"/>
      <c r="BJ485" s="32"/>
      <c r="BK485" s="32"/>
      <c r="BL485" s="32"/>
      <c r="BM485" s="32"/>
      <c r="BN485" s="32"/>
      <c r="BO485" s="32"/>
      <c r="BP485" s="32"/>
      <c r="BQ485" s="32"/>
      <c r="BR485" s="32"/>
      <c r="BS485" s="32"/>
      <c r="BT485" s="32"/>
      <c r="BU485" s="32"/>
      <c r="BV485" s="32"/>
      <c r="BW485" s="32"/>
      <c r="BX485" s="32"/>
      <c r="BY485" s="32"/>
      <c r="BZ485" s="32"/>
      <c r="CA485" s="32"/>
      <c r="CB485" s="32"/>
      <c r="CC485" s="32"/>
    </row>
    <row r="486" spans="1:8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  <c r="BG486" s="32"/>
      <c r="BH486" s="32"/>
      <c r="BI486" s="32"/>
      <c r="BJ486" s="32"/>
      <c r="BK486" s="32"/>
      <c r="BL486" s="32"/>
      <c r="BM486" s="32"/>
      <c r="BN486" s="32"/>
      <c r="BO486" s="32"/>
      <c r="BP486" s="32"/>
      <c r="BQ486" s="32"/>
      <c r="BR486" s="32"/>
      <c r="BS486" s="32"/>
      <c r="BT486" s="32"/>
      <c r="BU486" s="32"/>
      <c r="BV486" s="32"/>
      <c r="BW486" s="32"/>
      <c r="BX486" s="32"/>
      <c r="BY486" s="32"/>
      <c r="BZ486" s="32"/>
      <c r="CA486" s="32"/>
      <c r="CB486" s="32"/>
      <c r="CC486" s="32"/>
    </row>
    <row r="487" spans="1:8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  <c r="BF487" s="32"/>
      <c r="BG487" s="32"/>
      <c r="BH487" s="32"/>
      <c r="BI487" s="32"/>
      <c r="BJ487" s="32"/>
      <c r="BK487" s="32"/>
      <c r="BL487" s="32"/>
      <c r="BM487" s="32"/>
      <c r="BN487" s="32"/>
      <c r="BO487" s="32"/>
      <c r="BP487" s="32"/>
      <c r="BQ487" s="32"/>
      <c r="BR487" s="32"/>
      <c r="BS487" s="32"/>
      <c r="BT487" s="32"/>
      <c r="BU487" s="32"/>
      <c r="BV487" s="32"/>
      <c r="BW487" s="32"/>
      <c r="BX487" s="32"/>
      <c r="BY487" s="32"/>
      <c r="BZ487" s="32"/>
      <c r="CA487" s="32"/>
      <c r="CB487" s="32"/>
      <c r="CC487" s="32"/>
    </row>
    <row r="488" spans="1:8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  <c r="BE488" s="32"/>
      <c r="BF488" s="32"/>
      <c r="BG488" s="32"/>
      <c r="BH488" s="32"/>
      <c r="BI488" s="32"/>
      <c r="BJ488" s="32"/>
      <c r="BK488" s="32"/>
      <c r="BL488" s="32"/>
      <c r="BM488" s="32"/>
      <c r="BN488" s="32"/>
      <c r="BO488" s="32"/>
      <c r="BP488" s="32"/>
      <c r="BQ488" s="32"/>
      <c r="BR488" s="32"/>
      <c r="BS488" s="32"/>
      <c r="BT488" s="32"/>
      <c r="BU488" s="32"/>
      <c r="BV488" s="32"/>
      <c r="BW488" s="32"/>
      <c r="BX488" s="32"/>
      <c r="BY488" s="32"/>
      <c r="BZ488" s="32"/>
      <c r="CA488" s="32"/>
      <c r="CB488" s="32"/>
      <c r="CC488" s="32"/>
    </row>
    <row r="489" spans="1:8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  <c r="BE489" s="32"/>
      <c r="BF489" s="32"/>
      <c r="BG489" s="32"/>
      <c r="BH489" s="32"/>
      <c r="BI489" s="32"/>
      <c r="BJ489" s="32"/>
      <c r="BK489" s="32"/>
      <c r="BL489" s="32"/>
      <c r="BM489" s="32"/>
      <c r="BN489" s="32"/>
      <c r="BO489" s="32"/>
      <c r="BP489" s="32"/>
      <c r="BQ489" s="32"/>
      <c r="BR489" s="32"/>
      <c r="BS489" s="32"/>
      <c r="BT489" s="32"/>
      <c r="BU489" s="32"/>
      <c r="BV489" s="32"/>
      <c r="BW489" s="32"/>
      <c r="BX489" s="32"/>
      <c r="BY489" s="32"/>
      <c r="BZ489" s="32"/>
      <c r="CA489" s="32"/>
      <c r="CB489" s="32"/>
      <c r="CC489" s="32"/>
    </row>
    <row r="490" spans="1:8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  <c r="BF490" s="32"/>
      <c r="BG490" s="32"/>
      <c r="BH490" s="32"/>
      <c r="BI490" s="32"/>
      <c r="BJ490" s="32"/>
      <c r="BK490" s="32"/>
      <c r="BL490" s="32"/>
      <c r="BM490" s="32"/>
      <c r="BN490" s="32"/>
      <c r="BO490" s="32"/>
      <c r="BP490" s="32"/>
      <c r="BQ490" s="32"/>
      <c r="BR490" s="32"/>
      <c r="BS490" s="32"/>
      <c r="BT490" s="32"/>
      <c r="BU490" s="32"/>
      <c r="BV490" s="32"/>
      <c r="BW490" s="32"/>
      <c r="BX490" s="32"/>
      <c r="BY490" s="32"/>
      <c r="BZ490" s="32"/>
      <c r="CA490" s="32"/>
      <c r="CB490" s="32"/>
      <c r="CC490" s="32"/>
    </row>
    <row r="491" spans="1:8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  <c r="BF491" s="32"/>
      <c r="BG491" s="32"/>
      <c r="BH491" s="32"/>
      <c r="BI491" s="32"/>
      <c r="BJ491" s="32"/>
      <c r="BK491" s="32"/>
      <c r="BL491" s="32"/>
      <c r="BM491" s="32"/>
      <c r="BN491" s="32"/>
      <c r="BO491" s="32"/>
      <c r="BP491" s="32"/>
      <c r="BQ491" s="32"/>
      <c r="BR491" s="32"/>
      <c r="BS491" s="32"/>
      <c r="BT491" s="32"/>
      <c r="BU491" s="32"/>
      <c r="BV491" s="32"/>
      <c r="BW491" s="32"/>
      <c r="BX491" s="32"/>
      <c r="BY491" s="32"/>
      <c r="BZ491" s="32"/>
      <c r="CA491" s="32"/>
      <c r="CB491" s="32"/>
      <c r="CC491" s="32"/>
    </row>
    <row r="492" spans="1:8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2"/>
      <c r="BF492" s="32"/>
      <c r="BG492" s="32"/>
      <c r="BH492" s="32"/>
      <c r="BI492" s="32"/>
      <c r="BJ492" s="32"/>
      <c r="BK492" s="32"/>
      <c r="BL492" s="32"/>
      <c r="BM492" s="32"/>
      <c r="BN492" s="32"/>
      <c r="BO492" s="32"/>
      <c r="BP492" s="32"/>
      <c r="BQ492" s="32"/>
      <c r="BR492" s="32"/>
      <c r="BS492" s="32"/>
      <c r="BT492" s="32"/>
      <c r="BU492" s="32"/>
      <c r="BV492" s="32"/>
      <c r="BW492" s="32"/>
      <c r="BX492" s="32"/>
      <c r="BY492" s="32"/>
      <c r="BZ492" s="32"/>
      <c r="CA492" s="32"/>
      <c r="CB492" s="32"/>
      <c r="CC492" s="32"/>
    </row>
    <row r="493" spans="1:8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  <c r="BG493" s="32"/>
      <c r="BH493" s="32"/>
      <c r="BI493" s="32"/>
      <c r="BJ493" s="32"/>
      <c r="BK493" s="32"/>
      <c r="BL493" s="32"/>
      <c r="BM493" s="32"/>
      <c r="BN493" s="32"/>
      <c r="BO493" s="32"/>
      <c r="BP493" s="32"/>
      <c r="BQ493" s="32"/>
      <c r="BR493" s="32"/>
      <c r="BS493" s="32"/>
      <c r="BT493" s="32"/>
      <c r="BU493" s="32"/>
      <c r="BV493" s="32"/>
      <c r="BW493" s="32"/>
      <c r="BX493" s="32"/>
      <c r="BY493" s="32"/>
      <c r="BZ493" s="32"/>
      <c r="CA493" s="32"/>
      <c r="CB493" s="32"/>
      <c r="CC493" s="32"/>
    </row>
    <row r="494" spans="1:8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  <c r="BF494" s="32"/>
      <c r="BG494" s="32"/>
      <c r="BH494" s="32"/>
      <c r="BI494" s="32"/>
      <c r="BJ494" s="32"/>
      <c r="BK494" s="32"/>
      <c r="BL494" s="32"/>
      <c r="BM494" s="32"/>
      <c r="BN494" s="32"/>
      <c r="BO494" s="32"/>
      <c r="BP494" s="32"/>
      <c r="BQ494" s="32"/>
      <c r="BR494" s="32"/>
      <c r="BS494" s="32"/>
      <c r="BT494" s="32"/>
      <c r="BU494" s="32"/>
      <c r="BV494" s="32"/>
      <c r="BW494" s="32"/>
      <c r="BX494" s="32"/>
      <c r="BY494" s="32"/>
      <c r="BZ494" s="32"/>
      <c r="CA494" s="32"/>
      <c r="CB494" s="32"/>
      <c r="CC494" s="32"/>
    </row>
    <row r="495" spans="1:8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  <c r="BF495" s="32"/>
      <c r="BG495" s="32"/>
      <c r="BH495" s="32"/>
      <c r="BI495" s="32"/>
      <c r="BJ495" s="32"/>
      <c r="BK495" s="32"/>
      <c r="BL495" s="32"/>
      <c r="BM495" s="32"/>
      <c r="BN495" s="32"/>
      <c r="BO495" s="32"/>
      <c r="BP495" s="32"/>
      <c r="BQ495" s="32"/>
      <c r="BR495" s="32"/>
      <c r="BS495" s="32"/>
      <c r="BT495" s="32"/>
      <c r="BU495" s="32"/>
      <c r="BV495" s="32"/>
      <c r="BW495" s="32"/>
      <c r="BX495" s="32"/>
      <c r="BY495" s="32"/>
      <c r="BZ495" s="32"/>
      <c r="CA495" s="32"/>
      <c r="CB495" s="32"/>
      <c r="CC495" s="32"/>
    </row>
    <row r="496" spans="1:8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  <c r="BG496" s="32"/>
      <c r="BH496" s="32"/>
      <c r="BI496" s="32"/>
      <c r="BJ496" s="32"/>
      <c r="BK496" s="32"/>
      <c r="BL496" s="32"/>
      <c r="BM496" s="32"/>
      <c r="BN496" s="32"/>
      <c r="BO496" s="32"/>
      <c r="BP496" s="32"/>
      <c r="BQ496" s="32"/>
      <c r="BR496" s="32"/>
      <c r="BS496" s="32"/>
      <c r="BT496" s="32"/>
      <c r="BU496" s="32"/>
      <c r="BV496" s="32"/>
      <c r="BW496" s="32"/>
      <c r="BX496" s="32"/>
      <c r="BY496" s="32"/>
      <c r="BZ496" s="32"/>
      <c r="CA496" s="32"/>
      <c r="CB496" s="32"/>
      <c r="CC496" s="32"/>
    </row>
    <row r="497" spans="1:8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  <c r="BF497" s="32"/>
      <c r="BG497" s="32"/>
      <c r="BH497" s="32"/>
      <c r="BI497" s="32"/>
      <c r="BJ497" s="32"/>
      <c r="BK497" s="32"/>
      <c r="BL497" s="32"/>
      <c r="BM497" s="32"/>
      <c r="BN497" s="32"/>
      <c r="BO497" s="32"/>
      <c r="BP497" s="32"/>
      <c r="BQ497" s="32"/>
      <c r="BR497" s="32"/>
      <c r="BS497" s="32"/>
      <c r="BT497" s="32"/>
      <c r="BU497" s="32"/>
      <c r="BV497" s="32"/>
      <c r="BW497" s="32"/>
      <c r="BX497" s="32"/>
      <c r="BY497" s="32"/>
      <c r="BZ497" s="32"/>
      <c r="CA497" s="32"/>
      <c r="CB497" s="32"/>
      <c r="CC497" s="32"/>
    </row>
    <row r="498" spans="1:8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  <c r="BF498" s="32"/>
      <c r="BG498" s="32"/>
      <c r="BH498" s="32"/>
      <c r="BI498" s="32"/>
      <c r="BJ498" s="32"/>
      <c r="BK498" s="32"/>
      <c r="BL498" s="32"/>
      <c r="BM498" s="32"/>
      <c r="BN498" s="32"/>
      <c r="BO498" s="32"/>
      <c r="BP498" s="32"/>
      <c r="BQ498" s="32"/>
      <c r="BR498" s="32"/>
      <c r="BS498" s="32"/>
      <c r="BT498" s="32"/>
      <c r="BU498" s="32"/>
      <c r="BV498" s="32"/>
      <c r="BW498" s="32"/>
      <c r="BX498" s="32"/>
      <c r="BY498" s="32"/>
      <c r="BZ498" s="32"/>
      <c r="CA498" s="32"/>
      <c r="CB498" s="32"/>
      <c r="CC498" s="32"/>
    </row>
    <row r="499" spans="1:8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  <c r="BG499" s="32"/>
      <c r="BH499" s="32"/>
      <c r="BI499" s="32"/>
      <c r="BJ499" s="32"/>
      <c r="BK499" s="32"/>
      <c r="BL499" s="32"/>
      <c r="BM499" s="32"/>
      <c r="BN499" s="32"/>
      <c r="BO499" s="32"/>
      <c r="BP499" s="32"/>
      <c r="BQ499" s="32"/>
      <c r="BR499" s="32"/>
      <c r="BS499" s="32"/>
      <c r="BT499" s="32"/>
      <c r="BU499" s="32"/>
      <c r="BV499" s="32"/>
      <c r="BW499" s="32"/>
      <c r="BX499" s="32"/>
      <c r="BY499" s="32"/>
      <c r="BZ499" s="32"/>
      <c r="CA499" s="32"/>
      <c r="CB499" s="32"/>
      <c r="CC499" s="32"/>
    </row>
    <row r="500" spans="1:8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32"/>
      <c r="BE500" s="32"/>
      <c r="BF500" s="32"/>
      <c r="BG500" s="32"/>
      <c r="BH500" s="32"/>
      <c r="BI500" s="32"/>
      <c r="BJ500" s="32"/>
      <c r="BK500" s="32"/>
      <c r="BL500" s="32"/>
      <c r="BM500" s="32"/>
      <c r="BN500" s="32"/>
      <c r="BO500" s="32"/>
      <c r="BP500" s="32"/>
      <c r="BQ500" s="32"/>
      <c r="BR500" s="32"/>
      <c r="BS500" s="32"/>
      <c r="BT500" s="32"/>
      <c r="BU500" s="32"/>
      <c r="BV500" s="32"/>
      <c r="BW500" s="32"/>
      <c r="BX500" s="32"/>
      <c r="BY500" s="32"/>
      <c r="BZ500" s="32"/>
      <c r="CA500" s="32"/>
      <c r="CB500" s="32"/>
      <c r="CC500" s="32"/>
    </row>
    <row r="501" spans="1:8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  <c r="BD501" s="32"/>
      <c r="BE501" s="32"/>
      <c r="BF501" s="32"/>
      <c r="BG501" s="32"/>
      <c r="BH501" s="32"/>
      <c r="BI501" s="32"/>
      <c r="BJ501" s="32"/>
      <c r="BK501" s="32"/>
      <c r="BL501" s="32"/>
      <c r="BM501" s="32"/>
      <c r="BN501" s="32"/>
      <c r="BO501" s="32"/>
      <c r="BP501" s="32"/>
      <c r="BQ501" s="32"/>
      <c r="BR501" s="32"/>
      <c r="BS501" s="32"/>
      <c r="BT501" s="32"/>
      <c r="BU501" s="32"/>
      <c r="BV501" s="32"/>
      <c r="BW501" s="32"/>
      <c r="BX501" s="32"/>
      <c r="BY501" s="32"/>
      <c r="BZ501" s="32"/>
      <c r="CA501" s="32"/>
      <c r="CB501" s="32"/>
      <c r="CC501" s="32"/>
    </row>
    <row r="502" spans="1:8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2"/>
      <c r="BF502" s="32"/>
      <c r="BG502" s="32"/>
      <c r="BH502" s="32"/>
      <c r="BI502" s="32"/>
      <c r="BJ502" s="32"/>
      <c r="BK502" s="32"/>
      <c r="BL502" s="32"/>
      <c r="BM502" s="32"/>
      <c r="BN502" s="32"/>
      <c r="BO502" s="32"/>
      <c r="BP502" s="32"/>
      <c r="BQ502" s="32"/>
      <c r="BR502" s="32"/>
      <c r="BS502" s="32"/>
      <c r="BT502" s="32"/>
      <c r="BU502" s="32"/>
      <c r="BV502" s="32"/>
      <c r="BW502" s="32"/>
      <c r="BX502" s="32"/>
      <c r="BY502" s="32"/>
      <c r="BZ502" s="32"/>
      <c r="CA502" s="32"/>
      <c r="CB502" s="32"/>
      <c r="CC502" s="32"/>
    </row>
    <row r="503" spans="1:8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2"/>
      <c r="BF503" s="32"/>
      <c r="BG503" s="32"/>
      <c r="BH503" s="32"/>
      <c r="BI503" s="32"/>
      <c r="BJ503" s="32"/>
      <c r="BK503" s="32"/>
      <c r="BL503" s="32"/>
      <c r="BM503" s="32"/>
      <c r="BN503" s="32"/>
      <c r="BO503" s="32"/>
      <c r="BP503" s="32"/>
      <c r="BQ503" s="32"/>
      <c r="BR503" s="32"/>
      <c r="BS503" s="32"/>
      <c r="BT503" s="32"/>
      <c r="BU503" s="32"/>
      <c r="BV503" s="32"/>
      <c r="BW503" s="32"/>
      <c r="BX503" s="32"/>
      <c r="BY503" s="32"/>
      <c r="BZ503" s="32"/>
      <c r="CA503" s="32"/>
      <c r="CB503" s="32"/>
      <c r="CC503" s="32"/>
    </row>
    <row r="504" spans="1:8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2"/>
      <c r="BF504" s="32"/>
      <c r="BG504" s="32"/>
      <c r="BH504" s="32"/>
      <c r="BI504" s="32"/>
      <c r="BJ504" s="32"/>
      <c r="BK504" s="32"/>
      <c r="BL504" s="32"/>
      <c r="BM504" s="32"/>
      <c r="BN504" s="32"/>
      <c r="BO504" s="32"/>
      <c r="BP504" s="32"/>
      <c r="BQ504" s="32"/>
      <c r="BR504" s="32"/>
      <c r="BS504" s="32"/>
      <c r="BT504" s="32"/>
      <c r="BU504" s="32"/>
      <c r="BV504" s="32"/>
      <c r="BW504" s="32"/>
      <c r="BX504" s="32"/>
      <c r="BY504" s="32"/>
      <c r="BZ504" s="32"/>
      <c r="CA504" s="32"/>
      <c r="CB504" s="32"/>
      <c r="CC504" s="32"/>
    </row>
    <row r="505" spans="1:8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  <c r="BD505" s="32"/>
      <c r="BE505" s="32"/>
      <c r="BF505" s="32"/>
      <c r="BG505" s="32"/>
      <c r="BH505" s="32"/>
      <c r="BI505" s="32"/>
      <c r="BJ505" s="32"/>
      <c r="BK505" s="32"/>
      <c r="BL505" s="32"/>
      <c r="BM505" s="32"/>
      <c r="BN505" s="32"/>
      <c r="BO505" s="32"/>
      <c r="BP505" s="32"/>
      <c r="BQ505" s="32"/>
      <c r="BR505" s="32"/>
      <c r="BS505" s="32"/>
      <c r="BT505" s="32"/>
      <c r="BU505" s="32"/>
      <c r="BV505" s="32"/>
      <c r="BW505" s="32"/>
      <c r="BX505" s="32"/>
      <c r="BY505" s="32"/>
      <c r="BZ505" s="32"/>
      <c r="CA505" s="32"/>
      <c r="CB505" s="32"/>
      <c r="CC505" s="32"/>
    </row>
    <row r="506" spans="1:8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  <c r="BE506" s="32"/>
      <c r="BF506" s="32"/>
      <c r="BG506" s="32"/>
      <c r="BH506" s="32"/>
      <c r="BI506" s="32"/>
      <c r="BJ506" s="32"/>
      <c r="BK506" s="32"/>
      <c r="BL506" s="32"/>
      <c r="BM506" s="32"/>
      <c r="BN506" s="32"/>
      <c r="BO506" s="32"/>
      <c r="BP506" s="32"/>
      <c r="BQ506" s="32"/>
      <c r="BR506" s="32"/>
      <c r="BS506" s="32"/>
      <c r="BT506" s="32"/>
      <c r="BU506" s="32"/>
      <c r="BV506" s="32"/>
      <c r="BW506" s="32"/>
      <c r="BX506" s="32"/>
      <c r="BY506" s="32"/>
      <c r="BZ506" s="32"/>
      <c r="CA506" s="32"/>
      <c r="CB506" s="32"/>
      <c r="CC506" s="32"/>
    </row>
    <row r="507" spans="1:8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  <c r="BE507" s="32"/>
      <c r="BF507" s="32"/>
      <c r="BG507" s="32"/>
      <c r="BH507" s="32"/>
      <c r="BI507" s="32"/>
      <c r="BJ507" s="32"/>
      <c r="BK507" s="32"/>
      <c r="BL507" s="32"/>
      <c r="BM507" s="32"/>
      <c r="BN507" s="32"/>
      <c r="BO507" s="32"/>
      <c r="BP507" s="32"/>
      <c r="BQ507" s="32"/>
      <c r="BR507" s="32"/>
      <c r="BS507" s="32"/>
      <c r="BT507" s="32"/>
      <c r="BU507" s="32"/>
      <c r="BV507" s="32"/>
      <c r="BW507" s="32"/>
      <c r="BX507" s="32"/>
      <c r="BY507" s="32"/>
      <c r="BZ507" s="32"/>
      <c r="CA507" s="32"/>
      <c r="CB507" s="32"/>
      <c r="CC507" s="32"/>
    </row>
    <row r="508" spans="1:8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2"/>
      <c r="BF508" s="32"/>
      <c r="BG508" s="32"/>
      <c r="BH508" s="32"/>
      <c r="BI508" s="32"/>
      <c r="BJ508" s="32"/>
      <c r="BK508" s="32"/>
      <c r="BL508" s="32"/>
      <c r="BM508" s="32"/>
      <c r="BN508" s="32"/>
      <c r="BO508" s="32"/>
      <c r="BP508" s="32"/>
      <c r="BQ508" s="32"/>
      <c r="BR508" s="32"/>
      <c r="BS508" s="32"/>
      <c r="BT508" s="32"/>
      <c r="BU508" s="32"/>
      <c r="BV508" s="32"/>
      <c r="BW508" s="32"/>
      <c r="BX508" s="32"/>
      <c r="BY508" s="32"/>
      <c r="BZ508" s="32"/>
      <c r="CA508" s="32"/>
      <c r="CB508" s="32"/>
      <c r="CC508" s="32"/>
    </row>
    <row r="509" spans="1:8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  <c r="BE509" s="32"/>
      <c r="BF509" s="32"/>
      <c r="BG509" s="32"/>
      <c r="BH509" s="32"/>
      <c r="BI509" s="32"/>
      <c r="BJ509" s="32"/>
      <c r="BK509" s="32"/>
      <c r="BL509" s="32"/>
      <c r="BM509" s="32"/>
      <c r="BN509" s="32"/>
      <c r="BO509" s="32"/>
      <c r="BP509" s="32"/>
      <c r="BQ509" s="32"/>
      <c r="BR509" s="32"/>
      <c r="BS509" s="32"/>
      <c r="BT509" s="32"/>
      <c r="BU509" s="32"/>
      <c r="BV509" s="32"/>
      <c r="BW509" s="32"/>
      <c r="BX509" s="32"/>
      <c r="BY509" s="32"/>
      <c r="BZ509" s="32"/>
      <c r="CA509" s="32"/>
      <c r="CB509" s="32"/>
      <c r="CC509" s="32"/>
    </row>
    <row r="510" spans="1:8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  <c r="BE510" s="32"/>
      <c r="BF510" s="32"/>
      <c r="BG510" s="32"/>
      <c r="BH510" s="32"/>
      <c r="BI510" s="32"/>
      <c r="BJ510" s="32"/>
      <c r="BK510" s="32"/>
      <c r="BL510" s="32"/>
      <c r="BM510" s="32"/>
      <c r="BN510" s="32"/>
      <c r="BO510" s="32"/>
      <c r="BP510" s="32"/>
      <c r="BQ510" s="32"/>
      <c r="BR510" s="32"/>
      <c r="BS510" s="32"/>
      <c r="BT510" s="32"/>
      <c r="BU510" s="32"/>
      <c r="BV510" s="32"/>
      <c r="BW510" s="32"/>
      <c r="BX510" s="32"/>
      <c r="BY510" s="32"/>
      <c r="BZ510" s="32"/>
      <c r="CA510" s="32"/>
      <c r="CB510" s="32"/>
      <c r="CC510" s="32"/>
    </row>
    <row r="511" spans="1:8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  <c r="BE511" s="32"/>
      <c r="BF511" s="32"/>
      <c r="BG511" s="32"/>
      <c r="BH511" s="32"/>
      <c r="BI511" s="32"/>
      <c r="BJ511" s="32"/>
      <c r="BK511" s="32"/>
      <c r="BL511" s="32"/>
      <c r="BM511" s="32"/>
      <c r="BN511" s="32"/>
      <c r="BO511" s="32"/>
      <c r="BP511" s="32"/>
      <c r="BQ511" s="32"/>
      <c r="BR511" s="32"/>
      <c r="BS511" s="32"/>
      <c r="BT511" s="32"/>
      <c r="BU511" s="32"/>
      <c r="BV511" s="32"/>
      <c r="BW511" s="32"/>
      <c r="BX511" s="32"/>
      <c r="BY511" s="32"/>
      <c r="BZ511" s="32"/>
      <c r="CA511" s="32"/>
      <c r="CB511" s="32"/>
      <c r="CC511" s="32"/>
    </row>
    <row r="512" spans="1:8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  <c r="BE512" s="32"/>
      <c r="BF512" s="32"/>
      <c r="BG512" s="32"/>
      <c r="BH512" s="32"/>
      <c r="BI512" s="32"/>
      <c r="BJ512" s="32"/>
      <c r="BK512" s="32"/>
      <c r="BL512" s="32"/>
      <c r="BM512" s="32"/>
      <c r="BN512" s="32"/>
      <c r="BO512" s="32"/>
      <c r="BP512" s="32"/>
      <c r="BQ512" s="32"/>
      <c r="BR512" s="32"/>
      <c r="BS512" s="32"/>
      <c r="BT512" s="32"/>
      <c r="BU512" s="32"/>
      <c r="BV512" s="32"/>
      <c r="BW512" s="32"/>
      <c r="BX512" s="32"/>
      <c r="BY512" s="32"/>
      <c r="BZ512" s="32"/>
      <c r="CA512" s="32"/>
      <c r="CB512" s="32"/>
      <c r="CC512" s="32"/>
    </row>
    <row r="513" spans="1:8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  <c r="BE513" s="32"/>
      <c r="BF513" s="32"/>
      <c r="BG513" s="32"/>
      <c r="BH513" s="32"/>
      <c r="BI513" s="32"/>
      <c r="BJ513" s="32"/>
      <c r="BK513" s="32"/>
      <c r="BL513" s="32"/>
      <c r="BM513" s="32"/>
      <c r="BN513" s="32"/>
      <c r="BO513" s="32"/>
      <c r="BP513" s="32"/>
      <c r="BQ513" s="32"/>
      <c r="BR513" s="32"/>
      <c r="BS513" s="32"/>
      <c r="BT513" s="32"/>
      <c r="BU513" s="32"/>
      <c r="BV513" s="32"/>
      <c r="BW513" s="32"/>
      <c r="BX513" s="32"/>
      <c r="BY513" s="32"/>
      <c r="BZ513" s="32"/>
      <c r="CA513" s="32"/>
      <c r="CB513" s="32"/>
      <c r="CC513" s="32"/>
    </row>
    <row r="514" spans="1:8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  <c r="BE514" s="32"/>
      <c r="BF514" s="32"/>
      <c r="BG514" s="32"/>
      <c r="BH514" s="32"/>
      <c r="BI514" s="32"/>
      <c r="BJ514" s="32"/>
      <c r="BK514" s="32"/>
      <c r="BL514" s="32"/>
      <c r="BM514" s="32"/>
      <c r="BN514" s="32"/>
      <c r="BO514" s="32"/>
      <c r="BP514" s="32"/>
      <c r="BQ514" s="32"/>
      <c r="BR514" s="32"/>
      <c r="BS514" s="32"/>
      <c r="BT514" s="32"/>
      <c r="BU514" s="32"/>
      <c r="BV514" s="32"/>
      <c r="BW514" s="32"/>
      <c r="BX514" s="32"/>
      <c r="BY514" s="32"/>
      <c r="BZ514" s="32"/>
      <c r="CA514" s="32"/>
      <c r="CB514" s="32"/>
      <c r="CC514" s="32"/>
    </row>
    <row r="515" spans="1:8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  <c r="BE515" s="32"/>
      <c r="BF515" s="32"/>
      <c r="BG515" s="32"/>
      <c r="BH515" s="32"/>
      <c r="BI515" s="32"/>
      <c r="BJ515" s="32"/>
      <c r="BK515" s="32"/>
      <c r="BL515" s="32"/>
      <c r="BM515" s="32"/>
      <c r="BN515" s="32"/>
      <c r="BO515" s="32"/>
      <c r="BP515" s="32"/>
      <c r="BQ515" s="32"/>
      <c r="BR515" s="32"/>
      <c r="BS515" s="32"/>
      <c r="BT515" s="32"/>
      <c r="BU515" s="32"/>
      <c r="BV515" s="32"/>
      <c r="BW515" s="32"/>
      <c r="BX515" s="32"/>
      <c r="BY515" s="32"/>
      <c r="BZ515" s="32"/>
      <c r="CA515" s="32"/>
      <c r="CB515" s="32"/>
      <c r="CC515" s="32"/>
    </row>
    <row r="516" spans="1:8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  <c r="BD516" s="32"/>
      <c r="BE516" s="32"/>
      <c r="BF516" s="32"/>
      <c r="BG516" s="32"/>
      <c r="BH516" s="32"/>
      <c r="BI516" s="32"/>
      <c r="BJ516" s="32"/>
      <c r="BK516" s="32"/>
      <c r="BL516" s="32"/>
      <c r="BM516" s="32"/>
      <c r="BN516" s="32"/>
      <c r="BO516" s="32"/>
      <c r="BP516" s="32"/>
      <c r="BQ516" s="32"/>
      <c r="BR516" s="32"/>
      <c r="BS516" s="32"/>
      <c r="BT516" s="32"/>
      <c r="BU516" s="32"/>
      <c r="BV516" s="32"/>
      <c r="BW516" s="32"/>
      <c r="BX516" s="32"/>
      <c r="BY516" s="32"/>
      <c r="BZ516" s="32"/>
      <c r="CA516" s="32"/>
      <c r="CB516" s="32"/>
      <c r="CC516" s="32"/>
    </row>
    <row r="517" spans="1:8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2"/>
      <c r="BB517" s="32"/>
      <c r="BC517" s="32"/>
      <c r="BD517" s="32"/>
      <c r="BE517" s="32"/>
      <c r="BF517" s="32"/>
      <c r="BG517" s="32"/>
      <c r="BH517" s="32"/>
      <c r="BI517" s="32"/>
      <c r="BJ517" s="32"/>
      <c r="BK517" s="32"/>
      <c r="BL517" s="32"/>
      <c r="BM517" s="32"/>
      <c r="BN517" s="32"/>
      <c r="BO517" s="32"/>
      <c r="BP517" s="32"/>
      <c r="BQ517" s="32"/>
      <c r="BR517" s="32"/>
      <c r="BS517" s="32"/>
      <c r="BT517" s="32"/>
      <c r="BU517" s="32"/>
      <c r="BV517" s="32"/>
      <c r="BW517" s="32"/>
      <c r="BX517" s="32"/>
      <c r="BY517" s="32"/>
      <c r="BZ517" s="32"/>
      <c r="CA517" s="32"/>
      <c r="CB517" s="32"/>
      <c r="CC517" s="32"/>
    </row>
    <row r="518" spans="1:8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  <c r="BE518" s="32"/>
      <c r="BF518" s="32"/>
      <c r="BG518" s="32"/>
      <c r="BH518" s="32"/>
      <c r="BI518" s="32"/>
      <c r="BJ518" s="32"/>
      <c r="BK518" s="32"/>
      <c r="BL518" s="32"/>
      <c r="BM518" s="32"/>
      <c r="BN518" s="32"/>
      <c r="BO518" s="32"/>
      <c r="BP518" s="32"/>
      <c r="BQ518" s="32"/>
      <c r="BR518" s="32"/>
      <c r="BS518" s="32"/>
      <c r="BT518" s="32"/>
      <c r="BU518" s="32"/>
      <c r="BV518" s="32"/>
      <c r="BW518" s="32"/>
      <c r="BX518" s="32"/>
      <c r="BY518" s="32"/>
      <c r="BZ518" s="32"/>
      <c r="CA518" s="32"/>
      <c r="CB518" s="32"/>
      <c r="CC518" s="32"/>
    </row>
    <row r="519" spans="1:8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  <c r="BD519" s="32"/>
      <c r="BE519" s="32"/>
      <c r="BF519" s="32"/>
      <c r="BG519" s="32"/>
      <c r="BH519" s="32"/>
      <c r="BI519" s="32"/>
      <c r="BJ519" s="32"/>
      <c r="BK519" s="32"/>
      <c r="BL519" s="32"/>
      <c r="BM519" s="32"/>
      <c r="BN519" s="32"/>
      <c r="BO519" s="32"/>
      <c r="BP519" s="32"/>
      <c r="BQ519" s="32"/>
      <c r="BR519" s="32"/>
      <c r="BS519" s="32"/>
      <c r="BT519" s="32"/>
      <c r="BU519" s="32"/>
      <c r="BV519" s="32"/>
      <c r="BW519" s="32"/>
      <c r="BX519" s="32"/>
      <c r="BY519" s="32"/>
      <c r="BZ519" s="32"/>
      <c r="CA519" s="32"/>
      <c r="CB519" s="32"/>
      <c r="CC519" s="32"/>
    </row>
    <row r="520" spans="1:8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  <c r="BD520" s="32"/>
      <c r="BE520" s="32"/>
      <c r="BF520" s="32"/>
      <c r="BG520" s="32"/>
      <c r="BH520" s="32"/>
      <c r="BI520" s="32"/>
      <c r="BJ520" s="32"/>
      <c r="BK520" s="32"/>
      <c r="BL520" s="32"/>
      <c r="BM520" s="32"/>
      <c r="BN520" s="32"/>
      <c r="BO520" s="32"/>
      <c r="BP520" s="32"/>
      <c r="BQ520" s="32"/>
      <c r="BR520" s="32"/>
      <c r="BS520" s="32"/>
      <c r="BT520" s="32"/>
      <c r="BU520" s="32"/>
      <c r="BV520" s="32"/>
      <c r="BW520" s="32"/>
      <c r="BX520" s="32"/>
      <c r="BY520" s="32"/>
      <c r="BZ520" s="32"/>
      <c r="CA520" s="32"/>
      <c r="CB520" s="32"/>
      <c r="CC520" s="32"/>
    </row>
    <row r="521" spans="1:8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  <c r="BC521" s="32"/>
      <c r="BD521" s="32"/>
      <c r="BE521" s="32"/>
      <c r="BF521" s="32"/>
      <c r="BG521" s="32"/>
      <c r="BH521" s="32"/>
      <c r="BI521" s="32"/>
      <c r="BJ521" s="32"/>
      <c r="BK521" s="32"/>
      <c r="BL521" s="32"/>
      <c r="BM521" s="32"/>
      <c r="BN521" s="32"/>
      <c r="BO521" s="32"/>
      <c r="BP521" s="32"/>
      <c r="BQ521" s="32"/>
      <c r="BR521" s="32"/>
      <c r="BS521" s="32"/>
      <c r="BT521" s="32"/>
      <c r="BU521" s="32"/>
      <c r="BV521" s="32"/>
      <c r="BW521" s="32"/>
      <c r="BX521" s="32"/>
      <c r="BY521" s="32"/>
      <c r="BZ521" s="32"/>
      <c r="CA521" s="32"/>
      <c r="CB521" s="32"/>
      <c r="CC521" s="32"/>
    </row>
    <row r="522" spans="1:8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  <c r="BA522" s="32"/>
      <c r="BB522" s="32"/>
      <c r="BC522" s="32"/>
      <c r="BD522" s="32"/>
      <c r="BE522" s="32"/>
      <c r="BF522" s="32"/>
      <c r="BG522" s="32"/>
      <c r="BH522" s="32"/>
      <c r="BI522" s="32"/>
      <c r="BJ522" s="32"/>
      <c r="BK522" s="32"/>
      <c r="BL522" s="32"/>
      <c r="BM522" s="32"/>
      <c r="BN522" s="32"/>
      <c r="BO522" s="32"/>
      <c r="BP522" s="32"/>
      <c r="BQ522" s="32"/>
      <c r="BR522" s="32"/>
      <c r="BS522" s="32"/>
      <c r="BT522" s="32"/>
      <c r="BU522" s="32"/>
      <c r="BV522" s="32"/>
      <c r="BW522" s="32"/>
      <c r="BX522" s="32"/>
      <c r="BY522" s="32"/>
      <c r="BZ522" s="32"/>
      <c r="CA522" s="32"/>
      <c r="CB522" s="32"/>
      <c r="CC522" s="32"/>
    </row>
    <row r="523" spans="1:8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2"/>
      <c r="BB523" s="32"/>
      <c r="BC523" s="32"/>
      <c r="BD523" s="32"/>
      <c r="BE523" s="32"/>
      <c r="BF523" s="32"/>
      <c r="BG523" s="32"/>
      <c r="BH523" s="32"/>
      <c r="BI523" s="32"/>
      <c r="BJ523" s="32"/>
      <c r="BK523" s="32"/>
      <c r="BL523" s="32"/>
      <c r="BM523" s="32"/>
      <c r="BN523" s="32"/>
      <c r="BO523" s="32"/>
      <c r="BP523" s="32"/>
      <c r="BQ523" s="32"/>
      <c r="BR523" s="32"/>
      <c r="BS523" s="32"/>
      <c r="BT523" s="32"/>
      <c r="BU523" s="32"/>
      <c r="BV523" s="32"/>
      <c r="BW523" s="32"/>
      <c r="BX523" s="32"/>
      <c r="BY523" s="32"/>
      <c r="BZ523" s="32"/>
      <c r="CA523" s="32"/>
      <c r="CB523" s="32"/>
      <c r="CC523" s="32"/>
    </row>
    <row r="524" spans="1:8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2"/>
      <c r="BB524" s="32"/>
      <c r="BC524" s="32"/>
      <c r="BD524" s="32"/>
      <c r="BE524" s="32"/>
      <c r="BF524" s="32"/>
      <c r="BG524" s="32"/>
      <c r="BH524" s="32"/>
      <c r="BI524" s="32"/>
      <c r="BJ524" s="32"/>
      <c r="BK524" s="32"/>
      <c r="BL524" s="32"/>
      <c r="BM524" s="32"/>
      <c r="BN524" s="32"/>
      <c r="BO524" s="32"/>
      <c r="BP524" s="32"/>
      <c r="BQ524" s="32"/>
      <c r="BR524" s="32"/>
      <c r="BS524" s="32"/>
      <c r="BT524" s="32"/>
      <c r="BU524" s="32"/>
      <c r="BV524" s="32"/>
      <c r="BW524" s="32"/>
      <c r="BX524" s="32"/>
      <c r="BY524" s="32"/>
      <c r="BZ524" s="32"/>
      <c r="CA524" s="32"/>
      <c r="CB524" s="32"/>
      <c r="CC524" s="32"/>
    </row>
    <row r="525" spans="1:8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  <c r="BA525" s="32"/>
      <c r="BB525" s="32"/>
      <c r="BC525" s="32"/>
      <c r="BD525" s="32"/>
      <c r="BE525" s="32"/>
      <c r="BF525" s="32"/>
      <c r="BG525" s="32"/>
      <c r="BH525" s="32"/>
      <c r="BI525" s="32"/>
      <c r="BJ525" s="32"/>
      <c r="BK525" s="32"/>
      <c r="BL525" s="32"/>
      <c r="BM525" s="32"/>
      <c r="BN525" s="32"/>
      <c r="BO525" s="32"/>
      <c r="BP525" s="32"/>
      <c r="BQ525" s="32"/>
      <c r="BR525" s="32"/>
      <c r="BS525" s="32"/>
      <c r="BT525" s="32"/>
      <c r="BU525" s="32"/>
      <c r="BV525" s="32"/>
      <c r="BW525" s="32"/>
      <c r="BX525" s="32"/>
      <c r="BY525" s="32"/>
      <c r="BZ525" s="32"/>
      <c r="CA525" s="32"/>
      <c r="CB525" s="32"/>
      <c r="CC525" s="32"/>
    </row>
    <row r="526" spans="1:8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2"/>
      <c r="BB526" s="32"/>
      <c r="BC526" s="32"/>
      <c r="BD526" s="32"/>
      <c r="BE526" s="32"/>
      <c r="BF526" s="32"/>
      <c r="BG526" s="32"/>
      <c r="BH526" s="32"/>
      <c r="BI526" s="32"/>
      <c r="BJ526" s="32"/>
      <c r="BK526" s="32"/>
      <c r="BL526" s="32"/>
      <c r="BM526" s="32"/>
      <c r="BN526" s="32"/>
      <c r="BO526" s="32"/>
      <c r="BP526" s="32"/>
      <c r="BQ526" s="32"/>
      <c r="BR526" s="32"/>
      <c r="BS526" s="32"/>
      <c r="BT526" s="32"/>
      <c r="BU526" s="32"/>
      <c r="BV526" s="32"/>
      <c r="BW526" s="32"/>
      <c r="BX526" s="32"/>
      <c r="BY526" s="32"/>
      <c r="BZ526" s="32"/>
      <c r="CA526" s="32"/>
      <c r="CB526" s="32"/>
      <c r="CC526" s="32"/>
    </row>
    <row r="527" spans="1:8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2"/>
      <c r="BB527" s="32"/>
      <c r="BC527" s="32"/>
      <c r="BD527" s="32"/>
      <c r="BE527" s="32"/>
      <c r="BF527" s="32"/>
      <c r="BG527" s="32"/>
      <c r="BH527" s="32"/>
      <c r="BI527" s="32"/>
      <c r="BJ527" s="32"/>
      <c r="BK527" s="32"/>
      <c r="BL527" s="32"/>
      <c r="BM527" s="32"/>
      <c r="BN527" s="32"/>
      <c r="BO527" s="32"/>
      <c r="BP527" s="32"/>
      <c r="BQ527" s="32"/>
      <c r="BR527" s="32"/>
      <c r="BS527" s="32"/>
      <c r="BT527" s="32"/>
      <c r="BU527" s="32"/>
      <c r="BV527" s="32"/>
      <c r="BW527" s="32"/>
      <c r="BX527" s="32"/>
      <c r="BY527" s="32"/>
      <c r="BZ527" s="32"/>
      <c r="CA527" s="32"/>
      <c r="CB527" s="32"/>
      <c r="CC527" s="32"/>
    </row>
    <row r="528" spans="1:8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2"/>
      <c r="BB528" s="32"/>
      <c r="BC528" s="32"/>
      <c r="BD528" s="32"/>
      <c r="BE528" s="32"/>
      <c r="BF528" s="32"/>
      <c r="BG528" s="32"/>
      <c r="BH528" s="32"/>
      <c r="BI528" s="32"/>
      <c r="BJ528" s="32"/>
      <c r="BK528" s="32"/>
      <c r="BL528" s="32"/>
      <c r="BM528" s="32"/>
      <c r="BN528" s="32"/>
      <c r="BO528" s="32"/>
      <c r="BP528" s="32"/>
      <c r="BQ528" s="32"/>
      <c r="BR528" s="32"/>
      <c r="BS528" s="32"/>
      <c r="BT528" s="32"/>
      <c r="BU528" s="32"/>
      <c r="BV528" s="32"/>
      <c r="BW528" s="32"/>
      <c r="BX528" s="32"/>
      <c r="BY528" s="32"/>
      <c r="BZ528" s="32"/>
      <c r="CA528" s="32"/>
      <c r="CB528" s="32"/>
      <c r="CC528" s="32"/>
    </row>
    <row r="529" spans="1:8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2"/>
      <c r="BB529" s="32"/>
      <c r="BC529" s="32"/>
      <c r="BD529" s="32"/>
      <c r="BE529" s="32"/>
      <c r="BF529" s="32"/>
      <c r="BG529" s="32"/>
      <c r="BH529" s="32"/>
      <c r="BI529" s="32"/>
      <c r="BJ529" s="32"/>
      <c r="BK529" s="32"/>
      <c r="BL529" s="32"/>
      <c r="BM529" s="32"/>
      <c r="BN529" s="32"/>
      <c r="BO529" s="32"/>
      <c r="BP529" s="32"/>
      <c r="BQ529" s="32"/>
      <c r="BR529" s="32"/>
      <c r="BS529" s="32"/>
      <c r="BT529" s="32"/>
      <c r="BU529" s="32"/>
      <c r="BV529" s="32"/>
      <c r="BW529" s="32"/>
      <c r="BX529" s="32"/>
      <c r="BY529" s="32"/>
      <c r="BZ529" s="32"/>
      <c r="CA529" s="32"/>
      <c r="CB529" s="32"/>
      <c r="CC529" s="32"/>
    </row>
    <row r="530" spans="1:8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  <c r="BA530" s="32"/>
      <c r="BB530" s="32"/>
      <c r="BC530" s="32"/>
      <c r="BD530" s="32"/>
      <c r="BE530" s="32"/>
      <c r="BF530" s="32"/>
      <c r="BG530" s="32"/>
      <c r="BH530" s="32"/>
      <c r="BI530" s="32"/>
      <c r="BJ530" s="32"/>
      <c r="BK530" s="32"/>
      <c r="BL530" s="32"/>
      <c r="BM530" s="32"/>
      <c r="BN530" s="32"/>
      <c r="BO530" s="32"/>
      <c r="BP530" s="32"/>
      <c r="BQ530" s="32"/>
      <c r="BR530" s="32"/>
      <c r="BS530" s="32"/>
      <c r="BT530" s="32"/>
      <c r="BU530" s="32"/>
      <c r="BV530" s="32"/>
      <c r="BW530" s="32"/>
      <c r="BX530" s="32"/>
      <c r="BY530" s="32"/>
      <c r="BZ530" s="32"/>
      <c r="CA530" s="32"/>
      <c r="CB530" s="32"/>
      <c r="CC530" s="32"/>
    </row>
    <row r="531" spans="1:8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  <c r="BA531" s="32"/>
      <c r="BB531" s="32"/>
      <c r="BC531" s="32"/>
      <c r="BD531" s="32"/>
      <c r="BE531" s="32"/>
      <c r="BF531" s="32"/>
      <c r="BG531" s="32"/>
      <c r="BH531" s="32"/>
      <c r="BI531" s="32"/>
      <c r="BJ531" s="32"/>
      <c r="BK531" s="32"/>
      <c r="BL531" s="32"/>
      <c r="BM531" s="32"/>
      <c r="BN531" s="32"/>
      <c r="BO531" s="32"/>
      <c r="BP531" s="32"/>
      <c r="BQ531" s="32"/>
      <c r="BR531" s="32"/>
      <c r="BS531" s="32"/>
      <c r="BT531" s="32"/>
      <c r="BU531" s="32"/>
      <c r="BV531" s="32"/>
      <c r="BW531" s="32"/>
      <c r="BX531" s="32"/>
      <c r="BY531" s="32"/>
      <c r="BZ531" s="32"/>
      <c r="CA531" s="32"/>
      <c r="CB531" s="32"/>
      <c r="CC531" s="32"/>
    </row>
    <row r="532" spans="1:8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2"/>
      <c r="BB532" s="32"/>
      <c r="BC532" s="32"/>
      <c r="BD532" s="32"/>
      <c r="BE532" s="32"/>
      <c r="BF532" s="32"/>
      <c r="BG532" s="32"/>
      <c r="BH532" s="32"/>
      <c r="BI532" s="32"/>
      <c r="BJ532" s="32"/>
      <c r="BK532" s="32"/>
      <c r="BL532" s="32"/>
      <c r="BM532" s="32"/>
      <c r="BN532" s="32"/>
      <c r="BO532" s="32"/>
      <c r="BP532" s="32"/>
      <c r="BQ532" s="32"/>
      <c r="BR532" s="32"/>
      <c r="BS532" s="32"/>
      <c r="BT532" s="32"/>
      <c r="BU532" s="32"/>
      <c r="BV532" s="32"/>
      <c r="BW532" s="32"/>
      <c r="BX532" s="32"/>
      <c r="BY532" s="32"/>
      <c r="BZ532" s="32"/>
      <c r="CA532" s="32"/>
      <c r="CB532" s="32"/>
      <c r="CC532" s="32"/>
    </row>
    <row r="533" spans="1:8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2"/>
      <c r="BB533" s="32"/>
      <c r="BC533" s="32"/>
      <c r="BD533" s="32"/>
      <c r="BE533" s="32"/>
      <c r="BF533" s="32"/>
      <c r="BG533" s="32"/>
      <c r="BH533" s="32"/>
      <c r="BI533" s="32"/>
      <c r="BJ533" s="32"/>
      <c r="BK533" s="32"/>
      <c r="BL533" s="32"/>
      <c r="BM533" s="32"/>
      <c r="BN533" s="32"/>
      <c r="BO533" s="32"/>
      <c r="BP533" s="32"/>
      <c r="BQ533" s="32"/>
      <c r="BR533" s="32"/>
      <c r="BS533" s="32"/>
      <c r="BT533" s="32"/>
      <c r="BU533" s="32"/>
      <c r="BV533" s="32"/>
      <c r="BW533" s="32"/>
      <c r="BX533" s="32"/>
      <c r="BY533" s="32"/>
      <c r="BZ533" s="32"/>
      <c r="CA533" s="32"/>
      <c r="CB533" s="32"/>
      <c r="CC533" s="32"/>
    </row>
    <row r="534" spans="1:8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2"/>
      <c r="BB534" s="32"/>
      <c r="BC534" s="32"/>
      <c r="BD534" s="32"/>
      <c r="BE534" s="32"/>
      <c r="BF534" s="32"/>
      <c r="BG534" s="32"/>
      <c r="BH534" s="32"/>
      <c r="BI534" s="32"/>
      <c r="BJ534" s="32"/>
      <c r="BK534" s="32"/>
      <c r="BL534" s="32"/>
      <c r="BM534" s="32"/>
      <c r="BN534" s="32"/>
      <c r="BO534" s="32"/>
      <c r="BP534" s="32"/>
      <c r="BQ534" s="32"/>
      <c r="BR534" s="32"/>
      <c r="BS534" s="32"/>
      <c r="BT534" s="32"/>
      <c r="BU534" s="32"/>
      <c r="BV534" s="32"/>
      <c r="BW534" s="32"/>
      <c r="BX534" s="32"/>
      <c r="BY534" s="32"/>
      <c r="BZ534" s="32"/>
      <c r="CA534" s="32"/>
      <c r="CB534" s="32"/>
      <c r="CC534" s="32"/>
    </row>
    <row r="535" spans="1:8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2"/>
      <c r="BB535" s="32"/>
      <c r="BC535" s="32"/>
      <c r="BD535" s="32"/>
      <c r="BE535" s="32"/>
      <c r="BF535" s="32"/>
      <c r="BG535" s="32"/>
      <c r="BH535" s="32"/>
      <c r="BI535" s="32"/>
      <c r="BJ535" s="32"/>
      <c r="BK535" s="32"/>
      <c r="BL535" s="32"/>
      <c r="BM535" s="32"/>
      <c r="BN535" s="32"/>
      <c r="BO535" s="32"/>
      <c r="BP535" s="32"/>
      <c r="BQ535" s="32"/>
      <c r="BR535" s="32"/>
      <c r="BS535" s="32"/>
      <c r="BT535" s="32"/>
      <c r="BU535" s="32"/>
      <c r="BV535" s="32"/>
      <c r="BW535" s="32"/>
      <c r="BX535" s="32"/>
      <c r="BY535" s="32"/>
      <c r="BZ535" s="32"/>
      <c r="CA535" s="32"/>
      <c r="CB535" s="32"/>
      <c r="CC535" s="32"/>
    </row>
    <row r="536" spans="1:8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  <c r="BA536" s="32"/>
      <c r="BB536" s="32"/>
      <c r="BC536" s="32"/>
      <c r="BD536" s="32"/>
      <c r="BE536" s="32"/>
      <c r="BF536" s="32"/>
      <c r="BG536" s="32"/>
      <c r="BH536" s="32"/>
      <c r="BI536" s="32"/>
      <c r="BJ536" s="32"/>
      <c r="BK536" s="32"/>
      <c r="BL536" s="32"/>
      <c r="BM536" s="32"/>
      <c r="BN536" s="32"/>
      <c r="BO536" s="32"/>
      <c r="BP536" s="32"/>
      <c r="BQ536" s="32"/>
      <c r="BR536" s="32"/>
      <c r="BS536" s="32"/>
      <c r="BT536" s="32"/>
      <c r="BU536" s="32"/>
      <c r="BV536" s="32"/>
      <c r="BW536" s="32"/>
      <c r="BX536" s="32"/>
      <c r="BY536" s="32"/>
      <c r="BZ536" s="32"/>
      <c r="CA536" s="32"/>
      <c r="CB536" s="32"/>
      <c r="CC536" s="32"/>
    </row>
    <row r="537" spans="1:8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2"/>
      <c r="BB537" s="32"/>
      <c r="BC537" s="32"/>
      <c r="BD537" s="32"/>
      <c r="BE537" s="32"/>
      <c r="BF537" s="32"/>
      <c r="BG537" s="32"/>
      <c r="BH537" s="32"/>
      <c r="BI537" s="32"/>
      <c r="BJ537" s="32"/>
      <c r="BK537" s="32"/>
      <c r="BL537" s="32"/>
      <c r="BM537" s="32"/>
      <c r="BN537" s="32"/>
      <c r="BO537" s="32"/>
      <c r="BP537" s="32"/>
      <c r="BQ537" s="32"/>
      <c r="BR537" s="32"/>
      <c r="BS537" s="32"/>
      <c r="BT537" s="32"/>
      <c r="BU537" s="32"/>
      <c r="BV537" s="32"/>
      <c r="BW537" s="32"/>
      <c r="BX537" s="32"/>
      <c r="BY537" s="32"/>
      <c r="BZ537" s="32"/>
      <c r="CA537" s="32"/>
      <c r="CB537" s="32"/>
      <c r="CC537" s="32"/>
    </row>
    <row r="538" spans="1:8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2"/>
      <c r="BB538" s="32"/>
      <c r="BC538" s="32"/>
      <c r="BD538" s="32"/>
      <c r="BE538" s="32"/>
      <c r="BF538" s="32"/>
      <c r="BG538" s="32"/>
      <c r="BH538" s="32"/>
      <c r="BI538" s="32"/>
      <c r="BJ538" s="32"/>
      <c r="BK538" s="32"/>
      <c r="BL538" s="32"/>
      <c r="BM538" s="32"/>
      <c r="BN538" s="32"/>
      <c r="BO538" s="32"/>
      <c r="BP538" s="32"/>
      <c r="BQ538" s="32"/>
      <c r="BR538" s="32"/>
      <c r="BS538" s="32"/>
      <c r="BT538" s="32"/>
      <c r="BU538" s="32"/>
      <c r="BV538" s="32"/>
      <c r="BW538" s="32"/>
      <c r="BX538" s="32"/>
      <c r="BY538" s="32"/>
      <c r="BZ538" s="32"/>
      <c r="CA538" s="32"/>
      <c r="CB538" s="32"/>
      <c r="CC538" s="32"/>
    </row>
    <row r="539" spans="1:8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  <c r="BA539" s="32"/>
      <c r="BB539" s="32"/>
      <c r="BC539" s="32"/>
      <c r="BD539" s="32"/>
      <c r="BE539" s="32"/>
      <c r="BF539" s="32"/>
      <c r="BG539" s="32"/>
      <c r="BH539" s="32"/>
      <c r="BI539" s="32"/>
      <c r="BJ539" s="32"/>
      <c r="BK539" s="32"/>
      <c r="BL539" s="32"/>
      <c r="BM539" s="32"/>
      <c r="BN539" s="32"/>
      <c r="BO539" s="32"/>
      <c r="BP539" s="32"/>
      <c r="BQ539" s="32"/>
      <c r="BR539" s="32"/>
      <c r="BS539" s="32"/>
      <c r="BT539" s="32"/>
      <c r="BU539" s="32"/>
      <c r="BV539" s="32"/>
      <c r="BW539" s="32"/>
      <c r="BX539" s="32"/>
      <c r="BY539" s="32"/>
      <c r="BZ539" s="32"/>
      <c r="CA539" s="32"/>
      <c r="CB539" s="32"/>
      <c r="CC539" s="32"/>
    </row>
    <row r="540" spans="1:8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2"/>
      <c r="BB540" s="32"/>
      <c r="BC540" s="32"/>
      <c r="BD540" s="32"/>
      <c r="BE540" s="32"/>
      <c r="BF540" s="32"/>
      <c r="BG540" s="32"/>
      <c r="BH540" s="32"/>
      <c r="BI540" s="32"/>
      <c r="BJ540" s="32"/>
      <c r="BK540" s="32"/>
      <c r="BL540" s="32"/>
      <c r="BM540" s="32"/>
      <c r="BN540" s="32"/>
      <c r="BO540" s="32"/>
      <c r="BP540" s="32"/>
      <c r="BQ540" s="32"/>
      <c r="BR540" s="32"/>
      <c r="BS540" s="32"/>
      <c r="BT540" s="32"/>
      <c r="BU540" s="32"/>
      <c r="BV540" s="32"/>
      <c r="BW540" s="32"/>
      <c r="BX540" s="32"/>
      <c r="BY540" s="32"/>
      <c r="BZ540" s="32"/>
      <c r="CA540" s="32"/>
      <c r="CB540" s="32"/>
      <c r="CC540" s="32"/>
    </row>
    <row r="541" spans="1:8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  <c r="BA541" s="32"/>
      <c r="BB541" s="32"/>
      <c r="BC541" s="32"/>
      <c r="BD541" s="32"/>
      <c r="BE541" s="32"/>
      <c r="BF541" s="32"/>
      <c r="BG541" s="32"/>
      <c r="BH541" s="32"/>
      <c r="BI541" s="32"/>
      <c r="BJ541" s="32"/>
      <c r="BK541" s="32"/>
      <c r="BL541" s="32"/>
      <c r="BM541" s="32"/>
      <c r="BN541" s="32"/>
      <c r="BO541" s="32"/>
      <c r="BP541" s="32"/>
      <c r="BQ541" s="32"/>
      <c r="BR541" s="32"/>
      <c r="BS541" s="32"/>
      <c r="BT541" s="32"/>
      <c r="BU541" s="32"/>
      <c r="BV541" s="32"/>
      <c r="BW541" s="32"/>
      <c r="BX541" s="32"/>
      <c r="BY541" s="32"/>
      <c r="BZ541" s="32"/>
      <c r="CA541" s="32"/>
      <c r="CB541" s="32"/>
      <c r="CC541" s="32"/>
    </row>
    <row r="542" spans="1:8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2"/>
      <c r="BB542" s="32"/>
      <c r="BC542" s="32"/>
      <c r="BD542" s="32"/>
      <c r="BE542" s="32"/>
      <c r="BF542" s="32"/>
      <c r="BG542" s="32"/>
      <c r="BH542" s="32"/>
      <c r="BI542" s="32"/>
      <c r="BJ542" s="32"/>
      <c r="BK542" s="32"/>
      <c r="BL542" s="32"/>
      <c r="BM542" s="32"/>
      <c r="BN542" s="32"/>
      <c r="BO542" s="32"/>
      <c r="BP542" s="32"/>
      <c r="BQ542" s="32"/>
      <c r="BR542" s="32"/>
      <c r="BS542" s="32"/>
      <c r="BT542" s="32"/>
      <c r="BU542" s="32"/>
      <c r="BV542" s="32"/>
      <c r="BW542" s="32"/>
      <c r="BX542" s="32"/>
      <c r="BY542" s="32"/>
      <c r="BZ542" s="32"/>
      <c r="CA542" s="32"/>
      <c r="CB542" s="32"/>
      <c r="CC542" s="32"/>
    </row>
    <row r="543" spans="1:8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2"/>
      <c r="BB543" s="32"/>
      <c r="BC543" s="32"/>
      <c r="BD543" s="32"/>
      <c r="BE543" s="32"/>
      <c r="BF543" s="32"/>
      <c r="BG543" s="32"/>
      <c r="BH543" s="32"/>
      <c r="BI543" s="32"/>
      <c r="BJ543" s="32"/>
      <c r="BK543" s="32"/>
      <c r="BL543" s="32"/>
      <c r="BM543" s="32"/>
      <c r="BN543" s="32"/>
      <c r="BO543" s="32"/>
      <c r="BP543" s="32"/>
      <c r="BQ543" s="32"/>
      <c r="BR543" s="32"/>
      <c r="BS543" s="32"/>
      <c r="BT543" s="32"/>
      <c r="BU543" s="32"/>
      <c r="BV543" s="32"/>
      <c r="BW543" s="32"/>
      <c r="BX543" s="32"/>
      <c r="BY543" s="32"/>
      <c r="BZ543" s="32"/>
      <c r="CA543" s="32"/>
      <c r="CB543" s="32"/>
      <c r="CC543" s="32"/>
    </row>
    <row r="544" spans="1:8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  <c r="BE544" s="32"/>
      <c r="BF544" s="32"/>
      <c r="BG544" s="32"/>
      <c r="BH544" s="32"/>
      <c r="BI544" s="32"/>
      <c r="BJ544" s="32"/>
      <c r="BK544" s="32"/>
      <c r="BL544" s="32"/>
      <c r="BM544" s="32"/>
      <c r="BN544" s="32"/>
      <c r="BO544" s="32"/>
      <c r="BP544" s="32"/>
      <c r="BQ544" s="32"/>
      <c r="BR544" s="32"/>
      <c r="BS544" s="32"/>
      <c r="BT544" s="32"/>
      <c r="BU544" s="32"/>
      <c r="BV544" s="32"/>
      <c r="BW544" s="32"/>
      <c r="BX544" s="32"/>
      <c r="BY544" s="32"/>
      <c r="BZ544" s="32"/>
      <c r="CA544" s="32"/>
      <c r="CB544" s="32"/>
      <c r="CC544" s="32"/>
    </row>
    <row r="545" spans="1:8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2"/>
      <c r="BB545" s="32"/>
      <c r="BC545" s="32"/>
      <c r="BD545" s="32"/>
      <c r="BE545" s="32"/>
      <c r="BF545" s="32"/>
      <c r="BG545" s="32"/>
      <c r="BH545" s="32"/>
      <c r="BI545" s="32"/>
      <c r="BJ545" s="32"/>
      <c r="BK545" s="32"/>
      <c r="BL545" s="32"/>
      <c r="BM545" s="32"/>
      <c r="BN545" s="32"/>
      <c r="BO545" s="32"/>
      <c r="BP545" s="32"/>
      <c r="BQ545" s="32"/>
      <c r="BR545" s="32"/>
      <c r="BS545" s="32"/>
      <c r="BT545" s="32"/>
      <c r="BU545" s="32"/>
      <c r="BV545" s="32"/>
      <c r="BW545" s="32"/>
      <c r="BX545" s="32"/>
      <c r="BY545" s="32"/>
      <c r="BZ545" s="32"/>
      <c r="CA545" s="32"/>
      <c r="CB545" s="32"/>
      <c r="CC545" s="32"/>
    </row>
    <row r="546" spans="1:8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2"/>
      <c r="BB546" s="32"/>
      <c r="BC546" s="32"/>
      <c r="BD546" s="32"/>
      <c r="BE546" s="32"/>
      <c r="BF546" s="32"/>
      <c r="BG546" s="32"/>
      <c r="BH546" s="32"/>
      <c r="BI546" s="32"/>
      <c r="BJ546" s="32"/>
      <c r="BK546" s="32"/>
      <c r="BL546" s="32"/>
      <c r="BM546" s="32"/>
      <c r="BN546" s="32"/>
      <c r="BO546" s="32"/>
      <c r="BP546" s="32"/>
      <c r="BQ546" s="32"/>
      <c r="BR546" s="32"/>
      <c r="BS546" s="32"/>
      <c r="BT546" s="32"/>
      <c r="BU546" s="32"/>
      <c r="BV546" s="32"/>
      <c r="BW546" s="32"/>
      <c r="BX546" s="32"/>
      <c r="BY546" s="32"/>
      <c r="BZ546" s="32"/>
      <c r="CA546" s="32"/>
      <c r="CB546" s="32"/>
      <c r="CC546" s="32"/>
    </row>
    <row r="547" spans="1:8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2"/>
      <c r="BB547" s="32"/>
      <c r="BC547" s="32"/>
      <c r="BD547" s="32"/>
      <c r="BE547" s="32"/>
      <c r="BF547" s="32"/>
      <c r="BG547" s="32"/>
      <c r="BH547" s="32"/>
      <c r="BI547" s="32"/>
      <c r="BJ547" s="32"/>
      <c r="BK547" s="32"/>
      <c r="BL547" s="32"/>
      <c r="BM547" s="32"/>
      <c r="BN547" s="32"/>
      <c r="BO547" s="32"/>
      <c r="BP547" s="32"/>
      <c r="BQ547" s="32"/>
      <c r="BR547" s="32"/>
      <c r="BS547" s="32"/>
      <c r="BT547" s="32"/>
      <c r="BU547" s="32"/>
      <c r="BV547" s="32"/>
      <c r="BW547" s="32"/>
      <c r="BX547" s="32"/>
      <c r="BY547" s="32"/>
      <c r="BZ547" s="32"/>
      <c r="CA547" s="32"/>
      <c r="CB547" s="32"/>
      <c r="CC547" s="32"/>
    </row>
    <row r="548" spans="1:8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2"/>
      <c r="BB548" s="32"/>
      <c r="BC548" s="32"/>
      <c r="BD548" s="32"/>
      <c r="BE548" s="32"/>
      <c r="BF548" s="32"/>
      <c r="BG548" s="32"/>
      <c r="BH548" s="32"/>
      <c r="BI548" s="32"/>
      <c r="BJ548" s="32"/>
      <c r="BK548" s="32"/>
      <c r="BL548" s="32"/>
      <c r="BM548" s="32"/>
      <c r="BN548" s="32"/>
      <c r="BO548" s="32"/>
      <c r="BP548" s="32"/>
      <c r="BQ548" s="32"/>
      <c r="BR548" s="32"/>
      <c r="BS548" s="32"/>
      <c r="BT548" s="32"/>
      <c r="BU548" s="32"/>
      <c r="BV548" s="32"/>
      <c r="BW548" s="32"/>
      <c r="BX548" s="32"/>
      <c r="BY548" s="32"/>
      <c r="BZ548" s="32"/>
      <c r="CA548" s="32"/>
      <c r="CB548" s="32"/>
      <c r="CC548" s="32"/>
    </row>
    <row r="549" spans="1:8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  <c r="BD549" s="32"/>
      <c r="BE549" s="32"/>
      <c r="BF549" s="32"/>
      <c r="BG549" s="32"/>
      <c r="BH549" s="32"/>
      <c r="BI549" s="32"/>
      <c r="BJ549" s="32"/>
      <c r="BK549" s="32"/>
      <c r="BL549" s="32"/>
      <c r="BM549" s="32"/>
      <c r="BN549" s="32"/>
      <c r="BO549" s="32"/>
      <c r="BP549" s="32"/>
      <c r="BQ549" s="32"/>
      <c r="BR549" s="32"/>
      <c r="BS549" s="32"/>
      <c r="BT549" s="32"/>
      <c r="BU549" s="32"/>
      <c r="BV549" s="32"/>
      <c r="BW549" s="32"/>
      <c r="BX549" s="32"/>
      <c r="BY549" s="32"/>
      <c r="BZ549" s="32"/>
      <c r="CA549" s="32"/>
      <c r="CB549" s="32"/>
      <c r="CC549" s="32"/>
    </row>
    <row r="550" spans="1:8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  <c r="BD550" s="32"/>
      <c r="BE550" s="32"/>
      <c r="BF550" s="32"/>
      <c r="BG550" s="32"/>
      <c r="BH550" s="32"/>
      <c r="BI550" s="32"/>
      <c r="BJ550" s="32"/>
      <c r="BK550" s="32"/>
      <c r="BL550" s="32"/>
      <c r="BM550" s="32"/>
      <c r="BN550" s="32"/>
      <c r="BO550" s="32"/>
      <c r="BP550" s="32"/>
      <c r="BQ550" s="32"/>
      <c r="BR550" s="32"/>
      <c r="BS550" s="32"/>
      <c r="BT550" s="32"/>
      <c r="BU550" s="32"/>
      <c r="BV550" s="32"/>
      <c r="BW550" s="32"/>
      <c r="BX550" s="32"/>
      <c r="BY550" s="32"/>
      <c r="BZ550" s="32"/>
      <c r="CA550" s="32"/>
      <c r="CB550" s="32"/>
      <c r="CC550" s="32"/>
    </row>
    <row r="551" spans="1:8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  <c r="BD551" s="32"/>
      <c r="BE551" s="32"/>
      <c r="BF551" s="32"/>
      <c r="BG551" s="32"/>
      <c r="BH551" s="32"/>
      <c r="BI551" s="32"/>
      <c r="BJ551" s="32"/>
      <c r="BK551" s="32"/>
      <c r="BL551" s="32"/>
      <c r="BM551" s="32"/>
      <c r="BN551" s="32"/>
      <c r="BO551" s="32"/>
      <c r="BP551" s="32"/>
      <c r="BQ551" s="32"/>
      <c r="BR551" s="32"/>
      <c r="BS551" s="32"/>
      <c r="BT551" s="32"/>
      <c r="BU551" s="32"/>
      <c r="BV551" s="32"/>
      <c r="BW551" s="32"/>
      <c r="BX551" s="32"/>
      <c r="BY551" s="32"/>
      <c r="BZ551" s="32"/>
      <c r="CA551" s="32"/>
      <c r="CB551" s="32"/>
      <c r="CC551" s="32"/>
    </row>
    <row r="552" spans="1:8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  <c r="BD552" s="32"/>
      <c r="BE552" s="32"/>
      <c r="BF552" s="32"/>
      <c r="BG552" s="32"/>
      <c r="BH552" s="32"/>
      <c r="BI552" s="32"/>
      <c r="BJ552" s="32"/>
      <c r="BK552" s="32"/>
      <c r="BL552" s="32"/>
      <c r="BM552" s="32"/>
      <c r="BN552" s="32"/>
      <c r="BO552" s="32"/>
      <c r="BP552" s="32"/>
      <c r="BQ552" s="32"/>
      <c r="BR552" s="32"/>
      <c r="BS552" s="32"/>
      <c r="BT552" s="32"/>
      <c r="BU552" s="32"/>
      <c r="BV552" s="32"/>
      <c r="BW552" s="32"/>
      <c r="BX552" s="32"/>
      <c r="BY552" s="32"/>
      <c r="BZ552" s="32"/>
      <c r="CA552" s="32"/>
      <c r="CB552" s="32"/>
      <c r="CC552" s="32"/>
    </row>
    <row r="553" spans="1:8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2"/>
      <c r="BB553" s="32"/>
      <c r="BC553" s="32"/>
      <c r="BD553" s="32"/>
      <c r="BE553" s="32"/>
      <c r="BF553" s="32"/>
      <c r="BG553" s="32"/>
      <c r="BH553" s="32"/>
      <c r="BI553" s="32"/>
      <c r="BJ553" s="32"/>
      <c r="BK553" s="32"/>
      <c r="BL553" s="32"/>
      <c r="BM553" s="32"/>
      <c r="BN553" s="32"/>
      <c r="BO553" s="32"/>
      <c r="BP553" s="32"/>
      <c r="BQ553" s="32"/>
      <c r="BR553" s="32"/>
      <c r="BS553" s="32"/>
      <c r="BT553" s="32"/>
      <c r="BU553" s="32"/>
      <c r="BV553" s="32"/>
      <c r="BW553" s="32"/>
      <c r="BX553" s="32"/>
      <c r="BY553" s="32"/>
      <c r="BZ553" s="32"/>
      <c r="CA553" s="32"/>
      <c r="CB553" s="32"/>
      <c r="CC553" s="32"/>
    </row>
    <row r="554" spans="1:8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  <c r="BA554" s="32"/>
      <c r="BB554" s="32"/>
      <c r="BC554" s="32"/>
      <c r="BD554" s="32"/>
      <c r="BE554" s="32"/>
      <c r="BF554" s="32"/>
      <c r="BG554" s="32"/>
      <c r="BH554" s="32"/>
      <c r="BI554" s="32"/>
      <c r="BJ554" s="32"/>
      <c r="BK554" s="32"/>
      <c r="BL554" s="32"/>
      <c r="BM554" s="32"/>
      <c r="BN554" s="32"/>
      <c r="BO554" s="32"/>
      <c r="BP554" s="32"/>
      <c r="BQ554" s="32"/>
      <c r="BR554" s="32"/>
      <c r="BS554" s="32"/>
      <c r="BT554" s="32"/>
      <c r="BU554" s="32"/>
      <c r="BV554" s="32"/>
      <c r="BW554" s="32"/>
      <c r="BX554" s="32"/>
      <c r="BY554" s="32"/>
      <c r="BZ554" s="32"/>
      <c r="CA554" s="32"/>
      <c r="CB554" s="32"/>
      <c r="CC554" s="32"/>
    </row>
    <row r="555" spans="1:8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2"/>
      <c r="BA555" s="32"/>
      <c r="BB555" s="32"/>
      <c r="BC555" s="32"/>
      <c r="BD555" s="32"/>
      <c r="BE555" s="32"/>
      <c r="BF555" s="32"/>
      <c r="BG555" s="32"/>
      <c r="BH555" s="32"/>
      <c r="BI555" s="32"/>
      <c r="BJ555" s="32"/>
      <c r="BK555" s="32"/>
      <c r="BL555" s="32"/>
      <c r="BM555" s="32"/>
      <c r="BN555" s="32"/>
      <c r="BO555" s="32"/>
      <c r="BP555" s="32"/>
      <c r="BQ555" s="32"/>
      <c r="BR555" s="32"/>
      <c r="BS555" s="32"/>
      <c r="BT555" s="32"/>
      <c r="BU555" s="32"/>
      <c r="BV555" s="32"/>
      <c r="BW555" s="32"/>
      <c r="BX555" s="32"/>
      <c r="BY555" s="32"/>
      <c r="BZ555" s="32"/>
      <c r="CA555" s="32"/>
      <c r="CB555" s="32"/>
      <c r="CC555" s="32"/>
    </row>
    <row r="556" spans="1:8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  <c r="BA556" s="32"/>
      <c r="BB556" s="32"/>
      <c r="BC556" s="32"/>
      <c r="BD556" s="32"/>
      <c r="BE556" s="32"/>
      <c r="BF556" s="32"/>
      <c r="BG556" s="32"/>
      <c r="BH556" s="32"/>
      <c r="BI556" s="32"/>
      <c r="BJ556" s="32"/>
      <c r="BK556" s="32"/>
      <c r="BL556" s="32"/>
      <c r="BM556" s="32"/>
      <c r="BN556" s="32"/>
      <c r="BO556" s="32"/>
      <c r="BP556" s="32"/>
      <c r="BQ556" s="32"/>
      <c r="BR556" s="32"/>
      <c r="BS556" s="32"/>
      <c r="BT556" s="32"/>
      <c r="BU556" s="32"/>
      <c r="BV556" s="32"/>
      <c r="BW556" s="32"/>
      <c r="BX556" s="32"/>
      <c r="BY556" s="32"/>
      <c r="BZ556" s="32"/>
      <c r="CA556" s="32"/>
      <c r="CB556" s="32"/>
      <c r="CC556" s="32"/>
    </row>
    <row r="557" spans="1:8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  <c r="BA557" s="32"/>
      <c r="BB557" s="32"/>
      <c r="BC557" s="32"/>
      <c r="BD557" s="32"/>
      <c r="BE557" s="32"/>
      <c r="BF557" s="32"/>
      <c r="BG557" s="32"/>
      <c r="BH557" s="32"/>
      <c r="BI557" s="32"/>
      <c r="BJ557" s="32"/>
      <c r="BK557" s="32"/>
      <c r="BL557" s="32"/>
      <c r="BM557" s="32"/>
      <c r="BN557" s="32"/>
      <c r="BO557" s="32"/>
      <c r="BP557" s="32"/>
      <c r="BQ557" s="32"/>
      <c r="BR557" s="32"/>
      <c r="BS557" s="32"/>
      <c r="BT557" s="32"/>
      <c r="BU557" s="32"/>
      <c r="BV557" s="32"/>
      <c r="BW557" s="32"/>
      <c r="BX557" s="32"/>
      <c r="BY557" s="32"/>
      <c r="BZ557" s="32"/>
      <c r="CA557" s="32"/>
      <c r="CB557" s="32"/>
      <c r="CC557" s="32"/>
    </row>
    <row r="558" spans="1:8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2"/>
      <c r="BB558" s="32"/>
      <c r="BC558" s="32"/>
      <c r="BD558" s="32"/>
      <c r="BE558" s="32"/>
      <c r="BF558" s="32"/>
      <c r="BG558" s="32"/>
      <c r="BH558" s="32"/>
      <c r="BI558" s="32"/>
      <c r="BJ558" s="32"/>
      <c r="BK558" s="32"/>
      <c r="BL558" s="32"/>
      <c r="BM558" s="32"/>
      <c r="BN558" s="32"/>
      <c r="BO558" s="32"/>
      <c r="BP558" s="32"/>
      <c r="BQ558" s="32"/>
      <c r="BR558" s="32"/>
      <c r="BS558" s="32"/>
      <c r="BT558" s="32"/>
      <c r="BU558" s="32"/>
      <c r="BV558" s="32"/>
      <c r="BW558" s="32"/>
      <c r="BX558" s="32"/>
      <c r="BY558" s="32"/>
      <c r="BZ558" s="32"/>
      <c r="CA558" s="32"/>
      <c r="CB558" s="32"/>
      <c r="CC558" s="32"/>
    </row>
    <row r="559" spans="1:8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2"/>
      <c r="BA559" s="32"/>
      <c r="BB559" s="32"/>
      <c r="BC559" s="32"/>
      <c r="BD559" s="32"/>
      <c r="BE559" s="32"/>
      <c r="BF559" s="32"/>
      <c r="BG559" s="32"/>
      <c r="BH559" s="32"/>
      <c r="BI559" s="32"/>
      <c r="BJ559" s="32"/>
      <c r="BK559" s="32"/>
      <c r="BL559" s="32"/>
      <c r="BM559" s="32"/>
      <c r="BN559" s="32"/>
      <c r="BO559" s="32"/>
      <c r="BP559" s="32"/>
      <c r="BQ559" s="32"/>
      <c r="BR559" s="32"/>
      <c r="BS559" s="32"/>
      <c r="BT559" s="32"/>
      <c r="BU559" s="32"/>
      <c r="BV559" s="32"/>
      <c r="BW559" s="32"/>
      <c r="BX559" s="32"/>
      <c r="BY559" s="32"/>
      <c r="BZ559" s="32"/>
      <c r="CA559" s="32"/>
      <c r="CB559" s="32"/>
      <c r="CC559" s="32"/>
    </row>
    <row r="560" spans="1:8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  <c r="BA560" s="32"/>
      <c r="BB560" s="32"/>
      <c r="BC560" s="32"/>
      <c r="BD560" s="32"/>
      <c r="BE560" s="32"/>
      <c r="BF560" s="32"/>
      <c r="BG560" s="32"/>
      <c r="BH560" s="32"/>
      <c r="BI560" s="32"/>
      <c r="BJ560" s="32"/>
      <c r="BK560" s="32"/>
      <c r="BL560" s="32"/>
      <c r="BM560" s="32"/>
      <c r="BN560" s="32"/>
      <c r="BO560" s="32"/>
      <c r="BP560" s="32"/>
      <c r="BQ560" s="32"/>
      <c r="BR560" s="32"/>
      <c r="BS560" s="32"/>
      <c r="BT560" s="32"/>
      <c r="BU560" s="32"/>
      <c r="BV560" s="32"/>
      <c r="BW560" s="32"/>
      <c r="BX560" s="32"/>
      <c r="BY560" s="32"/>
      <c r="BZ560" s="32"/>
      <c r="CA560" s="32"/>
      <c r="CB560" s="32"/>
      <c r="CC560" s="32"/>
    </row>
    <row r="561" spans="1:8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2"/>
      <c r="BA561" s="32"/>
      <c r="BB561" s="32"/>
      <c r="BC561" s="32"/>
      <c r="BD561" s="32"/>
      <c r="BE561" s="32"/>
      <c r="BF561" s="32"/>
      <c r="BG561" s="32"/>
      <c r="BH561" s="32"/>
      <c r="BI561" s="32"/>
      <c r="BJ561" s="32"/>
      <c r="BK561" s="32"/>
      <c r="BL561" s="32"/>
      <c r="BM561" s="32"/>
      <c r="BN561" s="32"/>
      <c r="BO561" s="32"/>
      <c r="BP561" s="32"/>
      <c r="BQ561" s="32"/>
      <c r="BR561" s="32"/>
      <c r="BS561" s="32"/>
      <c r="BT561" s="32"/>
      <c r="BU561" s="32"/>
      <c r="BV561" s="32"/>
      <c r="BW561" s="32"/>
      <c r="BX561" s="32"/>
      <c r="BY561" s="32"/>
      <c r="BZ561" s="32"/>
      <c r="CA561" s="32"/>
      <c r="CB561" s="32"/>
      <c r="CC561" s="32"/>
    </row>
    <row r="562" spans="1:8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  <c r="BA562" s="32"/>
      <c r="BB562" s="32"/>
      <c r="BC562" s="32"/>
      <c r="BD562" s="32"/>
      <c r="BE562" s="32"/>
      <c r="BF562" s="32"/>
      <c r="BG562" s="32"/>
      <c r="BH562" s="32"/>
      <c r="BI562" s="32"/>
      <c r="BJ562" s="32"/>
      <c r="BK562" s="32"/>
      <c r="BL562" s="32"/>
      <c r="BM562" s="32"/>
      <c r="BN562" s="32"/>
      <c r="BO562" s="32"/>
      <c r="BP562" s="32"/>
      <c r="BQ562" s="32"/>
      <c r="BR562" s="32"/>
      <c r="BS562" s="32"/>
      <c r="BT562" s="32"/>
      <c r="BU562" s="32"/>
      <c r="BV562" s="32"/>
      <c r="BW562" s="32"/>
      <c r="BX562" s="32"/>
      <c r="BY562" s="32"/>
      <c r="BZ562" s="32"/>
      <c r="CA562" s="32"/>
      <c r="CB562" s="32"/>
      <c r="CC562" s="32"/>
    </row>
    <row r="563" spans="1:8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  <c r="AY563" s="32"/>
      <c r="AZ563" s="32"/>
      <c r="BA563" s="32"/>
      <c r="BB563" s="32"/>
      <c r="BC563" s="32"/>
      <c r="BD563" s="32"/>
      <c r="BE563" s="32"/>
      <c r="BF563" s="32"/>
      <c r="BG563" s="32"/>
      <c r="BH563" s="32"/>
      <c r="BI563" s="32"/>
      <c r="BJ563" s="32"/>
      <c r="BK563" s="32"/>
      <c r="BL563" s="32"/>
      <c r="BM563" s="32"/>
      <c r="BN563" s="32"/>
      <c r="BO563" s="32"/>
      <c r="BP563" s="32"/>
      <c r="BQ563" s="32"/>
      <c r="BR563" s="32"/>
      <c r="BS563" s="32"/>
      <c r="BT563" s="32"/>
      <c r="BU563" s="32"/>
      <c r="BV563" s="32"/>
      <c r="BW563" s="32"/>
      <c r="BX563" s="32"/>
      <c r="BY563" s="32"/>
      <c r="BZ563" s="32"/>
      <c r="CA563" s="32"/>
      <c r="CB563" s="32"/>
      <c r="CC563" s="32"/>
    </row>
    <row r="564" spans="1:8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  <c r="AY564" s="32"/>
      <c r="AZ564" s="32"/>
      <c r="BA564" s="32"/>
      <c r="BB564" s="32"/>
      <c r="BC564" s="32"/>
      <c r="BD564" s="32"/>
      <c r="BE564" s="32"/>
      <c r="BF564" s="32"/>
      <c r="BG564" s="32"/>
      <c r="BH564" s="32"/>
      <c r="BI564" s="32"/>
      <c r="BJ564" s="32"/>
      <c r="BK564" s="32"/>
      <c r="BL564" s="32"/>
      <c r="BM564" s="32"/>
      <c r="BN564" s="32"/>
      <c r="BO564" s="32"/>
      <c r="BP564" s="32"/>
      <c r="BQ564" s="32"/>
      <c r="BR564" s="32"/>
      <c r="BS564" s="32"/>
      <c r="BT564" s="32"/>
      <c r="BU564" s="32"/>
      <c r="BV564" s="32"/>
      <c r="BW564" s="32"/>
      <c r="BX564" s="32"/>
      <c r="BY564" s="32"/>
      <c r="BZ564" s="32"/>
      <c r="CA564" s="32"/>
      <c r="CB564" s="32"/>
      <c r="CC564" s="32"/>
    </row>
    <row r="565" spans="1:8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  <c r="BA565" s="32"/>
      <c r="BB565" s="32"/>
      <c r="BC565" s="32"/>
      <c r="BD565" s="32"/>
      <c r="BE565" s="32"/>
      <c r="BF565" s="32"/>
      <c r="BG565" s="32"/>
      <c r="BH565" s="32"/>
      <c r="BI565" s="32"/>
      <c r="BJ565" s="32"/>
      <c r="BK565" s="32"/>
      <c r="BL565" s="32"/>
      <c r="BM565" s="32"/>
      <c r="BN565" s="32"/>
      <c r="BO565" s="32"/>
      <c r="BP565" s="32"/>
      <c r="BQ565" s="32"/>
      <c r="BR565" s="32"/>
      <c r="BS565" s="32"/>
      <c r="BT565" s="32"/>
      <c r="BU565" s="32"/>
      <c r="BV565" s="32"/>
      <c r="BW565" s="32"/>
      <c r="BX565" s="32"/>
      <c r="BY565" s="32"/>
      <c r="BZ565" s="32"/>
      <c r="CA565" s="32"/>
      <c r="CB565" s="32"/>
      <c r="CC565" s="32"/>
    </row>
    <row r="566" spans="1:8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  <c r="BA566" s="32"/>
      <c r="BB566" s="32"/>
      <c r="BC566" s="32"/>
      <c r="BD566" s="32"/>
      <c r="BE566" s="32"/>
      <c r="BF566" s="32"/>
      <c r="BG566" s="32"/>
      <c r="BH566" s="32"/>
      <c r="BI566" s="32"/>
      <c r="BJ566" s="32"/>
      <c r="BK566" s="32"/>
      <c r="BL566" s="32"/>
      <c r="BM566" s="32"/>
      <c r="BN566" s="32"/>
      <c r="BO566" s="32"/>
      <c r="BP566" s="32"/>
      <c r="BQ566" s="32"/>
      <c r="BR566" s="32"/>
      <c r="BS566" s="32"/>
      <c r="BT566" s="32"/>
      <c r="BU566" s="32"/>
      <c r="BV566" s="32"/>
      <c r="BW566" s="32"/>
      <c r="BX566" s="32"/>
      <c r="BY566" s="32"/>
      <c r="BZ566" s="32"/>
      <c r="CA566" s="32"/>
      <c r="CB566" s="32"/>
      <c r="CC566" s="32"/>
    </row>
    <row r="567" spans="1:8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  <c r="AY567" s="32"/>
      <c r="AZ567" s="32"/>
      <c r="BA567" s="32"/>
      <c r="BB567" s="32"/>
      <c r="BC567" s="32"/>
      <c r="BD567" s="32"/>
      <c r="BE567" s="32"/>
      <c r="BF567" s="32"/>
      <c r="BG567" s="32"/>
      <c r="BH567" s="32"/>
      <c r="BI567" s="32"/>
      <c r="BJ567" s="32"/>
      <c r="BK567" s="32"/>
      <c r="BL567" s="32"/>
      <c r="BM567" s="32"/>
      <c r="BN567" s="32"/>
      <c r="BO567" s="32"/>
      <c r="BP567" s="32"/>
      <c r="BQ567" s="32"/>
      <c r="BR567" s="32"/>
      <c r="BS567" s="32"/>
      <c r="BT567" s="32"/>
      <c r="BU567" s="32"/>
      <c r="BV567" s="32"/>
      <c r="BW567" s="32"/>
      <c r="BX567" s="32"/>
      <c r="BY567" s="32"/>
      <c r="BZ567" s="32"/>
      <c r="CA567" s="32"/>
      <c r="CB567" s="32"/>
      <c r="CC567" s="32"/>
    </row>
    <row r="568" spans="1:8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  <c r="BE568" s="32"/>
      <c r="BF568" s="32"/>
      <c r="BG568" s="32"/>
      <c r="BH568" s="32"/>
      <c r="BI568" s="32"/>
      <c r="BJ568" s="32"/>
      <c r="BK568" s="32"/>
      <c r="BL568" s="32"/>
      <c r="BM568" s="32"/>
      <c r="BN568" s="32"/>
      <c r="BO568" s="32"/>
      <c r="BP568" s="32"/>
      <c r="BQ568" s="32"/>
      <c r="BR568" s="32"/>
      <c r="BS568" s="32"/>
      <c r="BT568" s="32"/>
      <c r="BU568" s="32"/>
      <c r="BV568" s="32"/>
      <c r="BW568" s="32"/>
      <c r="BX568" s="32"/>
      <c r="BY568" s="32"/>
      <c r="BZ568" s="32"/>
      <c r="CA568" s="32"/>
      <c r="CB568" s="32"/>
      <c r="CC568" s="32"/>
    </row>
    <row r="569" spans="1:8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  <c r="AY569" s="32"/>
      <c r="AZ569" s="32"/>
      <c r="BA569" s="32"/>
      <c r="BB569" s="32"/>
      <c r="BC569" s="32"/>
      <c r="BD569" s="32"/>
      <c r="BE569" s="32"/>
      <c r="BF569" s="32"/>
      <c r="BG569" s="32"/>
      <c r="BH569" s="32"/>
      <c r="BI569" s="32"/>
      <c r="BJ569" s="32"/>
      <c r="BK569" s="32"/>
      <c r="BL569" s="32"/>
      <c r="BM569" s="32"/>
      <c r="BN569" s="32"/>
      <c r="BO569" s="32"/>
      <c r="BP569" s="32"/>
      <c r="BQ569" s="32"/>
      <c r="BR569" s="32"/>
      <c r="BS569" s="32"/>
      <c r="BT569" s="32"/>
      <c r="BU569" s="32"/>
      <c r="BV569" s="32"/>
      <c r="BW569" s="32"/>
      <c r="BX569" s="32"/>
      <c r="BY569" s="32"/>
      <c r="BZ569" s="32"/>
      <c r="CA569" s="32"/>
      <c r="CB569" s="32"/>
      <c r="CC569" s="32"/>
    </row>
    <row r="570" spans="1:8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/>
      <c r="BA570" s="32"/>
      <c r="BB570" s="32"/>
      <c r="BC570" s="32"/>
      <c r="BD570" s="32"/>
      <c r="BE570" s="32"/>
      <c r="BF570" s="32"/>
      <c r="BG570" s="32"/>
      <c r="BH570" s="32"/>
      <c r="BI570" s="32"/>
      <c r="BJ570" s="32"/>
      <c r="BK570" s="32"/>
      <c r="BL570" s="32"/>
      <c r="BM570" s="32"/>
      <c r="BN570" s="32"/>
      <c r="BO570" s="32"/>
      <c r="BP570" s="32"/>
      <c r="BQ570" s="32"/>
      <c r="BR570" s="32"/>
      <c r="BS570" s="32"/>
      <c r="BT570" s="32"/>
      <c r="BU570" s="32"/>
      <c r="BV570" s="32"/>
      <c r="BW570" s="32"/>
      <c r="BX570" s="32"/>
      <c r="BY570" s="32"/>
      <c r="BZ570" s="32"/>
      <c r="CA570" s="32"/>
      <c r="CB570" s="32"/>
      <c r="CC570" s="32"/>
    </row>
    <row r="571" spans="1:8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/>
      <c r="BD571" s="32"/>
      <c r="BE571" s="32"/>
      <c r="BF571" s="32"/>
      <c r="BG571" s="32"/>
      <c r="BH571" s="32"/>
      <c r="BI571" s="32"/>
      <c r="BJ571" s="32"/>
      <c r="BK571" s="32"/>
      <c r="BL571" s="32"/>
      <c r="BM571" s="32"/>
      <c r="BN571" s="32"/>
      <c r="BO571" s="32"/>
      <c r="BP571" s="32"/>
      <c r="BQ571" s="32"/>
      <c r="BR571" s="32"/>
      <c r="BS571" s="32"/>
      <c r="BT571" s="32"/>
      <c r="BU571" s="32"/>
      <c r="BV571" s="32"/>
      <c r="BW571" s="32"/>
      <c r="BX571" s="32"/>
      <c r="BY571" s="32"/>
      <c r="BZ571" s="32"/>
      <c r="CA571" s="32"/>
      <c r="CB571" s="32"/>
      <c r="CC571" s="32"/>
    </row>
    <row r="572" spans="1:8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  <c r="BA572" s="32"/>
      <c r="BB572" s="32"/>
      <c r="BC572" s="32"/>
      <c r="BD572" s="32"/>
      <c r="BE572" s="32"/>
      <c r="BF572" s="32"/>
      <c r="BG572" s="32"/>
      <c r="BH572" s="32"/>
      <c r="BI572" s="32"/>
      <c r="BJ572" s="32"/>
      <c r="BK572" s="32"/>
      <c r="BL572" s="32"/>
      <c r="BM572" s="32"/>
      <c r="BN572" s="32"/>
      <c r="BO572" s="32"/>
      <c r="BP572" s="32"/>
      <c r="BQ572" s="32"/>
      <c r="BR572" s="32"/>
      <c r="BS572" s="32"/>
      <c r="BT572" s="32"/>
      <c r="BU572" s="32"/>
      <c r="BV572" s="32"/>
      <c r="BW572" s="32"/>
      <c r="BX572" s="32"/>
      <c r="BY572" s="32"/>
      <c r="BZ572" s="32"/>
      <c r="CA572" s="32"/>
      <c r="CB572" s="32"/>
      <c r="CC572" s="32"/>
    </row>
    <row r="573" spans="1:8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  <c r="BB573" s="32"/>
      <c r="BC573" s="32"/>
      <c r="BD573" s="32"/>
      <c r="BE573" s="32"/>
      <c r="BF573" s="32"/>
      <c r="BG573" s="32"/>
      <c r="BH573" s="32"/>
      <c r="BI573" s="32"/>
      <c r="BJ573" s="32"/>
      <c r="BK573" s="32"/>
      <c r="BL573" s="32"/>
      <c r="BM573" s="32"/>
      <c r="BN573" s="32"/>
      <c r="BO573" s="32"/>
      <c r="BP573" s="32"/>
      <c r="BQ573" s="32"/>
      <c r="BR573" s="32"/>
      <c r="BS573" s="32"/>
      <c r="BT573" s="32"/>
      <c r="BU573" s="32"/>
      <c r="BV573" s="32"/>
      <c r="BW573" s="32"/>
      <c r="BX573" s="32"/>
      <c r="BY573" s="32"/>
      <c r="BZ573" s="32"/>
      <c r="CA573" s="32"/>
      <c r="CB573" s="32"/>
      <c r="CC573" s="32"/>
    </row>
    <row r="574" spans="1:8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  <c r="AY574" s="32"/>
      <c r="AZ574" s="32"/>
      <c r="BA574" s="32"/>
      <c r="BB574" s="32"/>
      <c r="BC574" s="32"/>
      <c r="BD574" s="32"/>
      <c r="BE574" s="32"/>
      <c r="BF574" s="32"/>
      <c r="BG574" s="32"/>
      <c r="BH574" s="32"/>
      <c r="BI574" s="32"/>
      <c r="BJ574" s="32"/>
      <c r="BK574" s="32"/>
      <c r="BL574" s="32"/>
      <c r="BM574" s="32"/>
      <c r="BN574" s="32"/>
      <c r="BO574" s="32"/>
      <c r="BP574" s="32"/>
      <c r="BQ574" s="32"/>
      <c r="BR574" s="32"/>
      <c r="BS574" s="32"/>
      <c r="BT574" s="32"/>
      <c r="BU574" s="32"/>
      <c r="BV574" s="32"/>
      <c r="BW574" s="32"/>
      <c r="BX574" s="32"/>
      <c r="BY574" s="32"/>
      <c r="BZ574" s="32"/>
      <c r="CA574" s="32"/>
      <c r="CB574" s="32"/>
      <c r="CC574" s="32"/>
    </row>
    <row r="575" spans="1:8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2"/>
      <c r="AY575" s="32"/>
      <c r="AZ575" s="32"/>
      <c r="BA575" s="32"/>
      <c r="BB575" s="32"/>
      <c r="BC575" s="32"/>
      <c r="BD575" s="32"/>
      <c r="BE575" s="32"/>
      <c r="BF575" s="32"/>
      <c r="BG575" s="32"/>
      <c r="BH575" s="32"/>
      <c r="BI575" s="32"/>
      <c r="BJ575" s="32"/>
      <c r="BK575" s="32"/>
      <c r="BL575" s="32"/>
      <c r="BM575" s="32"/>
      <c r="BN575" s="32"/>
      <c r="BO575" s="32"/>
      <c r="BP575" s="32"/>
      <c r="BQ575" s="32"/>
      <c r="BR575" s="32"/>
      <c r="BS575" s="32"/>
      <c r="BT575" s="32"/>
      <c r="BU575" s="32"/>
      <c r="BV575" s="32"/>
      <c r="BW575" s="32"/>
      <c r="BX575" s="32"/>
      <c r="BY575" s="32"/>
      <c r="BZ575" s="32"/>
      <c r="CA575" s="32"/>
      <c r="CB575" s="32"/>
      <c r="CC575" s="32"/>
    </row>
    <row r="576" spans="1:8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  <c r="BA576" s="32"/>
      <c r="BB576" s="32"/>
      <c r="BC576" s="32"/>
      <c r="BD576" s="32"/>
      <c r="BE576" s="32"/>
      <c r="BF576" s="32"/>
      <c r="BG576" s="32"/>
      <c r="BH576" s="32"/>
      <c r="BI576" s="32"/>
      <c r="BJ576" s="32"/>
      <c r="BK576" s="32"/>
      <c r="BL576" s="32"/>
      <c r="BM576" s="32"/>
      <c r="BN576" s="32"/>
      <c r="BO576" s="32"/>
      <c r="BP576" s="32"/>
      <c r="BQ576" s="32"/>
      <c r="BR576" s="32"/>
      <c r="BS576" s="32"/>
      <c r="BT576" s="32"/>
      <c r="BU576" s="32"/>
      <c r="BV576" s="32"/>
      <c r="BW576" s="32"/>
      <c r="BX576" s="32"/>
      <c r="BY576" s="32"/>
      <c r="BZ576" s="32"/>
      <c r="CA576" s="32"/>
      <c r="CB576" s="32"/>
      <c r="CC576" s="32"/>
    </row>
    <row r="577" spans="1:8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/>
      <c r="BA577" s="32"/>
      <c r="BB577" s="32"/>
      <c r="BC577" s="32"/>
      <c r="BD577" s="32"/>
      <c r="BE577" s="32"/>
      <c r="BF577" s="32"/>
      <c r="BG577" s="32"/>
      <c r="BH577" s="32"/>
      <c r="BI577" s="32"/>
      <c r="BJ577" s="32"/>
      <c r="BK577" s="32"/>
      <c r="BL577" s="32"/>
      <c r="BM577" s="32"/>
      <c r="BN577" s="32"/>
      <c r="BO577" s="32"/>
      <c r="BP577" s="32"/>
      <c r="BQ577" s="32"/>
      <c r="BR577" s="32"/>
      <c r="BS577" s="32"/>
      <c r="BT577" s="32"/>
      <c r="BU577" s="32"/>
      <c r="BV577" s="32"/>
      <c r="BW577" s="32"/>
      <c r="BX577" s="32"/>
      <c r="BY577" s="32"/>
      <c r="BZ577" s="32"/>
      <c r="CA577" s="32"/>
      <c r="CB577" s="32"/>
      <c r="CC577" s="32"/>
    </row>
    <row r="578" spans="1:8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  <c r="BA578" s="32"/>
      <c r="BB578" s="32"/>
      <c r="BC578" s="32"/>
      <c r="BD578" s="32"/>
      <c r="BE578" s="32"/>
      <c r="BF578" s="32"/>
      <c r="BG578" s="32"/>
      <c r="BH578" s="32"/>
      <c r="BI578" s="32"/>
      <c r="BJ578" s="32"/>
      <c r="BK578" s="32"/>
      <c r="BL578" s="32"/>
      <c r="BM578" s="32"/>
      <c r="BN578" s="32"/>
      <c r="BO578" s="32"/>
      <c r="BP578" s="32"/>
      <c r="BQ578" s="32"/>
      <c r="BR578" s="32"/>
      <c r="BS578" s="32"/>
      <c r="BT578" s="32"/>
      <c r="BU578" s="32"/>
      <c r="BV578" s="32"/>
      <c r="BW578" s="32"/>
      <c r="BX578" s="32"/>
      <c r="BY578" s="32"/>
      <c r="BZ578" s="32"/>
      <c r="CA578" s="32"/>
      <c r="CB578" s="32"/>
      <c r="CC578" s="32"/>
    </row>
    <row r="579" spans="1:8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  <c r="AY579" s="32"/>
      <c r="AZ579" s="32"/>
      <c r="BA579" s="32"/>
      <c r="BB579" s="32"/>
      <c r="BC579" s="32"/>
      <c r="BD579" s="32"/>
      <c r="BE579" s="32"/>
      <c r="BF579" s="32"/>
      <c r="BG579" s="32"/>
      <c r="BH579" s="32"/>
      <c r="BI579" s="32"/>
      <c r="BJ579" s="32"/>
      <c r="BK579" s="32"/>
      <c r="BL579" s="32"/>
      <c r="BM579" s="32"/>
      <c r="BN579" s="32"/>
      <c r="BO579" s="32"/>
      <c r="BP579" s="32"/>
      <c r="BQ579" s="32"/>
      <c r="BR579" s="32"/>
      <c r="BS579" s="32"/>
      <c r="BT579" s="32"/>
      <c r="BU579" s="32"/>
      <c r="BV579" s="32"/>
      <c r="BW579" s="32"/>
      <c r="BX579" s="32"/>
      <c r="BY579" s="32"/>
      <c r="BZ579" s="32"/>
      <c r="CA579" s="32"/>
      <c r="CB579" s="32"/>
      <c r="CC579" s="32"/>
    </row>
    <row r="580" spans="1:8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  <c r="BA580" s="32"/>
      <c r="BB580" s="32"/>
      <c r="BC580" s="32"/>
      <c r="BD580" s="32"/>
      <c r="BE580" s="32"/>
      <c r="BF580" s="32"/>
      <c r="BG580" s="32"/>
      <c r="BH580" s="32"/>
      <c r="BI580" s="32"/>
      <c r="BJ580" s="32"/>
      <c r="BK580" s="32"/>
      <c r="BL580" s="32"/>
      <c r="BM580" s="32"/>
      <c r="BN580" s="32"/>
      <c r="BO580" s="32"/>
      <c r="BP580" s="32"/>
      <c r="BQ580" s="32"/>
      <c r="BR580" s="32"/>
      <c r="BS580" s="32"/>
      <c r="BT580" s="32"/>
      <c r="BU580" s="32"/>
      <c r="BV580" s="32"/>
      <c r="BW580" s="32"/>
      <c r="BX580" s="32"/>
      <c r="BY580" s="32"/>
      <c r="BZ580" s="32"/>
      <c r="CA580" s="32"/>
      <c r="CB580" s="32"/>
      <c r="CC580" s="32"/>
    </row>
    <row r="581" spans="1: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  <c r="BA581" s="32"/>
      <c r="BB581" s="32"/>
      <c r="BC581" s="32"/>
      <c r="BD581" s="32"/>
      <c r="BE581" s="32"/>
      <c r="BF581" s="32"/>
      <c r="BG581" s="32"/>
      <c r="BH581" s="32"/>
      <c r="BI581" s="32"/>
      <c r="BJ581" s="32"/>
      <c r="BK581" s="32"/>
      <c r="BL581" s="32"/>
      <c r="BM581" s="32"/>
      <c r="BN581" s="32"/>
      <c r="BO581" s="32"/>
      <c r="BP581" s="32"/>
      <c r="BQ581" s="32"/>
      <c r="BR581" s="32"/>
      <c r="BS581" s="32"/>
      <c r="BT581" s="32"/>
      <c r="BU581" s="32"/>
      <c r="BV581" s="32"/>
      <c r="BW581" s="32"/>
      <c r="BX581" s="32"/>
      <c r="BY581" s="32"/>
      <c r="BZ581" s="32"/>
      <c r="CA581" s="32"/>
      <c r="CB581" s="32"/>
      <c r="CC581" s="32"/>
    </row>
    <row r="582" spans="1:8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  <c r="AY582" s="32"/>
      <c r="AZ582" s="32"/>
      <c r="BA582" s="32"/>
      <c r="BB582" s="32"/>
      <c r="BC582" s="32"/>
      <c r="BD582" s="32"/>
      <c r="BE582" s="32"/>
      <c r="BF582" s="32"/>
      <c r="BG582" s="32"/>
      <c r="BH582" s="32"/>
      <c r="BI582" s="32"/>
      <c r="BJ582" s="32"/>
      <c r="BK582" s="32"/>
      <c r="BL582" s="32"/>
      <c r="BM582" s="32"/>
      <c r="BN582" s="32"/>
      <c r="BO582" s="32"/>
      <c r="BP582" s="32"/>
      <c r="BQ582" s="32"/>
      <c r="BR582" s="32"/>
      <c r="BS582" s="32"/>
      <c r="BT582" s="32"/>
      <c r="BU582" s="32"/>
      <c r="BV582" s="32"/>
      <c r="BW582" s="32"/>
      <c r="BX582" s="32"/>
      <c r="BY582" s="32"/>
      <c r="BZ582" s="32"/>
      <c r="CA582" s="32"/>
      <c r="CB582" s="32"/>
      <c r="CC582" s="32"/>
    </row>
    <row r="583" spans="1:8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  <c r="BA583" s="32"/>
      <c r="BB583" s="32"/>
      <c r="BC583" s="32"/>
      <c r="BD583" s="32"/>
      <c r="BE583" s="32"/>
      <c r="BF583" s="32"/>
      <c r="BG583" s="32"/>
      <c r="BH583" s="32"/>
      <c r="BI583" s="32"/>
      <c r="BJ583" s="32"/>
      <c r="BK583" s="32"/>
      <c r="BL583" s="32"/>
      <c r="BM583" s="32"/>
      <c r="BN583" s="32"/>
      <c r="BO583" s="32"/>
      <c r="BP583" s="32"/>
      <c r="BQ583" s="32"/>
      <c r="BR583" s="32"/>
      <c r="BS583" s="32"/>
      <c r="BT583" s="32"/>
      <c r="BU583" s="32"/>
      <c r="BV583" s="32"/>
      <c r="BW583" s="32"/>
      <c r="BX583" s="32"/>
      <c r="BY583" s="32"/>
      <c r="BZ583" s="32"/>
      <c r="CA583" s="32"/>
      <c r="CB583" s="32"/>
      <c r="CC583" s="32"/>
    </row>
    <row r="584" spans="1:8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  <c r="BA584" s="32"/>
      <c r="BB584" s="32"/>
      <c r="BC584" s="32"/>
      <c r="BD584" s="32"/>
      <c r="BE584" s="32"/>
      <c r="BF584" s="32"/>
      <c r="BG584" s="32"/>
      <c r="BH584" s="32"/>
      <c r="BI584" s="32"/>
      <c r="BJ584" s="32"/>
      <c r="BK584" s="32"/>
      <c r="BL584" s="32"/>
      <c r="BM584" s="32"/>
      <c r="BN584" s="32"/>
      <c r="BO584" s="32"/>
      <c r="BP584" s="32"/>
      <c r="BQ584" s="32"/>
      <c r="BR584" s="32"/>
      <c r="BS584" s="32"/>
      <c r="BT584" s="32"/>
      <c r="BU584" s="32"/>
      <c r="BV584" s="32"/>
      <c r="BW584" s="32"/>
      <c r="BX584" s="32"/>
      <c r="BY584" s="32"/>
      <c r="BZ584" s="32"/>
      <c r="CA584" s="32"/>
      <c r="CB584" s="32"/>
      <c r="CC584" s="32"/>
    </row>
    <row r="585" spans="1:8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  <c r="AY585" s="32"/>
      <c r="AZ585" s="32"/>
      <c r="BA585" s="32"/>
      <c r="BB585" s="32"/>
      <c r="BC585" s="32"/>
      <c r="BD585" s="32"/>
      <c r="BE585" s="32"/>
      <c r="BF585" s="32"/>
      <c r="BG585" s="32"/>
      <c r="BH585" s="32"/>
      <c r="BI585" s="32"/>
      <c r="BJ585" s="32"/>
      <c r="BK585" s="32"/>
      <c r="BL585" s="32"/>
      <c r="BM585" s="32"/>
      <c r="BN585" s="32"/>
      <c r="BO585" s="32"/>
      <c r="BP585" s="32"/>
      <c r="BQ585" s="32"/>
      <c r="BR585" s="32"/>
      <c r="BS585" s="32"/>
      <c r="BT585" s="32"/>
      <c r="BU585" s="32"/>
      <c r="BV585" s="32"/>
      <c r="BW585" s="32"/>
      <c r="BX585" s="32"/>
      <c r="BY585" s="32"/>
      <c r="BZ585" s="32"/>
      <c r="CA585" s="32"/>
      <c r="CB585" s="32"/>
      <c r="CC585" s="32"/>
    </row>
    <row r="586" spans="1:8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  <c r="BA586" s="32"/>
      <c r="BB586" s="32"/>
      <c r="BC586" s="32"/>
      <c r="BD586" s="32"/>
      <c r="BE586" s="32"/>
      <c r="BF586" s="32"/>
      <c r="BG586" s="32"/>
      <c r="BH586" s="32"/>
      <c r="BI586" s="32"/>
      <c r="BJ586" s="32"/>
      <c r="BK586" s="32"/>
      <c r="BL586" s="32"/>
      <c r="BM586" s="32"/>
      <c r="BN586" s="32"/>
      <c r="BO586" s="32"/>
      <c r="BP586" s="32"/>
      <c r="BQ586" s="32"/>
      <c r="BR586" s="32"/>
      <c r="BS586" s="32"/>
      <c r="BT586" s="32"/>
      <c r="BU586" s="32"/>
      <c r="BV586" s="32"/>
      <c r="BW586" s="32"/>
      <c r="BX586" s="32"/>
      <c r="BY586" s="32"/>
      <c r="BZ586" s="32"/>
      <c r="CA586" s="32"/>
      <c r="CB586" s="32"/>
      <c r="CC586" s="32"/>
    </row>
    <row r="587" spans="1:8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  <c r="BA587" s="32"/>
      <c r="BB587" s="32"/>
      <c r="BC587" s="32"/>
      <c r="BD587" s="32"/>
      <c r="BE587" s="32"/>
      <c r="BF587" s="32"/>
      <c r="BG587" s="32"/>
      <c r="BH587" s="32"/>
      <c r="BI587" s="32"/>
      <c r="BJ587" s="32"/>
      <c r="BK587" s="32"/>
      <c r="BL587" s="32"/>
      <c r="BM587" s="32"/>
      <c r="BN587" s="32"/>
      <c r="BO587" s="32"/>
      <c r="BP587" s="32"/>
      <c r="BQ587" s="32"/>
      <c r="BR587" s="32"/>
      <c r="BS587" s="32"/>
      <c r="BT587" s="32"/>
      <c r="BU587" s="32"/>
      <c r="BV587" s="32"/>
      <c r="BW587" s="32"/>
      <c r="BX587" s="32"/>
      <c r="BY587" s="32"/>
      <c r="BZ587" s="32"/>
      <c r="CA587" s="32"/>
      <c r="CB587" s="32"/>
      <c r="CC587" s="32"/>
    </row>
    <row r="588" spans="1:8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  <c r="BD588" s="32"/>
      <c r="BE588" s="32"/>
      <c r="BF588" s="32"/>
      <c r="BG588" s="32"/>
      <c r="BH588" s="32"/>
      <c r="BI588" s="32"/>
      <c r="BJ588" s="32"/>
      <c r="BK588" s="32"/>
      <c r="BL588" s="32"/>
      <c r="BM588" s="32"/>
      <c r="BN588" s="32"/>
      <c r="BO588" s="32"/>
      <c r="BP588" s="32"/>
      <c r="BQ588" s="32"/>
      <c r="BR588" s="32"/>
      <c r="BS588" s="32"/>
      <c r="BT588" s="32"/>
      <c r="BU588" s="32"/>
      <c r="BV588" s="32"/>
      <c r="BW588" s="32"/>
      <c r="BX588" s="32"/>
      <c r="BY588" s="32"/>
      <c r="BZ588" s="32"/>
      <c r="CA588" s="32"/>
      <c r="CB588" s="32"/>
      <c r="CC588" s="32"/>
    </row>
    <row r="589" spans="1:8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2"/>
      <c r="BB589" s="32"/>
      <c r="BC589" s="32"/>
      <c r="BD589" s="32"/>
      <c r="BE589" s="32"/>
      <c r="BF589" s="32"/>
      <c r="BG589" s="32"/>
      <c r="BH589" s="32"/>
      <c r="BI589" s="32"/>
      <c r="BJ589" s="32"/>
      <c r="BK589" s="32"/>
      <c r="BL589" s="32"/>
      <c r="BM589" s="32"/>
      <c r="BN589" s="32"/>
      <c r="BO589" s="32"/>
      <c r="BP589" s="32"/>
      <c r="BQ589" s="32"/>
      <c r="BR589" s="32"/>
      <c r="BS589" s="32"/>
      <c r="BT589" s="32"/>
      <c r="BU589" s="32"/>
      <c r="BV589" s="32"/>
      <c r="BW589" s="32"/>
      <c r="BX589" s="32"/>
      <c r="BY589" s="32"/>
      <c r="BZ589" s="32"/>
      <c r="CA589" s="32"/>
      <c r="CB589" s="32"/>
      <c r="CC589" s="32"/>
    </row>
    <row r="590" spans="1:8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  <c r="BA590" s="32"/>
      <c r="BB590" s="32"/>
      <c r="BC590" s="32"/>
      <c r="BD590" s="32"/>
      <c r="BE590" s="32"/>
      <c r="BF590" s="32"/>
      <c r="BG590" s="32"/>
      <c r="BH590" s="32"/>
      <c r="BI590" s="32"/>
      <c r="BJ590" s="32"/>
      <c r="BK590" s="32"/>
      <c r="BL590" s="32"/>
      <c r="BM590" s="32"/>
      <c r="BN590" s="32"/>
      <c r="BO590" s="32"/>
      <c r="BP590" s="32"/>
      <c r="BQ590" s="32"/>
      <c r="BR590" s="32"/>
      <c r="BS590" s="32"/>
      <c r="BT590" s="32"/>
      <c r="BU590" s="32"/>
      <c r="BV590" s="32"/>
      <c r="BW590" s="32"/>
      <c r="BX590" s="32"/>
      <c r="BY590" s="32"/>
      <c r="BZ590" s="32"/>
      <c r="CA590" s="32"/>
      <c r="CB590" s="32"/>
      <c r="CC590" s="32"/>
    </row>
    <row r="591" spans="1:8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  <c r="BD591" s="32"/>
      <c r="BE591" s="32"/>
      <c r="BF591" s="32"/>
      <c r="BG591" s="32"/>
      <c r="BH591" s="32"/>
      <c r="BI591" s="32"/>
      <c r="BJ591" s="32"/>
      <c r="BK591" s="32"/>
      <c r="BL591" s="32"/>
      <c r="BM591" s="32"/>
      <c r="BN591" s="32"/>
      <c r="BO591" s="32"/>
      <c r="BP591" s="32"/>
      <c r="BQ591" s="32"/>
      <c r="BR591" s="32"/>
      <c r="BS591" s="32"/>
      <c r="BT591" s="32"/>
      <c r="BU591" s="32"/>
      <c r="BV591" s="32"/>
      <c r="BW591" s="32"/>
      <c r="BX591" s="32"/>
      <c r="BY591" s="32"/>
      <c r="BZ591" s="32"/>
      <c r="CA591" s="32"/>
      <c r="CB591" s="32"/>
      <c r="CC591" s="32"/>
    </row>
    <row r="592" spans="1:8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  <c r="BA592" s="32"/>
      <c r="BB592" s="32"/>
      <c r="BC592" s="32"/>
      <c r="BD592" s="32"/>
      <c r="BE592" s="32"/>
      <c r="BF592" s="32"/>
      <c r="BG592" s="32"/>
      <c r="BH592" s="32"/>
      <c r="BI592" s="32"/>
      <c r="BJ592" s="32"/>
      <c r="BK592" s="32"/>
      <c r="BL592" s="32"/>
      <c r="BM592" s="32"/>
      <c r="BN592" s="32"/>
      <c r="BO592" s="32"/>
      <c r="BP592" s="32"/>
      <c r="BQ592" s="32"/>
      <c r="BR592" s="32"/>
      <c r="BS592" s="32"/>
      <c r="BT592" s="32"/>
      <c r="BU592" s="32"/>
      <c r="BV592" s="32"/>
      <c r="BW592" s="32"/>
      <c r="BX592" s="32"/>
      <c r="BY592" s="32"/>
      <c r="BZ592" s="32"/>
      <c r="CA592" s="32"/>
      <c r="CB592" s="32"/>
      <c r="CC592" s="32"/>
    </row>
    <row r="593" spans="1:8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  <c r="BD593" s="32"/>
      <c r="BE593" s="32"/>
      <c r="BF593" s="32"/>
      <c r="BG593" s="32"/>
      <c r="BH593" s="32"/>
      <c r="BI593" s="32"/>
      <c r="BJ593" s="32"/>
      <c r="BK593" s="32"/>
      <c r="BL593" s="32"/>
      <c r="BM593" s="32"/>
      <c r="BN593" s="32"/>
      <c r="BO593" s="32"/>
      <c r="BP593" s="32"/>
      <c r="BQ593" s="32"/>
      <c r="BR593" s="32"/>
      <c r="BS593" s="32"/>
      <c r="BT593" s="32"/>
      <c r="BU593" s="32"/>
      <c r="BV593" s="32"/>
      <c r="BW593" s="32"/>
      <c r="BX593" s="32"/>
      <c r="BY593" s="32"/>
      <c r="BZ593" s="32"/>
      <c r="CA593" s="32"/>
      <c r="CB593" s="32"/>
      <c r="CC593" s="32"/>
    </row>
    <row r="594" spans="1:8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  <c r="BA594" s="32"/>
      <c r="BB594" s="32"/>
      <c r="BC594" s="32"/>
      <c r="BD594" s="32"/>
      <c r="BE594" s="32"/>
      <c r="BF594" s="32"/>
      <c r="BG594" s="32"/>
      <c r="BH594" s="32"/>
      <c r="BI594" s="32"/>
      <c r="BJ594" s="32"/>
      <c r="BK594" s="32"/>
      <c r="BL594" s="32"/>
      <c r="BM594" s="32"/>
      <c r="BN594" s="32"/>
      <c r="BO594" s="32"/>
      <c r="BP594" s="32"/>
      <c r="BQ594" s="32"/>
      <c r="BR594" s="32"/>
      <c r="BS594" s="32"/>
      <c r="BT594" s="32"/>
      <c r="BU594" s="32"/>
      <c r="BV594" s="32"/>
      <c r="BW594" s="32"/>
      <c r="BX594" s="32"/>
      <c r="BY594" s="32"/>
      <c r="BZ594" s="32"/>
      <c r="CA594" s="32"/>
      <c r="CB594" s="32"/>
      <c r="CC594" s="32"/>
    </row>
    <row r="595" spans="1:8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2"/>
      <c r="AY595" s="32"/>
      <c r="AZ595" s="32"/>
      <c r="BA595" s="32"/>
      <c r="BB595" s="32"/>
      <c r="BC595" s="32"/>
      <c r="BD595" s="32"/>
      <c r="BE595" s="32"/>
      <c r="BF595" s="32"/>
      <c r="BG595" s="32"/>
      <c r="BH595" s="32"/>
      <c r="BI595" s="32"/>
      <c r="BJ595" s="32"/>
      <c r="BK595" s="32"/>
      <c r="BL595" s="32"/>
      <c r="BM595" s="32"/>
      <c r="BN595" s="32"/>
      <c r="BO595" s="32"/>
      <c r="BP595" s="32"/>
      <c r="BQ595" s="32"/>
      <c r="BR595" s="32"/>
      <c r="BS595" s="32"/>
      <c r="BT595" s="32"/>
      <c r="BU595" s="32"/>
      <c r="BV595" s="32"/>
      <c r="BW595" s="32"/>
      <c r="BX595" s="32"/>
      <c r="BY595" s="32"/>
      <c r="BZ595" s="32"/>
      <c r="CA595" s="32"/>
      <c r="CB595" s="32"/>
      <c r="CC595" s="32"/>
    </row>
    <row r="596" spans="1:8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  <c r="BA596" s="32"/>
      <c r="BB596" s="32"/>
      <c r="BC596" s="32"/>
      <c r="BD596" s="32"/>
      <c r="BE596" s="32"/>
      <c r="BF596" s="32"/>
      <c r="BG596" s="32"/>
      <c r="BH596" s="32"/>
      <c r="BI596" s="32"/>
      <c r="BJ596" s="32"/>
      <c r="BK596" s="32"/>
      <c r="BL596" s="32"/>
      <c r="BM596" s="32"/>
      <c r="BN596" s="32"/>
      <c r="BO596" s="32"/>
      <c r="BP596" s="32"/>
      <c r="BQ596" s="32"/>
      <c r="BR596" s="32"/>
      <c r="BS596" s="32"/>
      <c r="BT596" s="32"/>
      <c r="BU596" s="32"/>
      <c r="BV596" s="32"/>
      <c r="BW596" s="32"/>
      <c r="BX596" s="32"/>
      <c r="BY596" s="32"/>
      <c r="BZ596" s="32"/>
      <c r="CA596" s="32"/>
      <c r="CB596" s="32"/>
      <c r="CC596" s="32"/>
    </row>
    <row r="597" spans="1:8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  <c r="BA597" s="32"/>
      <c r="BB597" s="32"/>
      <c r="BC597" s="32"/>
      <c r="BD597" s="32"/>
      <c r="BE597" s="32"/>
      <c r="BF597" s="32"/>
      <c r="BG597" s="32"/>
      <c r="BH597" s="32"/>
      <c r="BI597" s="32"/>
      <c r="BJ597" s="32"/>
      <c r="BK597" s="32"/>
      <c r="BL597" s="32"/>
      <c r="BM597" s="32"/>
      <c r="BN597" s="32"/>
      <c r="BO597" s="32"/>
      <c r="BP597" s="32"/>
      <c r="BQ597" s="32"/>
      <c r="BR597" s="32"/>
      <c r="BS597" s="32"/>
      <c r="BT597" s="32"/>
      <c r="BU597" s="32"/>
      <c r="BV597" s="32"/>
      <c r="BW597" s="32"/>
      <c r="BX597" s="32"/>
      <c r="BY597" s="32"/>
      <c r="BZ597" s="32"/>
      <c r="CA597" s="32"/>
      <c r="CB597" s="32"/>
      <c r="CC597" s="32"/>
    </row>
    <row r="598" spans="1:8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2"/>
      <c r="BB598" s="32"/>
      <c r="BC598" s="32"/>
      <c r="BD598" s="32"/>
      <c r="BE598" s="32"/>
      <c r="BF598" s="32"/>
      <c r="BG598" s="32"/>
      <c r="BH598" s="32"/>
      <c r="BI598" s="32"/>
      <c r="BJ598" s="32"/>
      <c r="BK598" s="32"/>
      <c r="BL598" s="32"/>
      <c r="BM598" s="32"/>
      <c r="BN598" s="32"/>
      <c r="BO598" s="32"/>
      <c r="BP598" s="32"/>
      <c r="BQ598" s="32"/>
      <c r="BR598" s="32"/>
      <c r="BS598" s="32"/>
      <c r="BT598" s="32"/>
      <c r="BU598" s="32"/>
      <c r="BV598" s="32"/>
      <c r="BW598" s="32"/>
      <c r="BX598" s="32"/>
      <c r="BY598" s="32"/>
      <c r="BZ598" s="32"/>
      <c r="CA598" s="32"/>
      <c r="CB598" s="32"/>
      <c r="CC598" s="32"/>
    </row>
    <row r="599" spans="1:8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  <c r="BA599" s="32"/>
      <c r="BB599" s="32"/>
      <c r="BC599" s="32"/>
      <c r="BD599" s="32"/>
      <c r="BE599" s="32"/>
      <c r="BF599" s="32"/>
      <c r="BG599" s="32"/>
      <c r="BH599" s="32"/>
      <c r="BI599" s="32"/>
      <c r="BJ599" s="32"/>
      <c r="BK599" s="32"/>
      <c r="BL599" s="32"/>
      <c r="BM599" s="32"/>
      <c r="BN599" s="32"/>
      <c r="BO599" s="32"/>
      <c r="BP599" s="32"/>
      <c r="BQ599" s="32"/>
      <c r="BR599" s="32"/>
      <c r="BS599" s="32"/>
      <c r="BT599" s="32"/>
      <c r="BU599" s="32"/>
      <c r="BV599" s="32"/>
      <c r="BW599" s="32"/>
      <c r="BX599" s="32"/>
      <c r="BY599" s="32"/>
      <c r="BZ599" s="32"/>
      <c r="CA599" s="32"/>
      <c r="CB599" s="32"/>
      <c r="CC599" s="32"/>
    </row>
    <row r="600" spans="1:8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2"/>
      <c r="BB600" s="32"/>
      <c r="BC600" s="32"/>
      <c r="BD600" s="32"/>
      <c r="BE600" s="32"/>
      <c r="BF600" s="32"/>
      <c r="BG600" s="32"/>
      <c r="BH600" s="32"/>
      <c r="BI600" s="32"/>
      <c r="BJ600" s="32"/>
      <c r="BK600" s="32"/>
      <c r="BL600" s="32"/>
      <c r="BM600" s="32"/>
      <c r="BN600" s="32"/>
      <c r="BO600" s="32"/>
      <c r="BP600" s="32"/>
      <c r="BQ600" s="32"/>
      <c r="BR600" s="32"/>
      <c r="BS600" s="32"/>
      <c r="BT600" s="32"/>
      <c r="BU600" s="32"/>
      <c r="BV600" s="32"/>
      <c r="BW600" s="32"/>
      <c r="BX600" s="32"/>
      <c r="BY600" s="32"/>
      <c r="BZ600" s="32"/>
      <c r="CA600" s="32"/>
      <c r="CB600" s="32"/>
      <c r="CC600" s="32"/>
    </row>
    <row r="601" spans="1:8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32"/>
      <c r="BC601" s="32"/>
      <c r="BD601" s="32"/>
      <c r="BE601" s="32"/>
      <c r="BF601" s="32"/>
      <c r="BG601" s="32"/>
      <c r="BH601" s="32"/>
      <c r="BI601" s="32"/>
      <c r="BJ601" s="32"/>
      <c r="BK601" s="32"/>
      <c r="BL601" s="32"/>
      <c r="BM601" s="32"/>
      <c r="BN601" s="32"/>
      <c r="BO601" s="32"/>
      <c r="BP601" s="32"/>
      <c r="BQ601" s="32"/>
      <c r="BR601" s="32"/>
      <c r="BS601" s="32"/>
      <c r="BT601" s="32"/>
      <c r="BU601" s="32"/>
      <c r="BV601" s="32"/>
      <c r="BW601" s="32"/>
      <c r="BX601" s="32"/>
      <c r="BY601" s="32"/>
      <c r="BZ601" s="32"/>
      <c r="CA601" s="32"/>
      <c r="CB601" s="32"/>
      <c r="CC601" s="32"/>
    </row>
  </sheetData>
  <sheetProtection sheet="1" objects="1" scenarios="1" selectLockedCells="1"/>
  <mergeCells count="61">
    <mergeCell ref="D50:E50"/>
    <mergeCell ref="H50:I50"/>
    <mergeCell ref="D51:E51"/>
    <mergeCell ref="H51:I51"/>
    <mergeCell ref="H53:I53"/>
    <mergeCell ref="D47:E47"/>
    <mergeCell ref="H47:I47"/>
    <mergeCell ref="D48:E48"/>
    <mergeCell ref="H48:I48"/>
    <mergeCell ref="D49:E49"/>
    <mergeCell ref="H49:I49"/>
    <mergeCell ref="D44:E44"/>
    <mergeCell ref="H44:I44"/>
    <mergeCell ref="D45:E45"/>
    <mergeCell ref="H45:I45"/>
    <mergeCell ref="D46:E46"/>
    <mergeCell ref="H46:I46"/>
    <mergeCell ref="D41:E41"/>
    <mergeCell ref="H41:I41"/>
    <mergeCell ref="D42:E42"/>
    <mergeCell ref="H42:I42"/>
    <mergeCell ref="D43:E43"/>
    <mergeCell ref="H43:I43"/>
    <mergeCell ref="D38:E38"/>
    <mergeCell ref="H38:I38"/>
    <mergeCell ref="D39:E39"/>
    <mergeCell ref="H39:I39"/>
    <mergeCell ref="D40:E40"/>
    <mergeCell ref="H40:I40"/>
    <mergeCell ref="D37:E37"/>
    <mergeCell ref="H37:I37"/>
    <mergeCell ref="H23:I23"/>
    <mergeCell ref="H24:I24"/>
    <mergeCell ref="G25:G26"/>
    <mergeCell ref="H25:H26"/>
    <mergeCell ref="I25:I26"/>
    <mergeCell ref="D29:I29"/>
    <mergeCell ref="H31:I31"/>
    <mergeCell ref="D32:E32"/>
    <mergeCell ref="H32:I32"/>
    <mergeCell ref="D33:E33"/>
    <mergeCell ref="H33:I33"/>
    <mergeCell ref="C36:I36"/>
    <mergeCell ref="D30:I30"/>
    <mergeCell ref="B2:D3"/>
    <mergeCell ref="F3:G3"/>
    <mergeCell ref="G10:H10"/>
    <mergeCell ref="C18:E18"/>
    <mergeCell ref="C19:E19"/>
    <mergeCell ref="G11:H11"/>
    <mergeCell ref="G12:H12"/>
    <mergeCell ref="G15:H15"/>
    <mergeCell ref="G16:H16"/>
    <mergeCell ref="G13:H13"/>
    <mergeCell ref="G14:H14"/>
    <mergeCell ref="G7:H7"/>
    <mergeCell ref="G8:H8"/>
    <mergeCell ref="G9:H9"/>
    <mergeCell ref="E1:G1"/>
    <mergeCell ref="G5:H5"/>
    <mergeCell ref="F4:G4"/>
  </mergeCells>
  <phoneticPr fontId="29" type="noConversion"/>
  <conditionalFormatting sqref="G18">
    <cfRule type="expression" dxfId="16" priority="4">
      <formula>$I$3=1</formula>
    </cfRule>
  </conditionalFormatting>
  <conditionalFormatting sqref="G19">
    <cfRule type="expression" dxfId="15" priority="5">
      <formula>$I$3=2</formula>
    </cfRule>
  </conditionalFormatting>
  <printOptions horizontalCentered="1"/>
  <pageMargins left="0.5" right="0.5" top="1.5" bottom="0.25" header="0" footer="0"/>
  <pageSetup paperSize="9" scale="71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7BB6D842-DFEE-4209-B6D7-5D152237AFB2}">
            <xm:f>initial!$C$4=2</xm:f>
            <x14:dxf>
              <font>
                <color rgb="FFFFFFFF"/>
              </font>
              <fill>
                <patternFill>
                  <bgColor theme="0"/>
                </patternFill>
              </fill>
              <border>
                <vertical/>
                <horizontal/>
              </border>
            </x14:dxf>
          </x14:cfRule>
          <xm:sqref>G23:G25 H25:I25</xm:sqref>
        </x14:conditionalFormatting>
        <x14:conditionalFormatting xmlns:xm="http://schemas.microsoft.com/office/excel/2006/main">
          <x14:cfRule type="expression" priority="1" id="{E1B0315C-7B8E-4829-8D26-D524AD6C8497}">
            <xm:f>initial!$C$4=2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vertical/>
                <horizontal/>
              </border>
            </x14:dxf>
          </x14:cfRule>
          <xm:sqref>H23:H24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pageSetUpPr fitToPage="1"/>
  </sheetPr>
  <dimension ref="B2:L59"/>
  <sheetViews>
    <sheetView showGridLines="0" showRowColHeaders="0" showZeros="0" showWhiteSpace="0" topLeftCell="A10" zoomScale="85" zoomScaleNormal="85" zoomScaleSheetLayoutView="115" workbookViewId="0">
      <selection activeCell="N43" sqref="N43"/>
    </sheetView>
  </sheetViews>
  <sheetFormatPr defaultColWidth="9" defaultRowHeight="21"/>
  <cols>
    <col min="1" max="1" width="3.25" style="339" customWidth="1"/>
    <col min="2" max="4" width="13.25" style="320" customWidth="1"/>
    <col min="5" max="5" width="3.5" style="320" customWidth="1"/>
    <col min="6" max="6" width="4.625" style="320" customWidth="1"/>
    <col min="7" max="7" width="14.5" style="326" customWidth="1"/>
    <col min="8" max="8" width="6.25" style="326" customWidth="1"/>
    <col min="9" max="9" width="14.5" style="326" customWidth="1"/>
    <col min="10" max="10" width="7" style="320" customWidth="1"/>
    <col min="11" max="12" width="4.25" style="320" customWidth="1"/>
    <col min="13" max="16384" width="9" style="339"/>
  </cols>
  <sheetData>
    <row r="2" spans="2:12" ht="24.6" customHeight="1">
      <c r="B2" s="871" t="s">
        <v>172</v>
      </c>
      <c r="C2" s="871"/>
      <c r="D2" s="871"/>
      <c r="E2" s="871"/>
      <c r="F2" s="871"/>
      <c r="G2" s="871"/>
      <c r="H2" s="871"/>
      <c r="I2" s="871"/>
      <c r="J2" s="871"/>
      <c r="K2" s="871"/>
      <c r="L2" s="871"/>
    </row>
    <row r="3" spans="2:12" ht="22.15" customHeight="1">
      <c r="B3" s="871"/>
      <c r="C3" s="871"/>
      <c r="D3" s="871"/>
      <c r="E3" s="871"/>
      <c r="F3" s="871"/>
      <c r="G3" s="871"/>
      <c r="H3" s="871"/>
      <c r="I3" s="871"/>
      <c r="J3" s="871"/>
      <c r="K3" s="871"/>
      <c r="L3" s="871"/>
    </row>
    <row r="4" spans="2:12" ht="17.45" customHeight="1">
      <c r="B4" s="860" t="s">
        <v>213</v>
      </c>
      <c r="C4" s="860"/>
      <c r="D4" s="860"/>
      <c r="E4" s="335"/>
      <c r="F4" s="872" t="str">
        <f>data!E2</f>
        <v>WARRAMBOO</v>
      </c>
      <c r="G4" s="872"/>
      <c r="H4" s="872"/>
      <c r="I4" s="872"/>
      <c r="J4" s="872"/>
    </row>
    <row r="5" spans="2:12" ht="17.45" customHeight="1">
      <c r="B5" s="860" t="s">
        <v>214</v>
      </c>
      <c r="C5" s="860"/>
      <c r="D5" s="860"/>
      <c r="F5" s="872">
        <f>data!E7</f>
        <v>132512</v>
      </c>
      <c r="G5" s="872"/>
      <c r="H5" s="872"/>
      <c r="I5" s="872"/>
      <c r="J5" s="872"/>
    </row>
    <row r="6" spans="2:12" ht="17.45" customHeight="1">
      <c r="B6" s="860" t="s">
        <v>3</v>
      </c>
      <c r="C6" s="860"/>
      <c r="D6" s="860"/>
      <c r="F6" s="872" t="str">
        <f>data!E6</f>
        <v>TOKYO</v>
      </c>
      <c r="G6" s="872"/>
      <c r="H6" s="872"/>
      <c r="I6" s="872"/>
      <c r="J6" s="872"/>
    </row>
    <row r="7" spans="2:12" ht="17.45" customHeight="1">
      <c r="B7" s="860" t="s">
        <v>215</v>
      </c>
      <c r="C7" s="860"/>
      <c r="D7" s="860"/>
      <c r="F7" s="872">
        <f>data!E9</f>
        <v>18.024999999999999</v>
      </c>
      <c r="G7" s="872"/>
      <c r="H7" s="872"/>
      <c r="I7" s="872"/>
      <c r="J7" s="872"/>
    </row>
    <row r="8" spans="2:12" ht="17.45" customHeight="1">
      <c r="B8" s="860" t="s">
        <v>216</v>
      </c>
      <c r="C8" s="860"/>
      <c r="D8" s="860"/>
      <c r="F8" s="873" t="str">
        <f>initial!F4</f>
        <v>102A</v>
      </c>
      <c r="G8" s="873"/>
      <c r="H8" s="873"/>
      <c r="I8" s="873"/>
      <c r="J8" s="873"/>
    </row>
    <row r="9" spans="2:12" ht="17.45" customHeight="1">
      <c r="B9" s="860" t="s">
        <v>217</v>
      </c>
      <c r="C9" s="860"/>
      <c r="D9" s="860"/>
      <c r="E9" s="335"/>
      <c r="F9" s="874" t="s">
        <v>425</v>
      </c>
      <c r="G9" s="874"/>
      <c r="H9" s="874"/>
      <c r="I9" s="874"/>
      <c r="J9" s="874"/>
    </row>
    <row r="10" spans="2:12" ht="17.45" customHeight="1">
      <c r="B10" s="860" t="s">
        <v>218</v>
      </c>
      <c r="C10" s="860"/>
      <c r="D10" s="860"/>
      <c r="E10" s="335"/>
      <c r="F10" s="874" t="s">
        <v>436</v>
      </c>
      <c r="G10" s="874"/>
      <c r="H10" s="874"/>
      <c r="I10" s="874"/>
      <c r="J10" s="874"/>
    </row>
    <row r="11" spans="2:12" ht="17.45" customHeight="1">
      <c r="B11" s="860" t="s">
        <v>87</v>
      </c>
      <c r="C11" s="860"/>
      <c r="D11" s="860"/>
      <c r="E11" s="335"/>
      <c r="F11" s="874" t="s">
        <v>434</v>
      </c>
      <c r="G11" s="874"/>
      <c r="H11" s="874"/>
      <c r="I11" s="874"/>
      <c r="J11" s="874"/>
    </row>
    <row r="12" spans="2:12" ht="9" customHeight="1">
      <c r="B12" s="340"/>
      <c r="C12" s="325"/>
      <c r="D12" s="325"/>
      <c r="F12" s="875"/>
      <c r="G12" s="875"/>
      <c r="H12" s="875"/>
      <c r="I12" s="875"/>
      <c r="J12" s="875"/>
    </row>
    <row r="13" spans="2:12" ht="17.45" customHeight="1">
      <c r="B13" s="860" t="s">
        <v>264</v>
      </c>
      <c r="C13" s="860"/>
      <c r="D13" s="860"/>
      <c r="F13" s="855">
        <f>initial!D33</f>
        <v>45181.451388888891</v>
      </c>
      <c r="G13" s="855"/>
      <c r="H13" s="855"/>
      <c r="I13" s="856"/>
      <c r="J13" s="856"/>
    </row>
    <row r="14" spans="2:12" ht="17.45" customHeight="1">
      <c r="B14" s="860" t="str">
        <f>IF(initial!C4=1, "Commenced Loading", "Commenced Discharging")</f>
        <v>Commenced Loading</v>
      </c>
      <c r="C14" s="860"/>
      <c r="D14" s="860"/>
      <c r="F14" s="855">
        <f>final!H32</f>
        <v>45181.454861111109</v>
      </c>
      <c r="G14" s="855"/>
      <c r="H14" s="855"/>
      <c r="I14" s="856"/>
      <c r="J14" s="856"/>
    </row>
    <row r="15" spans="2:12" ht="17.45" customHeight="1">
      <c r="B15" s="860" t="str">
        <f>IF(initial!C4=1, "Completed Loading", "Completed Discharging")</f>
        <v>Completed Loading</v>
      </c>
      <c r="C15" s="860"/>
      <c r="D15" s="860"/>
      <c r="F15" s="855">
        <f>final!H33</f>
        <v>45182.697222222225</v>
      </c>
      <c r="G15" s="855"/>
      <c r="H15" s="855"/>
      <c r="I15" s="856"/>
      <c r="J15" s="856"/>
    </row>
    <row r="16" spans="2:12" ht="17.45" customHeight="1">
      <c r="B16" s="860" t="s">
        <v>265</v>
      </c>
      <c r="C16" s="860"/>
      <c r="D16" s="860"/>
      <c r="F16" s="855">
        <f>final!D33</f>
        <v>45182.704861111109</v>
      </c>
      <c r="G16" s="855"/>
      <c r="H16" s="855"/>
      <c r="I16" s="856"/>
      <c r="J16" s="856"/>
    </row>
    <row r="17" spans="2:12" ht="10.15" customHeight="1"/>
    <row r="18" spans="2:12" s="341" customFormat="1" ht="19.899999999999999" customHeight="1">
      <c r="B18" s="342"/>
      <c r="C18" s="342"/>
      <c r="D18" s="342"/>
      <c r="E18" s="342"/>
      <c r="F18" s="342"/>
      <c r="G18" s="343" t="s">
        <v>149</v>
      </c>
      <c r="H18" s="344"/>
      <c r="I18" s="343" t="s">
        <v>151</v>
      </c>
      <c r="J18" s="342"/>
      <c r="K18" s="342"/>
      <c r="L18" s="342"/>
    </row>
    <row r="19" spans="2:12" ht="17.45" customHeight="1">
      <c r="B19" s="859" t="s">
        <v>173</v>
      </c>
      <c r="C19" s="859"/>
      <c r="D19" s="859"/>
    </row>
    <row r="20" spans="2:12" ht="17.45" customHeight="1">
      <c r="B20" s="860" t="s">
        <v>181</v>
      </c>
      <c r="C20" s="860"/>
      <c r="D20" s="860"/>
      <c r="G20" s="321">
        <f>calc!D11</f>
        <v>8.1051871832597673</v>
      </c>
      <c r="H20" s="322"/>
      <c r="I20" s="323">
        <f>calc!R11</f>
        <v>18.039771129638712</v>
      </c>
    </row>
    <row r="21" spans="2:12" ht="17.45" customHeight="1">
      <c r="B21" s="860" t="s">
        <v>182</v>
      </c>
      <c r="C21" s="860"/>
      <c r="D21" s="860"/>
      <c r="G21" s="321">
        <f>calc!H11</f>
        <v>9.905138139610921</v>
      </c>
      <c r="H21" s="322"/>
      <c r="I21" s="323">
        <f>calc!V11</f>
        <v>18.081752493052146</v>
      </c>
    </row>
    <row r="22" spans="2:12" ht="17.45" customHeight="1">
      <c r="B22" s="860" t="s">
        <v>183</v>
      </c>
      <c r="C22" s="860"/>
      <c r="D22" s="860"/>
      <c r="G22" s="321">
        <f>calc!F12</f>
        <v>9.0051626614353442</v>
      </c>
      <c r="H22" s="322"/>
      <c r="I22" s="323">
        <f>calc!T12</f>
        <v>18.060761811345429</v>
      </c>
    </row>
    <row r="23" spans="2:12" ht="17.45" customHeight="1">
      <c r="B23" s="860" t="s">
        <v>174</v>
      </c>
      <c r="C23" s="860"/>
      <c r="D23" s="860"/>
      <c r="G23" s="321">
        <f>calc!F16</f>
        <v>9.129999999999999</v>
      </c>
      <c r="H23" s="322"/>
      <c r="I23" s="323">
        <f>calc!T16</f>
        <v>18.050078469838155</v>
      </c>
    </row>
    <row r="24" spans="2:12" ht="17.45" customHeight="1">
      <c r="B24" s="860" t="s">
        <v>184</v>
      </c>
      <c r="C24" s="860"/>
      <c r="D24" s="860"/>
      <c r="G24" s="321">
        <f>calc!F18</f>
        <v>9.0675813307176725</v>
      </c>
      <c r="H24" s="322"/>
      <c r="I24" s="323">
        <f>calc!T18</f>
        <v>18.055420140591792</v>
      </c>
    </row>
    <row r="25" spans="2:12" ht="17.45" customHeight="1">
      <c r="B25" s="860" t="s">
        <v>185</v>
      </c>
      <c r="C25" s="860"/>
      <c r="D25" s="860"/>
      <c r="G25" s="321">
        <f>calc!F19</f>
        <v>9.0987906653588357</v>
      </c>
      <c r="H25" s="322"/>
      <c r="I25" s="323">
        <f>calc!T19</f>
        <v>18.052749305214974</v>
      </c>
    </row>
    <row r="26" spans="2:12" ht="10.15" customHeight="1">
      <c r="B26" s="324"/>
      <c r="G26" s="325"/>
      <c r="I26" s="340"/>
    </row>
    <row r="27" spans="2:12" ht="17.45" customHeight="1">
      <c r="B27" s="859" t="s">
        <v>175</v>
      </c>
      <c r="C27" s="859"/>
      <c r="D27" s="859"/>
      <c r="G27" s="327">
        <f>calc!F25</f>
        <v>1.0229999999999999</v>
      </c>
      <c r="H27" s="328"/>
      <c r="I27" s="327">
        <f>calc!T25</f>
        <v>1.0229999999999999</v>
      </c>
    </row>
    <row r="28" spans="2:12" ht="10.15" customHeight="1">
      <c r="B28" s="324"/>
      <c r="G28" s="325"/>
      <c r="I28" s="745"/>
    </row>
    <row r="29" spans="2:12" ht="17.45" customHeight="1">
      <c r="B29" s="859" t="s">
        <v>148</v>
      </c>
      <c r="C29" s="859"/>
      <c r="D29" s="859"/>
      <c r="G29" s="329"/>
      <c r="I29" s="746"/>
    </row>
    <row r="30" spans="2:12" ht="17.45" customHeight="1">
      <c r="B30" s="860" t="s">
        <v>186</v>
      </c>
      <c r="C30" s="860"/>
      <c r="D30" s="860"/>
      <c r="G30" s="330">
        <f>calc!F21</f>
        <v>135863.33808478407</v>
      </c>
      <c r="H30" s="331"/>
      <c r="I30" s="332">
        <f>calc!T21</f>
        <v>284522.2004450222</v>
      </c>
    </row>
    <row r="31" spans="2:12" ht="17.45" customHeight="1">
      <c r="B31" s="860" t="s">
        <v>176</v>
      </c>
      <c r="C31" s="860"/>
      <c r="D31" s="860"/>
      <c r="G31" s="330">
        <f>calc!F23</f>
        <v>134811.00098695501</v>
      </c>
      <c r="H31" s="331"/>
      <c r="I31" s="332">
        <f>calc!T23</f>
        <v>284522.56911951042</v>
      </c>
    </row>
    <row r="32" spans="2:12" ht="17.45" customHeight="1">
      <c r="B32" s="860" t="s">
        <v>177</v>
      </c>
      <c r="C32" s="860"/>
      <c r="D32" s="860"/>
      <c r="G32" s="330">
        <f>calc!F26</f>
        <v>134548</v>
      </c>
      <c r="H32" s="331"/>
      <c r="I32" s="332">
        <f>calc!T26</f>
        <v>283967.40313098457</v>
      </c>
    </row>
    <row r="33" spans="2:12" ht="10.15" customHeight="1">
      <c r="B33" s="324"/>
      <c r="G33" s="331"/>
      <c r="H33" s="331"/>
      <c r="I33" s="747"/>
    </row>
    <row r="34" spans="2:12" ht="17.45" customHeight="1">
      <c r="B34" s="859" t="s">
        <v>219</v>
      </c>
      <c r="C34" s="859"/>
      <c r="D34" s="859"/>
      <c r="G34" s="331"/>
      <c r="H34" s="331"/>
      <c r="I34" s="747"/>
    </row>
    <row r="35" spans="2:12" ht="17.45" customHeight="1">
      <c r="B35" s="860" t="s">
        <v>187</v>
      </c>
      <c r="C35" s="860"/>
      <c r="D35" s="860"/>
      <c r="G35" s="330">
        <f>calc!F30</f>
        <v>1361</v>
      </c>
      <c r="H35" s="331"/>
      <c r="I35" s="332">
        <f>calc!T30</f>
        <v>1350</v>
      </c>
    </row>
    <row r="36" spans="2:12" ht="17.45" customHeight="1">
      <c r="B36" s="860" t="s">
        <v>32</v>
      </c>
      <c r="C36" s="860"/>
      <c r="D36" s="860"/>
      <c r="G36" s="330">
        <f>calc!F31</f>
        <v>215</v>
      </c>
      <c r="H36" s="331"/>
      <c r="I36" s="332">
        <f>calc!T31</f>
        <v>202</v>
      </c>
    </row>
    <row r="37" spans="2:12" ht="17.45" customHeight="1">
      <c r="B37" s="860" t="s">
        <v>36</v>
      </c>
      <c r="C37" s="860"/>
      <c r="D37" s="860"/>
      <c r="G37" s="330">
        <f>calc!F32</f>
        <v>99020</v>
      </c>
      <c r="H37" s="331"/>
      <c r="I37" s="332">
        <f>calc!T32</f>
        <v>31</v>
      </c>
    </row>
    <row r="38" spans="2:12" ht="17.45" customHeight="1">
      <c r="B38" s="860" t="s">
        <v>38</v>
      </c>
      <c r="C38" s="860"/>
      <c r="D38" s="860"/>
      <c r="G38" s="330">
        <f>calc!F33</f>
        <v>0</v>
      </c>
      <c r="H38" s="331"/>
      <c r="I38" s="332">
        <f>calc!T33</f>
        <v>0</v>
      </c>
    </row>
    <row r="39" spans="2:12" ht="17.45" customHeight="1">
      <c r="B39" s="860" t="str">
        <f>IF(initial!C4,"Constant","Constant")</f>
        <v>Constant</v>
      </c>
      <c r="C39" s="860"/>
      <c r="D39" s="860"/>
      <c r="G39" s="330">
        <f>calc!F34</f>
        <v>0</v>
      </c>
      <c r="H39" s="331"/>
      <c r="I39" s="332">
        <f>calc!T34</f>
        <v>629</v>
      </c>
    </row>
    <row r="40" spans="2:12" ht="10.15" customHeight="1">
      <c r="B40" s="324"/>
      <c r="G40" s="331"/>
      <c r="H40" s="331"/>
      <c r="I40" s="747"/>
    </row>
    <row r="41" spans="2:12" ht="17.45" customHeight="1">
      <c r="B41" s="859" t="s">
        <v>67</v>
      </c>
      <c r="C41" s="859"/>
      <c r="D41" s="859"/>
      <c r="G41" s="330">
        <f>calc!F26</f>
        <v>134548</v>
      </c>
      <c r="H41" s="331"/>
      <c r="I41" s="332">
        <f>calc!T26</f>
        <v>283967.40313098457</v>
      </c>
    </row>
    <row r="42" spans="2:12" ht="17.45" customHeight="1">
      <c r="B42" s="859" t="s">
        <v>13</v>
      </c>
      <c r="C42" s="859"/>
      <c r="D42" s="859"/>
      <c r="G42" s="330">
        <f>calc!F27</f>
        <v>33323</v>
      </c>
      <c r="H42" s="331"/>
      <c r="I42" s="332">
        <f>calc!T27</f>
        <v>33323</v>
      </c>
    </row>
    <row r="43" spans="2:12" ht="17.45" customHeight="1">
      <c r="B43" s="859" t="s">
        <v>179</v>
      </c>
      <c r="C43" s="859"/>
      <c r="D43" s="859"/>
      <c r="G43" s="330">
        <f>calc!F28</f>
        <v>101225</v>
      </c>
      <c r="H43" s="331"/>
      <c r="I43" s="332">
        <f>calc!T28</f>
        <v>250644.40313098457</v>
      </c>
    </row>
    <row r="44" spans="2:12" ht="17.45" customHeight="1">
      <c r="B44" s="859" t="s">
        <v>178</v>
      </c>
      <c r="C44" s="859"/>
      <c r="D44" s="859"/>
      <c r="G44" s="330">
        <f>SUM(G35:G39)</f>
        <v>100596</v>
      </c>
      <c r="H44" s="331"/>
      <c r="I44" s="332">
        <f>SUM(I35:I39)</f>
        <v>2212</v>
      </c>
    </row>
    <row r="45" spans="2:12" ht="17.45" customHeight="1">
      <c r="B45" s="860"/>
      <c r="C45" s="860"/>
      <c r="D45" s="860"/>
      <c r="G45" s="333"/>
      <c r="H45" s="331"/>
      <c r="I45" s="748"/>
      <c r="J45" s="857"/>
      <c r="K45" s="857"/>
    </row>
    <row r="46" spans="2:12" ht="17.45" customHeight="1">
      <c r="B46" s="860" t="str">
        <f>IF(initial!C4=1,"Initial Constant","Initial Cargo")</f>
        <v>Initial Constant</v>
      </c>
      <c r="C46" s="860"/>
      <c r="D46" s="860"/>
      <c r="G46" s="347">
        <f>G43-G44</f>
        <v>629</v>
      </c>
      <c r="H46" s="331"/>
      <c r="I46" s="332"/>
    </row>
    <row r="47" spans="2:12" s="341" customFormat="1" ht="21" customHeight="1">
      <c r="B47" s="858" t="str">
        <f>IF(initial!C4=1,"Final Cargo Qty Loaded","Cargo Qty Remain after Discharging")</f>
        <v>Final Cargo Qty Loaded</v>
      </c>
      <c r="C47" s="858"/>
      <c r="D47" s="858"/>
      <c r="E47" s="342"/>
      <c r="F47" s="342"/>
      <c r="G47" s="345"/>
      <c r="H47" s="346"/>
      <c r="I47" s="749">
        <f>I43-I44</f>
        <v>248432.40313098457</v>
      </c>
      <c r="J47" s="342"/>
      <c r="K47" s="342"/>
      <c r="L47" s="342"/>
    </row>
    <row r="48" spans="2:12" ht="7.5" customHeight="1">
      <c r="B48" s="334"/>
      <c r="C48" s="334"/>
      <c r="D48" s="334"/>
      <c r="E48" s="334"/>
      <c r="F48" s="334"/>
      <c r="G48" s="334"/>
      <c r="H48" s="334"/>
      <c r="I48" s="334"/>
      <c r="J48" s="334"/>
      <c r="K48" s="334"/>
      <c r="L48" s="334"/>
    </row>
    <row r="49" spans="2:12" s="298" customFormat="1" ht="15.75">
      <c r="B49" s="869" t="s">
        <v>263</v>
      </c>
      <c r="C49" s="869"/>
      <c r="D49" s="869"/>
      <c r="E49" s="869"/>
      <c r="F49" s="869"/>
      <c r="G49" s="869"/>
      <c r="H49" s="869"/>
      <c r="I49" s="869"/>
      <c r="J49" s="869"/>
      <c r="K49" s="869"/>
      <c r="L49" s="869"/>
    </row>
    <row r="50" spans="2:12" s="298" customFormat="1" ht="15.75">
      <c r="B50" s="869"/>
      <c r="C50" s="869"/>
      <c r="D50" s="869"/>
      <c r="E50" s="869"/>
      <c r="F50" s="869"/>
      <c r="G50" s="869"/>
      <c r="H50" s="869"/>
      <c r="I50" s="869"/>
      <c r="J50" s="869"/>
      <c r="K50" s="869"/>
      <c r="L50" s="869"/>
    </row>
    <row r="51" spans="2:12" s="298" customFormat="1" ht="24" customHeight="1">
      <c r="B51" s="869"/>
      <c r="C51" s="869"/>
      <c r="D51" s="869"/>
      <c r="E51" s="869"/>
      <c r="F51" s="869"/>
      <c r="G51" s="869"/>
      <c r="H51" s="869"/>
      <c r="I51" s="869"/>
      <c r="J51" s="869"/>
      <c r="K51" s="869"/>
      <c r="L51" s="869"/>
    </row>
    <row r="52" spans="2:12" ht="21" customHeight="1">
      <c r="B52" s="862" t="str">
        <f>IF(initial!C4=1,"CARGO LOADED IN MT","CARGO REMAIN IN MT")</f>
        <v>CARGO LOADED IN MT</v>
      </c>
      <c r="C52" s="862"/>
      <c r="D52" s="863">
        <f>I47</f>
        <v>248432.40313098457</v>
      </c>
      <c r="E52" s="863"/>
      <c r="F52" s="863"/>
      <c r="G52" s="862" t="s">
        <v>180</v>
      </c>
      <c r="H52" s="862"/>
      <c r="I52" s="870">
        <f>D52*0.98420653</f>
        <v>244508.79342510746</v>
      </c>
      <c r="J52" s="870"/>
      <c r="K52" s="870"/>
      <c r="L52" s="870"/>
    </row>
    <row r="53" spans="2:12" ht="19.5" customHeight="1">
      <c r="B53" s="336"/>
      <c r="C53" s="336"/>
      <c r="D53" s="337"/>
      <c r="E53" s="337"/>
      <c r="F53" s="337"/>
      <c r="G53" s="338"/>
      <c r="H53" s="338"/>
      <c r="I53" s="337"/>
      <c r="J53" s="337"/>
      <c r="K53" s="335"/>
      <c r="L53" s="335"/>
    </row>
    <row r="54" spans="2:12" ht="19.5" customHeight="1">
      <c r="B54" s="336" t="s">
        <v>266</v>
      </c>
      <c r="C54" s="867" t="s">
        <v>426</v>
      </c>
      <c r="D54" s="867"/>
      <c r="E54" s="867"/>
      <c r="F54" s="867"/>
      <c r="G54" s="867"/>
      <c r="H54" s="867"/>
      <c r="I54" s="867"/>
      <c r="J54" s="867"/>
      <c r="K54" s="867"/>
      <c r="L54" s="867"/>
    </row>
    <row r="55" spans="2:12" ht="19.5" customHeight="1">
      <c r="C55" s="868" t="s">
        <v>428</v>
      </c>
      <c r="D55" s="868"/>
      <c r="E55" s="868"/>
      <c r="F55" s="868"/>
      <c r="G55" s="868"/>
      <c r="H55" s="868"/>
      <c r="I55" s="868"/>
      <c r="J55" s="868"/>
      <c r="K55" s="868"/>
      <c r="L55" s="868"/>
    </row>
    <row r="56" spans="2:12" ht="19.5" customHeight="1">
      <c r="C56" s="864"/>
      <c r="D56" s="864"/>
      <c r="E56" s="864"/>
      <c r="F56" s="864"/>
      <c r="G56" s="864"/>
      <c r="H56" s="864"/>
      <c r="I56" s="864"/>
      <c r="J56" s="864"/>
      <c r="K56" s="864"/>
      <c r="L56" s="864"/>
    </row>
    <row r="57" spans="2:12" ht="19.5" customHeight="1">
      <c r="C57" s="751"/>
      <c r="D57" s="751"/>
      <c r="E57" s="751"/>
      <c r="F57" s="751"/>
      <c r="G57" s="751"/>
      <c r="H57" s="751"/>
      <c r="I57" s="751"/>
      <c r="J57" s="751"/>
      <c r="K57" s="751"/>
      <c r="L57" s="751"/>
    </row>
    <row r="58" spans="2:12">
      <c r="C58" s="752" t="s">
        <v>169</v>
      </c>
      <c r="D58" s="865">
        <v>45182</v>
      </c>
      <c r="E58" s="865"/>
      <c r="F58" s="865"/>
      <c r="G58" s="753"/>
      <c r="H58" s="866" t="s">
        <v>406</v>
      </c>
      <c r="I58" s="866"/>
      <c r="J58" s="866"/>
      <c r="K58" s="866"/>
      <c r="L58" s="866"/>
    </row>
    <row r="59" spans="2:12">
      <c r="I59" s="861" t="s">
        <v>229</v>
      </c>
      <c r="J59" s="861"/>
      <c r="K59" s="861"/>
      <c r="L59" s="338"/>
    </row>
  </sheetData>
  <sheetProtection selectLockedCells="1"/>
  <mergeCells count="67">
    <mergeCell ref="B2:L3"/>
    <mergeCell ref="B4:D4"/>
    <mergeCell ref="B5:D5"/>
    <mergeCell ref="F15:H15"/>
    <mergeCell ref="F4:J4"/>
    <mergeCell ref="F5:J5"/>
    <mergeCell ref="F6:J6"/>
    <mergeCell ref="F7:J7"/>
    <mergeCell ref="F8:J8"/>
    <mergeCell ref="F9:J9"/>
    <mergeCell ref="F10:J10"/>
    <mergeCell ref="F11:J11"/>
    <mergeCell ref="F12:J12"/>
    <mergeCell ref="I14:J14"/>
    <mergeCell ref="I15:J15"/>
    <mergeCell ref="F14:H14"/>
    <mergeCell ref="B6:D6"/>
    <mergeCell ref="F16:H16"/>
    <mergeCell ref="I16:J16"/>
    <mergeCell ref="C54:L54"/>
    <mergeCell ref="C55:L55"/>
    <mergeCell ref="B52:C52"/>
    <mergeCell ref="B49:L51"/>
    <mergeCell ref="B34:D34"/>
    <mergeCell ref="B35:D35"/>
    <mergeCell ref="B36:D36"/>
    <mergeCell ref="B37:D37"/>
    <mergeCell ref="B38:D38"/>
    <mergeCell ref="B39:D39"/>
    <mergeCell ref="B41:D41"/>
    <mergeCell ref="I52:L52"/>
    <mergeCell ref="B23:D23"/>
    <mergeCell ref="I59:K59"/>
    <mergeCell ref="G52:H52"/>
    <mergeCell ref="D52:F52"/>
    <mergeCell ref="C56:L56"/>
    <mergeCell ref="D58:F58"/>
    <mergeCell ref="H58:L58"/>
    <mergeCell ref="B7:D7"/>
    <mergeCell ref="B8:D8"/>
    <mergeCell ref="B22:D22"/>
    <mergeCell ref="B20:D20"/>
    <mergeCell ref="B21:D21"/>
    <mergeCell ref="B9:D9"/>
    <mergeCell ref="B10:D10"/>
    <mergeCell ref="B11:D11"/>
    <mergeCell ref="B14:D14"/>
    <mergeCell ref="B15:D15"/>
    <mergeCell ref="B19:D19"/>
    <mergeCell ref="B13:D13"/>
    <mergeCell ref="B16:D16"/>
    <mergeCell ref="F13:H13"/>
    <mergeCell ref="I13:J13"/>
    <mergeCell ref="J45:K45"/>
    <mergeCell ref="B47:D47"/>
    <mergeCell ref="B42:D42"/>
    <mergeCell ref="B43:D43"/>
    <mergeCell ref="B44:D44"/>
    <mergeCell ref="B45:D45"/>
    <mergeCell ref="B46:D46"/>
    <mergeCell ref="B32:D32"/>
    <mergeCell ref="B24:D24"/>
    <mergeCell ref="B25:D25"/>
    <mergeCell ref="B29:D29"/>
    <mergeCell ref="B30:D30"/>
    <mergeCell ref="B31:D31"/>
    <mergeCell ref="B27:D27"/>
  </mergeCells>
  <printOptions horizontalCentered="1" verticalCentered="1"/>
  <pageMargins left="0.75" right="0.5" top="0.75" bottom="0.5" header="0" footer="0"/>
  <pageSetup paperSize="9" scale="78" fitToWidth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FF0000"/>
    <pageSetUpPr fitToPage="1"/>
  </sheetPr>
  <dimension ref="A1:AL57"/>
  <sheetViews>
    <sheetView showGridLines="0" topLeftCell="H1" zoomScale="55" zoomScaleNormal="55" zoomScaleSheetLayoutView="40" workbookViewId="0">
      <selection activeCell="M21" sqref="M21:N21"/>
    </sheetView>
  </sheetViews>
  <sheetFormatPr defaultColWidth="8.75" defaultRowHeight="14.25"/>
  <cols>
    <col min="1" max="2" width="2.5" customWidth="1"/>
    <col min="3" max="3" width="12.125" customWidth="1"/>
    <col min="4" max="4" width="16.125" customWidth="1"/>
    <col min="5" max="5" width="20.25" customWidth="1"/>
    <col min="6" max="6" width="21.125" customWidth="1"/>
    <col min="7" max="7" width="20.25" customWidth="1"/>
    <col min="8" max="8" width="19.625" customWidth="1"/>
    <col min="9" max="9" width="16.75" customWidth="1"/>
    <col min="10" max="10" width="3.5" customWidth="1"/>
    <col min="11" max="15" width="21.25" customWidth="1"/>
    <col min="16" max="17" width="25.125" customWidth="1"/>
    <col min="18" max="18" width="18.875" customWidth="1"/>
    <col min="19" max="19" width="22.625" customWidth="1"/>
    <col min="20" max="20" width="18.875" customWidth="1"/>
    <col min="21" max="21" width="22.625" customWidth="1"/>
    <col min="22" max="26" width="18.875" customWidth="1"/>
    <col min="27" max="27" width="4.75" customWidth="1"/>
    <col min="28" max="29" width="30.5" customWidth="1"/>
    <col min="30" max="30" width="4.375" customWidth="1"/>
    <col min="31" max="38" width="15.25" customWidth="1"/>
    <col min="39" max="39" width="30.5" customWidth="1"/>
    <col min="40" max="40" width="16.125" customWidth="1"/>
    <col min="41" max="41" width="30.5" customWidth="1"/>
    <col min="43" max="43" width="16.875" customWidth="1"/>
  </cols>
  <sheetData>
    <row r="1" spans="1:38" ht="5.45" customHeight="1">
      <c r="J1" t="s">
        <v>58</v>
      </c>
    </row>
    <row r="2" spans="1:38" ht="19.149999999999999" customHeight="1" thickBot="1"/>
    <row r="3" spans="1:38" ht="93" customHeight="1" thickBot="1">
      <c r="A3" s="613"/>
      <c r="B3" s="613"/>
      <c r="C3" s="928" t="s">
        <v>257</v>
      </c>
      <c r="D3" s="929"/>
      <c r="E3" s="929"/>
      <c r="F3" s="929"/>
      <c r="G3" s="929"/>
      <c r="H3" s="929"/>
      <c r="I3" s="929"/>
      <c r="J3" s="929"/>
      <c r="K3" s="929"/>
      <c r="L3" s="929"/>
      <c r="M3" s="929"/>
      <c r="N3" s="929"/>
      <c r="O3" s="929"/>
      <c r="P3" s="929"/>
      <c r="Q3" s="929"/>
      <c r="R3" s="929"/>
      <c r="S3" s="929"/>
      <c r="T3" s="929"/>
      <c r="U3" s="929"/>
      <c r="V3" s="929"/>
      <c r="W3" s="929"/>
      <c r="X3" s="929"/>
      <c r="Y3" s="929"/>
      <c r="Z3" s="930"/>
      <c r="AB3" s="441"/>
      <c r="AC3" s="441"/>
    </row>
    <row r="4" spans="1:38" s="442" customFormat="1" ht="73.900000000000006" customHeight="1" thickBot="1">
      <c r="A4" s="614"/>
      <c r="B4" s="614"/>
      <c r="C4" s="958" t="s">
        <v>407</v>
      </c>
      <c r="D4" s="959"/>
      <c r="E4" s="959"/>
      <c r="F4" s="959"/>
      <c r="G4" s="959"/>
      <c r="H4" s="959"/>
      <c r="I4" s="960"/>
      <c r="J4" s="614"/>
      <c r="K4" s="657" t="s">
        <v>342</v>
      </c>
      <c r="L4" s="931">
        <v>18.024999999999999</v>
      </c>
      <c r="M4" s="931"/>
      <c r="N4" s="658" t="s">
        <v>260</v>
      </c>
      <c r="O4" s="932" t="s">
        <v>435</v>
      </c>
      <c r="P4" s="932"/>
      <c r="Q4" s="933" t="s">
        <v>259</v>
      </c>
      <c r="R4" s="933"/>
      <c r="S4" s="934" t="s">
        <v>430</v>
      </c>
      <c r="T4" s="934"/>
      <c r="U4" s="934"/>
      <c r="V4" s="934"/>
      <c r="W4" s="935" t="s">
        <v>343</v>
      </c>
      <c r="X4" s="935"/>
      <c r="Y4" s="936"/>
      <c r="Z4" s="937"/>
      <c r="AB4" s="441"/>
      <c r="AC4" s="441"/>
    </row>
    <row r="5" spans="1:38" ht="48" customHeight="1" thickBot="1">
      <c r="A5" s="613"/>
      <c r="B5" s="613"/>
      <c r="C5" s="938" t="s">
        <v>392</v>
      </c>
      <c r="D5" s="940" t="s">
        <v>393</v>
      </c>
      <c r="E5" s="942" t="s">
        <v>247</v>
      </c>
      <c r="F5" s="634" t="s">
        <v>243</v>
      </c>
      <c r="G5" s="942" t="s">
        <v>394</v>
      </c>
      <c r="H5" s="634" t="s">
        <v>396</v>
      </c>
      <c r="I5" s="882" t="s">
        <v>397</v>
      </c>
      <c r="J5" s="613"/>
      <c r="K5" s="884" t="s">
        <v>393</v>
      </c>
      <c r="L5" s="890" t="s">
        <v>242</v>
      </c>
      <c r="M5" s="886" t="s">
        <v>241</v>
      </c>
      <c r="N5" s="989" t="s">
        <v>236</v>
      </c>
      <c r="O5" s="888" t="s">
        <v>300</v>
      </c>
      <c r="P5" s="910" t="s">
        <v>240</v>
      </c>
      <c r="Q5" s="911"/>
      <c r="R5" s="961" t="s">
        <v>239</v>
      </c>
      <c r="S5" s="962"/>
      <c r="T5" s="961" t="s">
        <v>398</v>
      </c>
      <c r="U5" s="965"/>
      <c r="V5" s="967" t="s">
        <v>258</v>
      </c>
      <c r="W5" s="968"/>
      <c r="X5" s="983" t="s">
        <v>305</v>
      </c>
      <c r="Y5" s="985" t="s">
        <v>311</v>
      </c>
      <c r="Z5" s="987" t="s">
        <v>238</v>
      </c>
      <c r="AB5" s="880" t="s">
        <v>310</v>
      </c>
      <c r="AC5" s="876" t="s">
        <v>312</v>
      </c>
      <c r="AE5" s="894" t="s">
        <v>313</v>
      </c>
      <c r="AF5" s="895"/>
      <c r="AG5" s="895"/>
      <c r="AH5" s="895"/>
      <c r="AI5" s="895"/>
      <c r="AJ5" s="895"/>
      <c r="AK5" s="895"/>
      <c r="AL5" s="896"/>
    </row>
    <row r="6" spans="1:38" ht="48" customHeight="1" thickBot="1">
      <c r="A6" s="613"/>
      <c r="B6" s="613"/>
      <c r="C6" s="939"/>
      <c r="D6" s="941"/>
      <c r="E6" s="943"/>
      <c r="F6" s="641" t="s">
        <v>395</v>
      </c>
      <c r="G6" s="943"/>
      <c r="H6" s="641" t="s">
        <v>395</v>
      </c>
      <c r="I6" s="883"/>
      <c r="J6" s="615"/>
      <c r="K6" s="885"/>
      <c r="L6" s="891"/>
      <c r="M6" s="887"/>
      <c r="N6" s="990"/>
      <c r="O6" s="889"/>
      <c r="P6" s="639" t="s">
        <v>393</v>
      </c>
      <c r="Q6" s="640" t="s">
        <v>346</v>
      </c>
      <c r="R6" s="963"/>
      <c r="S6" s="964"/>
      <c r="T6" s="963"/>
      <c r="U6" s="966"/>
      <c r="V6" s="969"/>
      <c r="W6" s="970"/>
      <c r="X6" s="984"/>
      <c r="Y6" s="986"/>
      <c r="Z6" s="988"/>
      <c r="AB6" s="881"/>
      <c r="AC6" s="877"/>
      <c r="AE6" s="897" t="s">
        <v>314</v>
      </c>
      <c r="AF6" s="898"/>
      <c r="AG6" s="899" t="s">
        <v>315</v>
      </c>
      <c r="AH6" s="898"/>
      <c r="AI6" s="900" t="s">
        <v>316</v>
      </c>
      <c r="AJ6" s="901"/>
      <c r="AK6" s="899" t="s">
        <v>317</v>
      </c>
      <c r="AL6" s="902"/>
    </row>
    <row r="7" spans="1:38" ht="49.9" customHeight="1">
      <c r="A7" s="613"/>
      <c r="B7" s="613"/>
      <c r="C7" s="642">
        <v>1</v>
      </c>
      <c r="D7" s="678">
        <v>5</v>
      </c>
      <c r="E7" s="648">
        <v>18700</v>
      </c>
      <c r="F7" s="741">
        <f>E7</f>
        <v>18700</v>
      </c>
      <c r="G7" s="648">
        <v>18706</v>
      </c>
      <c r="H7" s="654">
        <f>G7</f>
        <v>18706</v>
      </c>
      <c r="I7" s="682">
        <f>G7-E7</f>
        <v>6</v>
      </c>
      <c r="J7" s="631"/>
      <c r="K7" s="644">
        <v>1</v>
      </c>
      <c r="L7" s="669">
        <f>SUMIF($D$7:$D$27,K7,$E$7:$E$27)</f>
        <v>38235</v>
      </c>
      <c r="M7" s="669">
        <f>SUMIF($D$7:$D$27,K7,$G$7:$G$27)</f>
        <v>38307</v>
      </c>
      <c r="N7" s="670">
        <f t="shared" ref="N7:N15" si="0">IF(M7="","",ROUND(($N$16/$M$16)*M7,0))</f>
        <v>38140</v>
      </c>
      <c r="O7" s="671">
        <f>N7</f>
        <v>38140</v>
      </c>
      <c r="P7" s="635">
        <v>35235</v>
      </c>
      <c r="Q7" s="636">
        <v>35235</v>
      </c>
      <c r="R7" s="659">
        <f>P7-L7</f>
        <v>-3000</v>
      </c>
      <c r="S7" s="660">
        <f>P7-L7</f>
        <v>-3000</v>
      </c>
      <c r="T7" s="659">
        <f>P7-M7</f>
        <v>-3072</v>
      </c>
      <c r="U7" s="660">
        <f>Q7-M7</f>
        <v>-3072</v>
      </c>
      <c r="V7" s="661">
        <f>P7-N7</f>
        <v>-2905</v>
      </c>
      <c r="W7" s="662">
        <f>Q7-N7</f>
        <v>-2905</v>
      </c>
      <c r="X7" s="696">
        <f t="shared" ref="X7:X15" si="1">(O7/AC7)*100</f>
        <v>76.842698121242364</v>
      </c>
      <c r="Y7" s="637">
        <v>0.44</v>
      </c>
      <c r="Z7" s="638" t="s">
        <v>344</v>
      </c>
      <c r="AB7" s="694">
        <f>data!O22</f>
        <v>21838.9</v>
      </c>
      <c r="AC7" s="695">
        <f>AB7/Y7</f>
        <v>49633.86363636364</v>
      </c>
      <c r="AE7" s="903">
        <v>42.5</v>
      </c>
      <c r="AF7" s="904"/>
      <c r="AG7" s="905">
        <f>IF(AE7="","",AE7/AI13)</f>
        <v>41.830708661417326</v>
      </c>
      <c r="AH7" s="906"/>
      <c r="AI7" s="907">
        <f>IF(AE7="","",AE7/AI12)</f>
        <v>1.1848341232227488</v>
      </c>
      <c r="AJ7" s="908"/>
      <c r="AK7" s="905">
        <f>IF(AE7="","",1/AI7)</f>
        <v>0.84399999999999997</v>
      </c>
      <c r="AL7" s="909"/>
    </row>
    <row r="8" spans="1:38" ht="49.9" customHeight="1">
      <c r="A8" s="613"/>
      <c r="B8" s="613"/>
      <c r="C8" s="643">
        <v>2</v>
      </c>
      <c r="D8" s="679">
        <v>1</v>
      </c>
      <c r="E8" s="649">
        <v>16000</v>
      </c>
      <c r="F8" s="742">
        <f>SUM(E7:E8)</f>
        <v>34700</v>
      </c>
      <c r="G8" s="649">
        <v>16015</v>
      </c>
      <c r="H8" s="655">
        <f>SUM(G7:G8)</f>
        <v>34721</v>
      </c>
      <c r="I8" s="683">
        <f t="shared" ref="I8:I22" si="2">G8-E8</f>
        <v>15</v>
      </c>
      <c r="J8" s="631"/>
      <c r="K8" s="715">
        <v>2</v>
      </c>
      <c r="L8" s="716">
        <f t="shared" ref="L8:L15" si="3">SUMIF($D$7:$D$27,K8,$E$7:$E$27)</f>
        <v>27300</v>
      </c>
      <c r="M8" s="716">
        <f t="shared" ref="M8:M15" si="4">SUMIF($D$7:$D$27,K8,$G$7:$G$27)</f>
        <v>27292</v>
      </c>
      <c r="N8" s="672">
        <f>IF(M8="","",ROUND(($N$16/$M$16)*M8,0))</f>
        <v>27173</v>
      </c>
      <c r="O8" s="671">
        <f>N8</f>
        <v>27173</v>
      </c>
      <c r="P8" s="616">
        <v>24150</v>
      </c>
      <c r="Q8" s="617">
        <v>48301</v>
      </c>
      <c r="R8" s="663">
        <f t="shared" ref="R8:R15" si="5">P8-L8</f>
        <v>-3150</v>
      </c>
      <c r="S8" s="971">
        <f>Q8-(L8+L9)</f>
        <v>-5439</v>
      </c>
      <c r="T8" s="663">
        <f t="shared" ref="T8:T15" si="6">P8-M8</f>
        <v>-3142</v>
      </c>
      <c r="U8" s="974">
        <f>Q8-(M8+M9)</f>
        <v>-5443</v>
      </c>
      <c r="V8" s="664">
        <f t="shared" ref="V8:V15" si="7">P8-N8</f>
        <v>-3023</v>
      </c>
      <c r="W8" s="974">
        <f>Q8-(N8+N9)</f>
        <v>-5209</v>
      </c>
      <c r="X8" s="697">
        <f t="shared" si="1"/>
        <v>76.496255841450363</v>
      </c>
      <c r="Y8" s="451">
        <v>0.5</v>
      </c>
      <c r="Z8" s="461" t="s">
        <v>412</v>
      </c>
      <c r="AB8" s="690">
        <f>data!O23</f>
        <v>17761</v>
      </c>
      <c r="AC8" s="691">
        <f t="shared" ref="AC8:AC15" si="8">AB8/Y8</f>
        <v>35522</v>
      </c>
      <c r="AE8" s="892">
        <f>IF(AG8="","",AG8*AI13)</f>
        <v>43.18</v>
      </c>
      <c r="AF8" s="893"/>
      <c r="AG8" s="912">
        <v>42.5</v>
      </c>
      <c r="AH8" s="913"/>
      <c r="AI8" s="907">
        <f>IF(AG8="","",AE8/AI12)</f>
        <v>1.2037914691943128</v>
      </c>
      <c r="AJ8" s="908"/>
      <c r="AK8" s="905">
        <f>IF(AG8="","",1/AI8)</f>
        <v>0.8307086614173228</v>
      </c>
      <c r="AL8" s="909"/>
    </row>
    <row r="9" spans="1:38" ht="49.9" customHeight="1">
      <c r="A9" s="613"/>
      <c r="B9" s="613"/>
      <c r="C9" s="643">
        <v>3</v>
      </c>
      <c r="D9" s="679">
        <v>8</v>
      </c>
      <c r="E9" s="649">
        <v>17000</v>
      </c>
      <c r="F9" s="742">
        <f>SUM(E7:E9)</f>
        <v>51700</v>
      </c>
      <c r="G9" s="649">
        <v>17012</v>
      </c>
      <c r="H9" s="655">
        <f>SUM(G7:G9)</f>
        <v>51733</v>
      </c>
      <c r="I9" s="683">
        <f t="shared" si="2"/>
        <v>12</v>
      </c>
      <c r="J9" s="631"/>
      <c r="K9" s="715">
        <v>3</v>
      </c>
      <c r="L9" s="716">
        <f>SUMIF($D$7:$D$27,K9,$E$7:$E$27)</f>
        <v>26440</v>
      </c>
      <c r="M9" s="716">
        <f>SUMIF($D$7:$D$27,K9,$G$7:$G$27)</f>
        <v>26452</v>
      </c>
      <c r="N9" s="672">
        <f>IF(M9="","",ROUND(($N$16/$M$16)*M9,0))</f>
        <v>26337</v>
      </c>
      <c r="O9" s="671">
        <f>N9</f>
        <v>26337</v>
      </c>
      <c r="P9" s="616">
        <v>24150</v>
      </c>
      <c r="Q9" s="618"/>
      <c r="R9" s="663">
        <f t="shared" si="5"/>
        <v>-2290</v>
      </c>
      <c r="S9" s="972"/>
      <c r="T9" s="663">
        <f t="shared" si="6"/>
        <v>-2302</v>
      </c>
      <c r="U9" s="975"/>
      <c r="V9" s="664">
        <f t="shared" si="7"/>
        <v>-2187</v>
      </c>
      <c r="W9" s="975"/>
      <c r="X9" s="697">
        <f t="shared" si="1"/>
        <v>74.142784753110746</v>
      </c>
      <c r="Y9" s="451">
        <v>0.5</v>
      </c>
      <c r="Z9" s="461" t="s">
        <v>412</v>
      </c>
      <c r="AB9" s="690">
        <f>data!O24</f>
        <v>17761</v>
      </c>
      <c r="AC9" s="691">
        <f t="shared" si="8"/>
        <v>35522</v>
      </c>
      <c r="AE9" s="892">
        <f>IF(AI9="","",AI9*AI12)</f>
        <v>15.782799999999998</v>
      </c>
      <c r="AF9" s="893"/>
      <c r="AG9" s="905">
        <f>IF(AI9="","",AE9/AI13)</f>
        <v>15.534251968503934</v>
      </c>
      <c r="AH9" s="906"/>
      <c r="AI9" s="921">
        <v>0.44</v>
      </c>
      <c r="AJ9" s="922"/>
      <c r="AK9" s="905">
        <f>IF(AI9="","",1/AI9)</f>
        <v>2.2727272727272729</v>
      </c>
      <c r="AL9" s="909"/>
    </row>
    <row r="10" spans="1:38" ht="49.9" customHeight="1">
      <c r="A10" s="613"/>
      <c r="B10" s="613"/>
      <c r="C10" s="643">
        <v>4</v>
      </c>
      <c r="D10" s="679">
        <v>4</v>
      </c>
      <c r="E10" s="649">
        <v>15000</v>
      </c>
      <c r="F10" s="742">
        <f>SUM(E7:E10)</f>
        <v>66700</v>
      </c>
      <c r="G10" s="649">
        <v>15004</v>
      </c>
      <c r="H10" s="655">
        <f>SUM(G7:G10)</f>
        <v>66737</v>
      </c>
      <c r="I10" s="683">
        <f t="shared" si="2"/>
        <v>4</v>
      </c>
      <c r="J10" s="631"/>
      <c r="K10" s="645">
        <v>4</v>
      </c>
      <c r="L10" s="669">
        <f t="shared" si="3"/>
        <v>25000</v>
      </c>
      <c r="M10" s="669">
        <f t="shared" si="4"/>
        <v>25015</v>
      </c>
      <c r="N10" s="672">
        <f>IF(M10="","",ROUND(($N$16/$M$16)*M10,0))</f>
        <v>24906</v>
      </c>
      <c r="O10" s="671">
        <f t="shared" ref="O10:O15" si="9">N10</f>
        <v>24906</v>
      </c>
      <c r="P10" s="616">
        <v>24141</v>
      </c>
      <c r="Q10" s="617">
        <f t="shared" ref="Q10" si="10">P10+P11</f>
        <v>48282</v>
      </c>
      <c r="R10" s="663">
        <f t="shared" si="5"/>
        <v>-859</v>
      </c>
      <c r="S10" s="971">
        <f t="shared" ref="S10" si="11">Q10-(L10+L11)</f>
        <v>282</v>
      </c>
      <c r="T10" s="663">
        <f t="shared" si="6"/>
        <v>-874</v>
      </c>
      <c r="U10" s="974">
        <f t="shared" ref="U10" si="12">Q10-(M10+M11)</f>
        <v>252</v>
      </c>
      <c r="V10" s="664">
        <f t="shared" si="7"/>
        <v>-765</v>
      </c>
      <c r="W10" s="974">
        <f t="shared" ref="W10" si="13">Q10-(N10+N11)</f>
        <v>461</v>
      </c>
      <c r="X10" s="697">
        <f t="shared" si="1"/>
        <v>61.724907063197023</v>
      </c>
      <c r="Y10" s="451">
        <v>0.44</v>
      </c>
      <c r="Z10" s="461" t="s">
        <v>344</v>
      </c>
      <c r="AB10" s="690">
        <f>data!O25</f>
        <v>17754</v>
      </c>
      <c r="AC10" s="691">
        <f t="shared" si="8"/>
        <v>40350</v>
      </c>
      <c r="AE10" s="892">
        <f>IF(AK10="","",AI12*AI10)</f>
        <v>42.002341920374704</v>
      </c>
      <c r="AF10" s="893"/>
      <c r="AG10" s="905">
        <f>IF(AK10="","",AE10/AI13)</f>
        <v>41.340887716904234</v>
      </c>
      <c r="AH10" s="906"/>
      <c r="AI10" s="907">
        <f>IF(AK10="","",1/AK10)</f>
        <v>1.1709601873536299</v>
      </c>
      <c r="AJ10" s="908"/>
      <c r="AK10" s="912">
        <v>0.85399999999999998</v>
      </c>
      <c r="AL10" s="923"/>
    </row>
    <row r="11" spans="1:38" ht="49.9" customHeight="1">
      <c r="A11" s="613"/>
      <c r="B11" s="613"/>
      <c r="C11" s="717">
        <v>5</v>
      </c>
      <c r="D11" s="718">
        <v>9</v>
      </c>
      <c r="E11" s="649">
        <v>13000</v>
      </c>
      <c r="F11" s="742">
        <f>SUM(E7:E11)</f>
        <v>79700</v>
      </c>
      <c r="G11" s="649">
        <v>13011</v>
      </c>
      <c r="H11" s="655">
        <f>SUM(G7:G11)</f>
        <v>79748</v>
      </c>
      <c r="I11" s="683">
        <f t="shared" si="2"/>
        <v>11</v>
      </c>
      <c r="J11" s="631"/>
      <c r="K11" s="645">
        <v>5</v>
      </c>
      <c r="L11" s="669">
        <f t="shared" si="3"/>
        <v>23000</v>
      </c>
      <c r="M11" s="669">
        <f t="shared" si="4"/>
        <v>23015</v>
      </c>
      <c r="N11" s="672">
        <f t="shared" si="0"/>
        <v>22915</v>
      </c>
      <c r="O11" s="671">
        <f t="shared" si="9"/>
        <v>22915</v>
      </c>
      <c r="P11" s="616">
        <v>24141</v>
      </c>
      <c r="Q11" s="618"/>
      <c r="R11" s="663">
        <f t="shared" si="5"/>
        <v>1141</v>
      </c>
      <c r="S11" s="972"/>
      <c r="T11" s="663">
        <f t="shared" si="6"/>
        <v>1126</v>
      </c>
      <c r="U11" s="975"/>
      <c r="V11" s="664">
        <f t="shared" si="7"/>
        <v>1226</v>
      </c>
      <c r="W11" s="975"/>
      <c r="X11" s="697">
        <f t="shared" si="1"/>
        <v>56.790582403965303</v>
      </c>
      <c r="Y11" s="451">
        <v>0.44</v>
      </c>
      <c r="Z11" s="461" t="s">
        <v>344</v>
      </c>
      <c r="AB11" s="690">
        <f>data!O26</f>
        <v>17754</v>
      </c>
      <c r="AC11" s="691">
        <f t="shared" si="8"/>
        <v>40350</v>
      </c>
      <c r="AE11" s="914"/>
      <c r="AF11" s="915"/>
      <c r="AG11" s="915"/>
      <c r="AH11" s="915"/>
      <c r="AI11" s="915"/>
      <c r="AJ11" s="915"/>
      <c r="AK11" s="915"/>
      <c r="AL11" s="916"/>
    </row>
    <row r="12" spans="1:38" ht="49.9" customHeight="1">
      <c r="A12" s="613"/>
      <c r="B12" s="613"/>
      <c r="C12" s="717">
        <v>6</v>
      </c>
      <c r="D12" s="718">
        <v>3</v>
      </c>
      <c r="E12" s="649">
        <v>26440</v>
      </c>
      <c r="F12" s="742">
        <f>SUM(E7:E12)</f>
        <v>106140</v>
      </c>
      <c r="G12" s="649">
        <v>26452</v>
      </c>
      <c r="H12" s="655">
        <f>SUM(G7:G12)</f>
        <v>106200</v>
      </c>
      <c r="I12" s="683">
        <f t="shared" si="2"/>
        <v>12</v>
      </c>
      <c r="J12" s="631"/>
      <c r="K12" s="715">
        <v>6</v>
      </c>
      <c r="L12" s="716">
        <f t="shared" si="3"/>
        <v>26700</v>
      </c>
      <c r="M12" s="716">
        <f t="shared" si="4"/>
        <v>26691</v>
      </c>
      <c r="N12" s="672">
        <f t="shared" si="0"/>
        <v>26575</v>
      </c>
      <c r="O12" s="671">
        <f t="shared" si="9"/>
        <v>26575</v>
      </c>
      <c r="P12" s="616">
        <v>24152</v>
      </c>
      <c r="Q12" s="617">
        <v>48305</v>
      </c>
      <c r="R12" s="663">
        <f t="shared" si="5"/>
        <v>-2548</v>
      </c>
      <c r="S12" s="665">
        <f t="shared" ref="S12" si="14">Q12-(L12+L13)</f>
        <v>-5595</v>
      </c>
      <c r="T12" s="663">
        <f t="shared" si="6"/>
        <v>-2539</v>
      </c>
      <c r="U12" s="974">
        <f t="shared" ref="U12" si="15">Q12-(M12+M13)</f>
        <v>-5599</v>
      </c>
      <c r="V12" s="664">
        <f t="shared" si="7"/>
        <v>-2423</v>
      </c>
      <c r="W12" s="974">
        <f t="shared" ref="W12" si="16">Q12-(N12+N13)</f>
        <v>-5364</v>
      </c>
      <c r="X12" s="697">
        <f t="shared" si="1"/>
        <v>74.817004504504496</v>
      </c>
      <c r="Y12" s="451">
        <v>0.5</v>
      </c>
      <c r="Z12" s="461" t="s">
        <v>412</v>
      </c>
      <c r="AB12" s="690">
        <f>data!O27</f>
        <v>17760</v>
      </c>
      <c r="AC12" s="691">
        <f t="shared" si="8"/>
        <v>35520</v>
      </c>
      <c r="AE12" s="917" t="s">
        <v>306</v>
      </c>
      <c r="AF12" s="918"/>
      <c r="AG12" s="918"/>
      <c r="AH12" s="699" t="s">
        <v>307</v>
      </c>
      <c r="AI12" s="918">
        <v>35.869999999999997</v>
      </c>
      <c r="AJ12" s="918"/>
      <c r="AK12" s="700" t="s">
        <v>308</v>
      </c>
      <c r="AL12" s="701"/>
    </row>
    <row r="13" spans="1:38" ht="49.9" customHeight="1" thickBot="1">
      <c r="A13" s="613"/>
      <c r="B13" s="613"/>
      <c r="C13" s="717">
        <v>7</v>
      </c>
      <c r="D13" s="718">
        <v>6</v>
      </c>
      <c r="E13" s="649">
        <v>26700</v>
      </c>
      <c r="F13" s="742">
        <f>SUM(E7:E13)</f>
        <v>132840</v>
      </c>
      <c r="G13" s="649">
        <v>26691</v>
      </c>
      <c r="H13" s="655">
        <f>SUM(G7:G13)</f>
        <v>132891</v>
      </c>
      <c r="I13" s="683">
        <f t="shared" si="2"/>
        <v>-9</v>
      </c>
      <c r="J13" s="631"/>
      <c r="K13" s="715">
        <v>7</v>
      </c>
      <c r="L13" s="716">
        <f t="shared" si="3"/>
        <v>27200</v>
      </c>
      <c r="M13" s="716">
        <f t="shared" si="4"/>
        <v>27213</v>
      </c>
      <c r="N13" s="673">
        <f t="shared" si="0"/>
        <v>27094</v>
      </c>
      <c r="O13" s="671">
        <f>N13</f>
        <v>27094</v>
      </c>
      <c r="P13" s="619">
        <v>24152</v>
      </c>
      <c r="Q13" s="618"/>
      <c r="R13" s="663">
        <f t="shared" si="5"/>
        <v>-3048</v>
      </c>
      <c r="S13" s="666"/>
      <c r="T13" s="663">
        <f t="shared" si="6"/>
        <v>-3061</v>
      </c>
      <c r="U13" s="975"/>
      <c r="V13" s="664">
        <f t="shared" si="7"/>
        <v>-2942</v>
      </c>
      <c r="W13" s="975"/>
      <c r="X13" s="698">
        <f t="shared" si="1"/>
        <v>76.278153153153156</v>
      </c>
      <c r="Y13" s="452">
        <v>0.5</v>
      </c>
      <c r="Z13" s="462" t="s">
        <v>412</v>
      </c>
      <c r="AB13" s="690">
        <f>data!O28</f>
        <v>17760</v>
      </c>
      <c r="AC13" s="691">
        <f t="shared" si="8"/>
        <v>35520</v>
      </c>
      <c r="AE13" s="919" t="s">
        <v>309</v>
      </c>
      <c r="AF13" s="920"/>
      <c r="AG13" s="920"/>
      <c r="AH13" s="702" t="s">
        <v>307</v>
      </c>
      <c r="AI13" s="920">
        <v>1.016</v>
      </c>
      <c r="AJ13" s="920"/>
      <c r="AK13" s="703" t="s">
        <v>134</v>
      </c>
      <c r="AL13" s="704"/>
    </row>
    <row r="14" spans="1:38" ht="49.9" customHeight="1">
      <c r="A14" s="613"/>
      <c r="B14" s="613"/>
      <c r="C14" s="717">
        <v>8</v>
      </c>
      <c r="D14" s="718">
        <v>7</v>
      </c>
      <c r="E14" s="649">
        <v>10000</v>
      </c>
      <c r="F14" s="742">
        <f>SUM(E7:E14)</f>
        <v>142840</v>
      </c>
      <c r="G14" s="649">
        <v>10013</v>
      </c>
      <c r="H14" s="655">
        <f>SUM(G7:G14)</f>
        <v>142904</v>
      </c>
      <c r="I14" s="683">
        <f t="shared" si="2"/>
        <v>13</v>
      </c>
      <c r="J14" s="631"/>
      <c r="K14" s="645">
        <v>8</v>
      </c>
      <c r="L14" s="669">
        <f t="shared" si="3"/>
        <v>28390</v>
      </c>
      <c r="M14" s="669">
        <f t="shared" si="4"/>
        <v>28417</v>
      </c>
      <c r="N14" s="673">
        <f t="shared" si="0"/>
        <v>28293</v>
      </c>
      <c r="O14" s="671">
        <f t="shared" si="9"/>
        <v>28293</v>
      </c>
      <c r="P14" s="616">
        <v>24712</v>
      </c>
      <c r="Q14" s="617">
        <v>49423</v>
      </c>
      <c r="R14" s="663">
        <f t="shared" si="5"/>
        <v>-3678</v>
      </c>
      <c r="S14" s="971">
        <f t="shared" ref="S14" si="17">Q14-(L14+L15)</f>
        <v>-6067</v>
      </c>
      <c r="T14" s="663">
        <f t="shared" si="6"/>
        <v>-3705</v>
      </c>
      <c r="U14" s="974">
        <f t="shared" ref="U14" si="18">Q14-(M14+M15)</f>
        <v>-6111</v>
      </c>
      <c r="V14" s="664">
        <f t="shared" si="7"/>
        <v>-3581</v>
      </c>
      <c r="W14" s="974">
        <f t="shared" ref="W14" si="19">Q14-(N14+N15)</f>
        <v>-5869</v>
      </c>
      <c r="X14" s="698">
        <f t="shared" si="1"/>
        <v>68.445788431933138</v>
      </c>
      <c r="Y14" s="451">
        <v>0.44</v>
      </c>
      <c r="Z14" s="461" t="s">
        <v>344</v>
      </c>
      <c r="AB14" s="690">
        <f>data!O29</f>
        <v>18188</v>
      </c>
      <c r="AC14" s="691">
        <f t="shared" si="8"/>
        <v>41336.36363636364</v>
      </c>
      <c r="AD14" s="443"/>
    </row>
    <row r="15" spans="1:38" ht="49.9" customHeight="1" thickBot="1">
      <c r="A15" s="613"/>
      <c r="B15" s="613"/>
      <c r="C15" s="717">
        <v>9</v>
      </c>
      <c r="D15" s="718">
        <v>2</v>
      </c>
      <c r="E15" s="649">
        <v>27300</v>
      </c>
      <c r="F15" s="742">
        <f>SUM(E7:E15)</f>
        <v>170140</v>
      </c>
      <c r="G15" s="649">
        <v>27292</v>
      </c>
      <c r="H15" s="655">
        <f>SUM(G7:G15)</f>
        <v>170196</v>
      </c>
      <c r="I15" s="683">
        <f t="shared" si="2"/>
        <v>-8</v>
      </c>
      <c r="J15" s="631"/>
      <c r="K15" s="646">
        <v>9</v>
      </c>
      <c r="L15" s="669">
        <f t="shared" si="3"/>
        <v>27100</v>
      </c>
      <c r="M15" s="669">
        <f t="shared" si="4"/>
        <v>27117</v>
      </c>
      <c r="N15" s="673">
        <f t="shared" si="0"/>
        <v>26999</v>
      </c>
      <c r="O15" s="671">
        <f t="shared" si="9"/>
        <v>26999</v>
      </c>
      <c r="P15" s="619">
        <v>24712</v>
      </c>
      <c r="Q15" s="620"/>
      <c r="R15" s="667">
        <f t="shared" si="5"/>
        <v>-2388</v>
      </c>
      <c r="S15" s="973"/>
      <c r="T15" s="667">
        <f t="shared" si="6"/>
        <v>-2405</v>
      </c>
      <c r="U15" s="976"/>
      <c r="V15" s="668">
        <f t="shared" si="7"/>
        <v>-2287</v>
      </c>
      <c r="W15" s="976"/>
      <c r="X15" s="698">
        <f t="shared" si="1"/>
        <v>65.315372773257081</v>
      </c>
      <c r="Y15" s="452">
        <v>0.44</v>
      </c>
      <c r="Z15" s="462" t="s">
        <v>344</v>
      </c>
      <c r="AB15" s="692">
        <f>data!O30</f>
        <v>18188</v>
      </c>
      <c r="AC15" s="693">
        <f t="shared" si="8"/>
        <v>41336.36363636364</v>
      </c>
    </row>
    <row r="16" spans="1:38" ht="49.9" customHeight="1" thickBot="1">
      <c r="A16" s="613"/>
      <c r="B16" s="613"/>
      <c r="C16" s="717">
        <v>10</v>
      </c>
      <c r="D16" s="718">
        <v>7</v>
      </c>
      <c r="E16" s="649">
        <v>17200</v>
      </c>
      <c r="F16" s="742">
        <f>SUM(E7:E16)</f>
        <v>187340</v>
      </c>
      <c r="G16" s="649">
        <v>17200</v>
      </c>
      <c r="H16" s="655">
        <f>SUM(G7:G16)</f>
        <v>187396</v>
      </c>
      <c r="I16" s="683">
        <f t="shared" si="2"/>
        <v>0</v>
      </c>
      <c r="J16" s="631"/>
      <c r="K16" s="647" t="s">
        <v>24</v>
      </c>
      <c r="L16" s="674">
        <f>SUM(L7:L15)</f>
        <v>249365</v>
      </c>
      <c r="M16" s="675">
        <f>SUM(M7:M15)</f>
        <v>249519</v>
      </c>
      <c r="N16" s="676">
        <f>M18</f>
        <v>248432</v>
      </c>
      <c r="O16" s="677">
        <f>SUM(O7:O15)</f>
        <v>248432</v>
      </c>
      <c r="P16" s="621"/>
      <c r="Q16" s="622"/>
      <c r="R16" s="621"/>
      <c r="S16" s="623"/>
      <c r="T16" s="621"/>
      <c r="U16" s="624"/>
      <c r="V16" s="621"/>
      <c r="W16" s="625"/>
      <c r="X16" s="625"/>
      <c r="Y16" s="625"/>
      <c r="Z16" s="626"/>
      <c r="AB16" s="878"/>
      <c r="AC16" s="879"/>
      <c r="AD16" s="879"/>
    </row>
    <row r="17" spans="1:30" ht="49.9" customHeight="1" thickBot="1">
      <c r="A17" s="613"/>
      <c r="B17" s="613"/>
      <c r="C17" s="717">
        <v>11</v>
      </c>
      <c r="D17" s="718">
        <v>9</v>
      </c>
      <c r="E17" s="649">
        <v>14100</v>
      </c>
      <c r="F17" s="742">
        <f>SUM(E7:E17)</f>
        <v>201440</v>
      </c>
      <c r="G17" s="649">
        <v>14106</v>
      </c>
      <c r="H17" s="655">
        <f>SUM(G7:G17)</f>
        <v>201502</v>
      </c>
      <c r="I17" s="683">
        <f t="shared" si="2"/>
        <v>6</v>
      </c>
      <c r="J17" s="631"/>
      <c r="K17" s="924" t="s">
        <v>237</v>
      </c>
      <c r="L17" s="925"/>
      <c r="M17" s="977">
        <f>M16</f>
        <v>249519</v>
      </c>
      <c r="N17" s="978"/>
      <c r="O17" s="979"/>
      <c r="P17" s="944" t="s">
        <v>299</v>
      </c>
      <c r="Q17" s="944"/>
      <c r="R17" s="946">
        <f>$N$16-$M$16</f>
        <v>-1087</v>
      </c>
      <c r="S17" s="947"/>
      <c r="T17" s="950">
        <f>($M$16-$N$16)/$M$16</f>
        <v>4.3563816783491437E-3</v>
      </c>
      <c r="U17" s="951"/>
      <c r="V17" s="946" t="str">
        <f>IF($R$17&gt;0,"MORE CARGO ON BOARD","LESS CARGO ON BOARD")</f>
        <v>LESS CARGO ON BOARD</v>
      </c>
      <c r="W17" s="946"/>
      <c r="X17" s="946"/>
      <c r="Y17" s="946"/>
      <c r="Z17" s="947"/>
      <c r="AB17" s="611"/>
      <c r="AC17" s="612"/>
      <c r="AD17" s="612"/>
    </row>
    <row r="18" spans="1:30" ht="49.9" customHeight="1" thickBot="1">
      <c r="A18" s="613"/>
      <c r="B18" s="613"/>
      <c r="C18" s="643">
        <v>12</v>
      </c>
      <c r="D18" s="679">
        <v>1</v>
      </c>
      <c r="E18" s="649">
        <v>10000</v>
      </c>
      <c r="F18" s="742">
        <f>SUM(E7:E18)</f>
        <v>211440</v>
      </c>
      <c r="G18" s="649">
        <v>10010</v>
      </c>
      <c r="H18" s="655">
        <f>SUM(G7:G18)</f>
        <v>211512</v>
      </c>
      <c r="I18" s="683">
        <f t="shared" si="2"/>
        <v>10</v>
      </c>
      <c r="J18" s="631"/>
      <c r="K18" s="926" t="s">
        <v>236</v>
      </c>
      <c r="L18" s="927"/>
      <c r="M18" s="980">
        <v>248432</v>
      </c>
      <c r="N18" s="981"/>
      <c r="O18" s="982"/>
      <c r="P18" s="945"/>
      <c r="Q18" s="945"/>
      <c r="R18" s="948"/>
      <c r="S18" s="949"/>
      <c r="T18" s="952"/>
      <c r="U18" s="953"/>
      <c r="V18" s="948"/>
      <c r="W18" s="948"/>
      <c r="X18" s="948"/>
      <c r="Y18" s="948"/>
      <c r="Z18" s="949"/>
    </row>
    <row r="19" spans="1:30" ht="49.9" customHeight="1" thickBot="1">
      <c r="A19" s="613"/>
      <c r="B19" s="613"/>
      <c r="C19" s="643">
        <v>13</v>
      </c>
      <c r="D19" s="679">
        <v>5</v>
      </c>
      <c r="E19" s="649">
        <v>4300</v>
      </c>
      <c r="F19" s="742">
        <f>SUM(E7:E19)</f>
        <v>215740</v>
      </c>
      <c r="G19" s="649">
        <v>4309</v>
      </c>
      <c r="H19" s="655">
        <f>SUM(G7:G19)</f>
        <v>215821</v>
      </c>
      <c r="I19" s="683">
        <f t="shared" si="2"/>
        <v>9</v>
      </c>
      <c r="J19" s="631"/>
      <c r="K19" s="613"/>
      <c r="L19" s="613"/>
      <c r="M19" s="613"/>
      <c r="N19" s="613"/>
      <c r="O19" s="613"/>
      <c r="P19" s="613"/>
      <c r="Q19" s="613"/>
      <c r="R19" s="613"/>
      <c r="S19" s="613"/>
      <c r="T19" s="613"/>
      <c r="U19" s="613"/>
      <c r="V19" s="613"/>
      <c r="W19" s="613"/>
      <c r="X19" s="613"/>
      <c r="Y19" s="613"/>
      <c r="Z19" s="627"/>
      <c r="AA19" s="613"/>
      <c r="AB19" s="613"/>
      <c r="AC19" s="613"/>
      <c r="AD19" s="613"/>
    </row>
    <row r="20" spans="1:30" ht="49.9" customHeight="1">
      <c r="C20" s="643">
        <v>14</v>
      </c>
      <c r="D20" s="680">
        <v>8</v>
      </c>
      <c r="E20" s="649">
        <v>7500</v>
      </c>
      <c r="F20" s="742">
        <f>SUM(E7:E20)</f>
        <v>223240</v>
      </c>
      <c r="G20" s="649">
        <v>7510</v>
      </c>
      <c r="H20" s="655">
        <f>SUM(G7:G20)</f>
        <v>223331</v>
      </c>
      <c r="I20" s="683">
        <f t="shared" si="2"/>
        <v>10</v>
      </c>
      <c r="J20" s="632"/>
      <c r="K20" s="954" t="s">
        <v>238</v>
      </c>
      <c r="L20" s="955"/>
      <c r="M20" s="991" t="s">
        <v>244</v>
      </c>
      <c r="N20" s="955"/>
      <c r="O20" s="653" t="s">
        <v>245</v>
      </c>
      <c r="P20" s="652" t="s">
        <v>246</v>
      </c>
      <c r="Q20" s="991" t="s">
        <v>247</v>
      </c>
      <c r="R20" s="1000"/>
      <c r="S20" s="1005" t="s">
        <v>249</v>
      </c>
      <c r="T20" s="1006"/>
      <c r="U20" s="1001" t="s">
        <v>248</v>
      </c>
      <c r="V20" s="1002"/>
      <c r="W20" s="992" t="s">
        <v>256</v>
      </c>
      <c r="X20" s="993"/>
      <c r="Y20" s="991" t="s">
        <v>253</v>
      </c>
      <c r="Z20" s="1000"/>
      <c r="AC20" s="689"/>
    </row>
    <row r="21" spans="1:30" ht="49.9" customHeight="1">
      <c r="C21" s="643">
        <v>15</v>
      </c>
      <c r="D21" s="680">
        <v>1</v>
      </c>
      <c r="E21" s="649">
        <v>10400</v>
      </c>
      <c r="F21" s="742">
        <f>SUM(E7:E21)</f>
        <v>233640</v>
      </c>
      <c r="G21" s="649">
        <v>10410</v>
      </c>
      <c r="H21" s="655">
        <f>SUM(G7:G21)</f>
        <v>233741</v>
      </c>
      <c r="I21" s="683">
        <f t="shared" si="2"/>
        <v>10</v>
      </c>
      <c r="J21" s="632"/>
      <c r="K21" s="1012" t="s">
        <v>344</v>
      </c>
      <c r="L21" s="1013"/>
      <c r="M21" s="1007">
        <v>135000</v>
      </c>
      <c r="N21" s="1008"/>
      <c r="O21" s="719">
        <f>M21+AA21</f>
        <v>148500</v>
      </c>
      <c r="P21" s="719">
        <f>M21-AA21</f>
        <v>121500</v>
      </c>
      <c r="Q21" s="720">
        <f>SUMIF($Z$7:$Z$15,K21,$L$7:$L$15)</f>
        <v>141725</v>
      </c>
      <c r="R21" s="721">
        <f>(Q21/M21)*100</f>
        <v>104.98148148148148</v>
      </c>
      <c r="S21" s="722">
        <f>SUMIF($Z$7:$Z$15,K21,$M$7:$M$15)</f>
        <v>141871</v>
      </c>
      <c r="T21" s="723">
        <f>(S21/M21)*100</f>
        <v>105.08962962962963</v>
      </c>
      <c r="U21" s="724">
        <f>SUMIF($Z$7:$Z$15,K21,$O$7:$O$15)</f>
        <v>141253</v>
      </c>
      <c r="V21" s="725">
        <f>(U21/M21)*100</f>
        <v>104.63185185185185</v>
      </c>
      <c r="W21" s="994">
        <f>U21-Q21</f>
        <v>-472</v>
      </c>
      <c r="X21" s="995"/>
      <c r="Y21" s="1003" t="str">
        <f>IF(U21&gt;=O21,"OVER CONTRACT",IF(U21&lt;=P21,"LESS CONTRACT","WITH IN CONTRACT QTY"))</f>
        <v>WITH IN CONTRACT QTY</v>
      </c>
      <c r="Z21" s="1004"/>
      <c r="AA21" s="628">
        <f>M21*0.1</f>
        <v>13500</v>
      </c>
      <c r="AC21" s="689"/>
    </row>
    <row r="22" spans="1:30" ht="49.9" customHeight="1">
      <c r="C22" s="643">
        <v>16</v>
      </c>
      <c r="D22" s="680">
        <v>4</v>
      </c>
      <c r="E22" s="649">
        <v>10000</v>
      </c>
      <c r="F22" s="742">
        <f>SUM(E7:E22)</f>
        <v>243640</v>
      </c>
      <c r="G22" s="649">
        <v>10011</v>
      </c>
      <c r="H22" s="655">
        <f>SUM(G7:G22)</f>
        <v>243752</v>
      </c>
      <c r="I22" s="683">
        <f t="shared" si="2"/>
        <v>11</v>
      </c>
      <c r="J22" s="632"/>
      <c r="K22" s="1012" t="s">
        <v>412</v>
      </c>
      <c r="L22" s="1013"/>
      <c r="M22" s="1007">
        <v>100000</v>
      </c>
      <c r="N22" s="1008"/>
      <c r="O22" s="719">
        <f>M22+AA22</f>
        <v>110000</v>
      </c>
      <c r="P22" s="719">
        <f>M22-AA22</f>
        <v>90000</v>
      </c>
      <c r="Q22" s="720">
        <f>SUMIF($Z$7:$Z$15,K22,$L$7:$L$15)</f>
        <v>107640</v>
      </c>
      <c r="R22" s="721">
        <f>(Q22/M22)*100</f>
        <v>107.64</v>
      </c>
      <c r="S22" s="722">
        <f>SUMIF($Z$7:$Z$15,K22,$M$7:$M$15)</f>
        <v>107648</v>
      </c>
      <c r="T22" s="723">
        <f>(S22/M22)*100</f>
        <v>107.64800000000001</v>
      </c>
      <c r="U22" s="724">
        <f>SUMIF($Z$7:$Z$15,K22,$O$7:$O$15)</f>
        <v>107179</v>
      </c>
      <c r="V22" s="725">
        <f>(U22/M22)*100</f>
        <v>107.179</v>
      </c>
      <c r="W22" s="994">
        <f>U22-Q22</f>
        <v>-461</v>
      </c>
      <c r="X22" s="995"/>
      <c r="Y22" s="1003" t="str">
        <f>IF(U22&gt;=O22,"OVER CONTRACT",IF(U22&lt;=P22,"LESS CONTRACT","WITH IN CONTRACT QTY"))</f>
        <v>WITH IN CONTRACT QTY</v>
      </c>
      <c r="Z22" s="1004"/>
      <c r="AA22" s="628">
        <f>M22*0.1</f>
        <v>10000</v>
      </c>
      <c r="AC22" s="689"/>
    </row>
    <row r="23" spans="1:30" ht="49.9" customHeight="1">
      <c r="C23" s="643">
        <v>17</v>
      </c>
      <c r="D23" s="680">
        <v>8</v>
      </c>
      <c r="E23" s="649">
        <v>3890</v>
      </c>
      <c r="F23" s="742">
        <f>SUM(E7:E23)</f>
        <v>247530</v>
      </c>
      <c r="G23" s="649">
        <v>3895</v>
      </c>
      <c r="H23" s="655">
        <f>SUM(G7:G23)</f>
        <v>247647</v>
      </c>
      <c r="I23" s="683">
        <f>G23-E23</f>
        <v>5</v>
      </c>
      <c r="J23" s="632"/>
      <c r="K23" s="709"/>
      <c r="L23" s="710"/>
      <c r="M23" s="686"/>
      <c r="N23" s="687"/>
      <c r="O23" s="719"/>
      <c r="P23" s="719"/>
      <c r="Q23" s="720"/>
      <c r="R23" s="721"/>
      <c r="S23" s="722"/>
      <c r="T23" s="723"/>
      <c r="U23" s="724"/>
      <c r="V23" s="725"/>
      <c r="W23" s="996"/>
      <c r="X23" s="997"/>
      <c r="Y23" s="1016"/>
      <c r="Z23" s="1017"/>
      <c r="AA23" s="628">
        <f>M23*0.1</f>
        <v>0</v>
      </c>
      <c r="AC23" s="689"/>
    </row>
    <row r="24" spans="1:30" ht="49.9" customHeight="1" thickBot="1">
      <c r="C24" s="643">
        <v>18</v>
      </c>
      <c r="D24" s="680">
        <v>1</v>
      </c>
      <c r="E24" s="649">
        <v>1835</v>
      </c>
      <c r="F24" s="742">
        <f>SUM(E7:E24)</f>
        <v>249365</v>
      </c>
      <c r="G24" s="649">
        <v>1872</v>
      </c>
      <c r="H24" s="655">
        <f>SUM(G7:G24)</f>
        <v>249519</v>
      </c>
      <c r="I24" s="683">
        <f>G24-E24</f>
        <v>37</v>
      </c>
      <c r="J24" s="632"/>
      <c r="K24" s="709"/>
      <c r="L24" s="710"/>
      <c r="M24" s="686"/>
      <c r="N24" s="687"/>
      <c r="O24" s="719"/>
      <c r="P24" s="719"/>
      <c r="Q24" s="720"/>
      <c r="R24" s="721"/>
      <c r="S24" s="722"/>
      <c r="T24" s="723"/>
      <c r="U24" s="724"/>
      <c r="V24" s="725"/>
      <c r="W24" s="998"/>
      <c r="X24" s="999"/>
      <c r="Y24" s="1016"/>
      <c r="Z24" s="1017"/>
      <c r="AA24" s="628">
        <f>M24*0.1</f>
        <v>0</v>
      </c>
    </row>
    <row r="25" spans="1:30" ht="49.9" customHeight="1" thickBot="1">
      <c r="C25" s="650">
        <v>19</v>
      </c>
      <c r="D25" s="681"/>
      <c r="E25" s="651"/>
      <c r="F25" s="742"/>
      <c r="G25" s="651"/>
      <c r="H25" s="656"/>
      <c r="I25" s="684">
        <f>G25-E25</f>
        <v>0</v>
      </c>
      <c r="J25" s="632"/>
      <c r="K25" s="1022" t="s">
        <v>24</v>
      </c>
      <c r="L25" s="1023"/>
      <c r="M25" s="1020">
        <f>SUM(M21:N24)</f>
        <v>235000</v>
      </c>
      <c r="N25" s="1021"/>
      <c r="O25" s="734">
        <f>SUM(O21:O24)</f>
        <v>258500</v>
      </c>
      <c r="P25" s="735">
        <f>SUM(P21:P24)</f>
        <v>211500</v>
      </c>
      <c r="Q25" s="735">
        <f>SUM(Q21:Q24)</f>
        <v>249365</v>
      </c>
      <c r="R25" s="736">
        <f>(Q25/M25)*100</f>
        <v>106.11276595744681</v>
      </c>
      <c r="S25" s="737">
        <f>SUM(S21:S24)</f>
        <v>249519</v>
      </c>
      <c r="T25" s="738">
        <f>(S25/M25)*100</f>
        <v>106.17829787234044</v>
      </c>
      <c r="U25" s="740">
        <f>SUM(U21:U24)</f>
        <v>248432</v>
      </c>
      <c r="V25" s="739">
        <f>(U25/M25)*100</f>
        <v>105.71574468085106</v>
      </c>
      <c r="W25" s="1030"/>
      <c r="X25" s="1031"/>
      <c r="Y25" s="1031"/>
      <c r="Z25" s="1032"/>
      <c r="AA25" s="628"/>
    </row>
    <row r="26" spans="1:30" ht="49.9" customHeight="1">
      <c r="C26" s="650">
        <v>20</v>
      </c>
      <c r="D26" s="681"/>
      <c r="E26" s="651"/>
      <c r="F26" s="742"/>
      <c r="G26" s="651"/>
      <c r="H26" s="656"/>
      <c r="I26" s="684">
        <f>G26-E26</f>
        <v>0</v>
      </c>
      <c r="J26" s="632"/>
      <c r="K26" s="1014" t="s">
        <v>253</v>
      </c>
      <c r="L26" s="1015"/>
      <c r="M26" s="1018" t="s">
        <v>432</v>
      </c>
      <c r="N26" s="1018"/>
      <c r="O26" s="1018"/>
      <c r="P26" s="1018"/>
      <c r="Q26" s="1018"/>
      <c r="R26" s="1018"/>
      <c r="S26" s="1018"/>
      <c r="T26" s="1018"/>
      <c r="U26" s="1018"/>
      <c r="V26" s="1018"/>
      <c r="W26" s="1018"/>
      <c r="X26" s="1018"/>
      <c r="Y26" s="1018"/>
      <c r="Z26" s="1019"/>
      <c r="AA26" s="628"/>
    </row>
    <row r="27" spans="1:30" ht="49.9" customHeight="1">
      <c r="C27" s="650"/>
      <c r="D27" s="681"/>
      <c r="E27" s="651"/>
      <c r="F27" s="656"/>
      <c r="G27" s="651"/>
      <c r="H27" s="656"/>
      <c r="I27" s="684"/>
      <c r="J27" s="632"/>
      <c r="K27" s="1024"/>
      <c r="L27" s="1025"/>
      <c r="M27" s="1025"/>
      <c r="N27" s="1025"/>
      <c r="O27" s="1025"/>
      <c r="P27" s="1025"/>
      <c r="Q27" s="1025"/>
      <c r="R27" s="1025"/>
      <c r="S27" s="1025"/>
      <c r="T27" s="1025"/>
      <c r="U27" s="1025"/>
      <c r="V27" s="1025"/>
      <c r="W27" s="1025"/>
      <c r="X27" s="1025"/>
      <c r="Y27" s="1025"/>
      <c r="Z27" s="1026"/>
      <c r="AA27" s="628"/>
    </row>
    <row r="28" spans="1:30" s="444" customFormat="1" ht="49.9" customHeight="1" thickBot="1">
      <c r="C28" s="956" t="s">
        <v>24</v>
      </c>
      <c r="D28" s="957"/>
      <c r="E28" s="713">
        <f>SUM(E7:E26)</f>
        <v>249365</v>
      </c>
      <c r="F28" s="633"/>
      <c r="G28" s="713">
        <f>SUM(G7:G26)</f>
        <v>249519</v>
      </c>
      <c r="H28" s="633"/>
      <c r="I28" s="685">
        <f>SUM(I7:I26)</f>
        <v>154</v>
      </c>
      <c r="J28" s="629"/>
      <c r="K28" s="1027"/>
      <c r="L28" s="1028"/>
      <c r="M28" s="1028"/>
      <c r="N28" s="1028"/>
      <c r="O28" s="1028"/>
      <c r="P28" s="1028"/>
      <c r="Q28" s="1028"/>
      <c r="R28" s="1028"/>
      <c r="S28" s="1028"/>
      <c r="T28" s="1028"/>
      <c r="U28" s="1028"/>
      <c r="V28" s="1028"/>
      <c r="W28" s="1028"/>
      <c r="X28" s="1028"/>
      <c r="Y28" s="1028"/>
      <c r="Z28" s="1029"/>
    </row>
    <row r="29" spans="1:30" ht="49.9" customHeight="1">
      <c r="C29" s="630"/>
      <c r="D29" s="630"/>
      <c r="E29" s="1009" t="s">
        <v>403</v>
      </c>
      <c r="F29" s="1009"/>
      <c r="G29" s="1010">
        <f>E28-G28</f>
        <v>-154</v>
      </c>
      <c r="H29" s="1011"/>
      <c r="I29" s="630"/>
    </row>
    <row r="30" spans="1:30" ht="20.25">
      <c r="C30" s="630"/>
      <c r="D30" s="630"/>
      <c r="E30" s="630"/>
      <c r="F30" s="630"/>
      <c r="G30" s="630"/>
      <c r="H30" s="630"/>
      <c r="I30" s="630"/>
    </row>
    <row r="31" spans="1:30" ht="20.25">
      <c r="C31" s="630"/>
      <c r="D31" s="630"/>
      <c r="E31" s="630"/>
      <c r="F31" s="630"/>
      <c r="G31" s="630"/>
      <c r="H31" s="630"/>
      <c r="I31" s="630"/>
    </row>
    <row r="32" spans="1:30" ht="20.25">
      <c r="C32" s="630"/>
      <c r="D32" s="630"/>
      <c r="E32" s="630"/>
      <c r="F32" s="630"/>
      <c r="G32" s="630"/>
      <c r="H32" s="630"/>
      <c r="I32" s="630"/>
    </row>
    <row r="33" spans="3:9" ht="20.25">
      <c r="C33" s="630"/>
      <c r="D33" s="630"/>
      <c r="E33" s="630"/>
      <c r="F33" s="630"/>
      <c r="G33" s="630"/>
      <c r="H33" s="630"/>
      <c r="I33" s="630"/>
    </row>
    <row r="34" spans="3:9" ht="20.25">
      <c r="C34" s="630"/>
      <c r="D34" s="630"/>
      <c r="E34" s="630"/>
      <c r="F34" s="630"/>
      <c r="G34" s="630"/>
      <c r="H34" s="630"/>
      <c r="I34" s="630"/>
    </row>
    <row r="35" spans="3:9" ht="20.25">
      <c r="C35" s="630"/>
      <c r="D35" s="630"/>
      <c r="E35" s="630"/>
      <c r="F35" s="630"/>
      <c r="G35" s="630"/>
      <c r="H35" s="630"/>
      <c r="I35" s="630"/>
    </row>
    <row r="36" spans="3:9" ht="20.25">
      <c r="C36" s="630"/>
      <c r="D36" s="630"/>
      <c r="E36" s="630"/>
      <c r="F36" s="630"/>
      <c r="G36" s="630"/>
      <c r="H36" s="630"/>
      <c r="I36" s="630"/>
    </row>
    <row r="37" spans="3:9" ht="20.25">
      <c r="C37" s="630"/>
      <c r="D37" s="630"/>
      <c r="E37" s="630"/>
      <c r="F37" s="630"/>
      <c r="G37" s="630"/>
      <c r="H37" s="630"/>
      <c r="I37" s="630"/>
    </row>
    <row r="38" spans="3:9" ht="20.25">
      <c r="C38" s="630"/>
      <c r="D38" s="630"/>
      <c r="E38" s="630"/>
      <c r="F38" s="630"/>
      <c r="G38" s="630"/>
      <c r="H38" s="630"/>
      <c r="I38" s="630"/>
    </row>
    <row r="39" spans="3:9" ht="20.25">
      <c r="C39" s="630"/>
      <c r="D39" s="630"/>
      <c r="E39" s="630"/>
      <c r="F39" s="630"/>
      <c r="G39" s="630"/>
      <c r="H39" s="630"/>
      <c r="I39" s="630"/>
    </row>
    <row r="40" spans="3:9" ht="20.25">
      <c r="C40" s="630"/>
      <c r="D40" s="630"/>
      <c r="E40" s="630"/>
      <c r="F40" s="630"/>
      <c r="G40" s="630"/>
      <c r="H40" s="630"/>
      <c r="I40" s="630"/>
    </row>
    <row r="41" spans="3:9" ht="20.25">
      <c r="C41" s="630"/>
      <c r="D41" s="630"/>
      <c r="E41" s="630"/>
      <c r="F41" s="630"/>
      <c r="G41" s="630"/>
      <c r="H41" s="630"/>
      <c r="I41" s="630"/>
    </row>
    <row r="42" spans="3:9" ht="20.25">
      <c r="C42" s="630"/>
      <c r="D42" s="630"/>
      <c r="E42" s="630"/>
      <c r="F42" s="630"/>
      <c r="G42" s="630"/>
      <c r="H42" s="630"/>
      <c r="I42" s="630"/>
    </row>
    <row r="43" spans="3:9" ht="20.25">
      <c r="C43" s="630"/>
      <c r="D43" s="630"/>
      <c r="E43" s="630"/>
      <c r="F43" s="630"/>
      <c r="G43" s="630"/>
      <c r="H43" s="630"/>
      <c r="I43" s="630"/>
    </row>
    <row r="44" spans="3:9" ht="20.25">
      <c r="C44" s="630"/>
      <c r="D44" s="630"/>
      <c r="E44" s="630"/>
      <c r="F44" s="630"/>
      <c r="G44" s="630"/>
      <c r="H44" s="630"/>
      <c r="I44" s="630"/>
    </row>
    <row r="45" spans="3:9" ht="20.25">
      <c r="C45" s="630"/>
      <c r="D45" s="630"/>
      <c r="E45" s="630"/>
      <c r="F45" s="630"/>
      <c r="G45" s="630"/>
      <c r="H45" s="630"/>
      <c r="I45" s="630"/>
    </row>
    <row r="46" spans="3:9" ht="20.25">
      <c r="C46" s="630"/>
      <c r="D46" s="630"/>
      <c r="E46" s="630"/>
      <c r="F46" s="630"/>
      <c r="G46" s="630"/>
      <c r="H46" s="630"/>
      <c r="I46" s="630"/>
    </row>
    <row r="47" spans="3:9" ht="20.25">
      <c r="C47" s="630"/>
      <c r="D47" s="630"/>
      <c r="E47" s="630"/>
      <c r="F47" s="630"/>
      <c r="G47" s="630"/>
      <c r="H47" s="630"/>
      <c r="I47" s="630"/>
    </row>
    <row r="48" spans="3:9" ht="20.25">
      <c r="C48" s="630"/>
      <c r="D48" s="630"/>
      <c r="E48" s="630"/>
      <c r="F48" s="630"/>
      <c r="G48" s="630"/>
      <c r="H48" s="630"/>
      <c r="I48" s="630"/>
    </row>
    <row r="49" spans="3:9" ht="20.25">
      <c r="C49" s="630"/>
      <c r="D49" s="630"/>
      <c r="E49" s="630"/>
      <c r="F49" s="630"/>
      <c r="G49" s="630"/>
      <c r="H49" s="630"/>
      <c r="I49" s="630"/>
    </row>
    <row r="50" spans="3:9" ht="20.25">
      <c r="C50" s="630"/>
      <c r="D50" s="630"/>
      <c r="E50" s="630"/>
      <c r="F50" s="630"/>
      <c r="G50" s="630"/>
      <c r="H50" s="630"/>
      <c r="I50" s="630"/>
    </row>
    <row r="51" spans="3:9" ht="20.25">
      <c r="C51" s="630"/>
      <c r="D51" s="630"/>
      <c r="E51" s="630"/>
      <c r="F51" s="630"/>
      <c r="G51" s="630"/>
      <c r="H51" s="630"/>
      <c r="I51" s="630"/>
    </row>
    <row r="52" spans="3:9" ht="20.25">
      <c r="C52" s="630"/>
      <c r="D52" s="630"/>
      <c r="E52" s="630"/>
      <c r="F52" s="630"/>
      <c r="G52" s="630"/>
      <c r="H52" s="630"/>
      <c r="I52" s="630"/>
    </row>
    <row r="53" spans="3:9" ht="20.25">
      <c r="C53" s="630"/>
      <c r="D53" s="630"/>
      <c r="E53" s="630"/>
      <c r="F53" s="630"/>
      <c r="G53" s="630"/>
      <c r="H53" s="630"/>
      <c r="I53" s="630"/>
    </row>
    <row r="54" spans="3:9" ht="20.25">
      <c r="C54" s="630"/>
      <c r="D54" s="630"/>
      <c r="E54" s="630"/>
      <c r="F54" s="630"/>
      <c r="G54" s="630"/>
      <c r="H54" s="630"/>
      <c r="I54" s="630"/>
    </row>
    <row r="55" spans="3:9" ht="20.25">
      <c r="C55" s="630"/>
      <c r="D55" s="630"/>
      <c r="E55" s="630"/>
      <c r="F55" s="630"/>
      <c r="G55" s="630"/>
      <c r="H55" s="630"/>
      <c r="I55" s="630"/>
    </row>
    <row r="56" spans="3:9" ht="20.25">
      <c r="C56" s="630"/>
      <c r="D56" s="630"/>
      <c r="E56" s="630"/>
      <c r="F56" s="630"/>
      <c r="G56" s="630"/>
      <c r="H56" s="630"/>
      <c r="I56" s="630"/>
    </row>
    <row r="57" spans="3:9" ht="20.25">
      <c r="C57" s="630"/>
      <c r="D57" s="630"/>
      <c r="E57" s="630"/>
      <c r="F57" s="630"/>
      <c r="G57" s="630"/>
      <c r="H57" s="630"/>
      <c r="I57" s="630"/>
    </row>
  </sheetData>
  <sheetProtection sheet="1" selectLockedCells="1"/>
  <mergeCells count="102">
    <mergeCell ref="E29:F29"/>
    <mergeCell ref="G29:H29"/>
    <mergeCell ref="K21:L21"/>
    <mergeCell ref="K26:L26"/>
    <mergeCell ref="Y22:Z22"/>
    <mergeCell ref="Y23:Z23"/>
    <mergeCell ref="Y24:Z24"/>
    <mergeCell ref="M26:Z26"/>
    <mergeCell ref="M25:N25"/>
    <mergeCell ref="K25:L25"/>
    <mergeCell ref="K22:L22"/>
    <mergeCell ref="M22:N22"/>
    <mergeCell ref="K27:Z27"/>
    <mergeCell ref="K28:Z28"/>
    <mergeCell ref="W25:Z25"/>
    <mergeCell ref="M20:N20"/>
    <mergeCell ref="W20:X20"/>
    <mergeCell ref="W21:X21"/>
    <mergeCell ref="W22:X22"/>
    <mergeCell ref="W23:X23"/>
    <mergeCell ref="W24:X24"/>
    <mergeCell ref="Q20:R20"/>
    <mergeCell ref="U20:V20"/>
    <mergeCell ref="Y20:Z20"/>
    <mergeCell ref="Y21:Z21"/>
    <mergeCell ref="S20:T20"/>
    <mergeCell ref="M21:N21"/>
    <mergeCell ref="K20:L20"/>
    <mergeCell ref="C28:D28"/>
    <mergeCell ref="C4:I4"/>
    <mergeCell ref="R5:S6"/>
    <mergeCell ref="T5:U6"/>
    <mergeCell ref="V5:W6"/>
    <mergeCell ref="S8:S9"/>
    <mergeCell ref="S10:S11"/>
    <mergeCell ref="S14:S15"/>
    <mergeCell ref="U8:U9"/>
    <mergeCell ref="U10:U11"/>
    <mergeCell ref="U12:U13"/>
    <mergeCell ref="U14:U15"/>
    <mergeCell ref="W8:W9"/>
    <mergeCell ref="W10:W11"/>
    <mergeCell ref="W12:W13"/>
    <mergeCell ref="W14:W15"/>
    <mergeCell ref="V17:Z18"/>
    <mergeCell ref="M17:O17"/>
    <mergeCell ref="M18:O18"/>
    <mergeCell ref="X5:X6"/>
    <mergeCell ref="Y5:Y6"/>
    <mergeCell ref="Z5:Z6"/>
    <mergeCell ref="N5:N6"/>
    <mergeCell ref="K17:L17"/>
    <mergeCell ref="K18:L18"/>
    <mergeCell ref="C3:Z3"/>
    <mergeCell ref="L4:M4"/>
    <mergeCell ref="O4:P4"/>
    <mergeCell ref="Q4:R4"/>
    <mergeCell ref="S4:V4"/>
    <mergeCell ref="W4:X4"/>
    <mergeCell ref="Y4:Z4"/>
    <mergeCell ref="C5:C6"/>
    <mergeCell ref="D5:D6"/>
    <mergeCell ref="E5:E6"/>
    <mergeCell ref="G5:G6"/>
    <mergeCell ref="P17:Q18"/>
    <mergeCell ref="R17:S18"/>
    <mergeCell ref="T17:U18"/>
    <mergeCell ref="AE13:AG13"/>
    <mergeCell ref="AE9:AF9"/>
    <mergeCell ref="AG9:AH9"/>
    <mergeCell ref="AI9:AJ9"/>
    <mergeCell ref="AK9:AL9"/>
    <mergeCell ref="AE10:AF10"/>
    <mergeCell ref="AG10:AH10"/>
    <mergeCell ref="AI10:AJ10"/>
    <mergeCell ref="AK10:AL10"/>
    <mergeCell ref="AI12:AJ12"/>
    <mergeCell ref="AI13:AJ13"/>
    <mergeCell ref="AC5:AC6"/>
    <mergeCell ref="AB16:AD16"/>
    <mergeCell ref="AB5:AB6"/>
    <mergeCell ref="I5:I6"/>
    <mergeCell ref="K5:K6"/>
    <mergeCell ref="M5:M6"/>
    <mergeCell ref="O5:O6"/>
    <mergeCell ref="L5:L6"/>
    <mergeCell ref="AE8:AF8"/>
    <mergeCell ref="AE5:AL5"/>
    <mergeCell ref="AE6:AF6"/>
    <mergeCell ref="AG6:AH6"/>
    <mergeCell ref="AI6:AJ6"/>
    <mergeCell ref="AK6:AL6"/>
    <mergeCell ref="AE7:AF7"/>
    <mergeCell ref="AG7:AH7"/>
    <mergeCell ref="AI7:AJ7"/>
    <mergeCell ref="AK7:AL7"/>
    <mergeCell ref="P5:Q5"/>
    <mergeCell ref="AG8:AH8"/>
    <mergeCell ref="AI8:AJ8"/>
    <mergeCell ref="AK8:AL8"/>
    <mergeCell ref="AE11:AL11"/>
    <mergeCell ref="AE12:AG12"/>
  </mergeCells>
  <phoneticPr fontId="29" type="noConversion"/>
  <conditionalFormatting sqref="P7">
    <cfRule type="cellIs" dxfId="12" priority="17" operator="lessThan">
      <formula>200</formula>
    </cfRule>
  </conditionalFormatting>
  <conditionalFormatting sqref="R8:R15 R7:W7 S8 S10 S12 S14 T8:T15 U8 U10 U12 U14 V8:V15 W8 W10 W12 W14">
    <cfRule type="cellIs" dxfId="11" priority="1" operator="lessThan">
      <formula>700</formula>
    </cfRule>
  </conditionalFormatting>
  <dataValidations count="1">
    <dataValidation type="list" allowBlank="1" showInputMessage="1" showErrorMessage="1" sqref="Z7:Z15" xr:uid="{00000000-0002-0000-0500-000000000000}">
      <formula1>$K$21:$K$24</formula1>
    </dataValidation>
  </dataValidations>
  <printOptions horizontalCentered="1" verticalCentered="1"/>
  <pageMargins left="0.39370078740157483" right="0.19685039370078741" top="0.98425196850393704" bottom="0.74803149606299213" header="0.31496062992125984" footer="0.31496062992125984"/>
  <pageSetup paperSize="9" scale="2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N51"/>
  <sheetViews>
    <sheetView showGridLines="0" zoomScale="70" zoomScaleNormal="70" zoomScaleSheetLayoutView="85" workbookViewId="0">
      <selection activeCell="AG5" sqref="AG5:AJ5"/>
    </sheetView>
  </sheetViews>
  <sheetFormatPr defaultColWidth="8.25" defaultRowHeight="14.25"/>
  <cols>
    <col min="1" max="1" width="8.25" style="465"/>
    <col min="2" max="2" width="7.375" style="465" customWidth="1"/>
    <col min="3" max="3" width="5.5" style="465" customWidth="1"/>
    <col min="4" max="4" width="6" style="465" customWidth="1"/>
    <col min="5" max="5" width="9" style="465" customWidth="1"/>
    <col min="6" max="6" width="1.75" style="465" customWidth="1"/>
    <col min="7" max="8" width="6.75" style="465" customWidth="1"/>
    <col min="9" max="9" width="1.75" style="465" customWidth="1"/>
    <col min="10" max="11" width="6.75" style="465" customWidth="1"/>
    <col min="12" max="12" width="1.75" style="465" customWidth="1"/>
    <col min="13" max="14" width="6.75" style="465" customWidth="1"/>
    <col min="15" max="15" width="1.75" style="465" customWidth="1"/>
    <col min="16" max="17" width="6.75" style="465" customWidth="1"/>
    <col min="18" max="18" width="1.75" style="465" customWidth="1"/>
    <col min="19" max="20" width="6.75" style="465" customWidth="1"/>
    <col min="21" max="21" width="1.75" style="465" customWidth="1"/>
    <col min="22" max="23" width="6.75" style="465" customWidth="1"/>
    <col min="24" max="24" width="1.75" style="465" customWidth="1"/>
    <col min="25" max="26" width="6.75" style="465" customWidth="1"/>
    <col min="27" max="27" width="1.75" style="465" customWidth="1"/>
    <col min="28" max="29" width="6.75" style="465" customWidth="1"/>
    <col min="30" max="30" width="1.75" style="465" customWidth="1"/>
    <col min="31" max="32" width="6.75" style="465" customWidth="1"/>
    <col min="33" max="33" width="1.75" style="465" customWidth="1"/>
    <col min="34" max="34" width="5.25" style="465" customWidth="1"/>
    <col min="35" max="35" width="7.875" style="465" customWidth="1"/>
    <col min="36" max="36" width="10.375" style="465" customWidth="1"/>
    <col min="37" max="37" width="3" style="465" customWidth="1"/>
    <col min="38" max="38" width="5.75" style="465" customWidth="1"/>
    <col min="39" max="39" width="7.875" style="465" customWidth="1"/>
    <col min="40" max="16384" width="8.25" style="465"/>
  </cols>
  <sheetData>
    <row r="1" spans="2:38" ht="15" thickBot="1"/>
    <row r="2" spans="2:38" ht="19.899999999999999" customHeight="1">
      <c r="B2" s="466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  <c r="R2" s="467"/>
      <c r="S2" s="467"/>
      <c r="T2" s="467"/>
      <c r="U2" s="467"/>
      <c r="V2" s="467"/>
      <c r="W2" s="467"/>
      <c r="X2" s="467"/>
      <c r="Y2" s="467"/>
      <c r="Z2" s="467"/>
      <c r="AA2" s="467"/>
      <c r="AB2" s="467"/>
      <c r="AC2" s="467"/>
      <c r="AD2" s="467"/>
      <c r="AE2" s="467"/>
      <c r="AF2" s="467"/>
      <c r="AG2" s="467"/>
      <c r="AH2" s="467"/>
      <c r="AI2" s="467"/>
      <c r="AJ2" s="468"/>
    </row>
    <row r="3" spans="2:38" ht="27" customHeight="1">
      <c r="B3" s="1042" t="s">
        <v>424</v>
      </c>
      <c r="C3" s="104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043"/>
      <c r="O3" s="1043"/>
      <c r="P3" s="1043"/>
      <c r="Q3" s="1043"/>
      <c r="R3" s="1043"/>
      <c r="S3" s="1043"/>
      <c r="T3" s="1043"/>
      <c r="U3" s="1043"/>
      <c r="V3" s="1043"/>
      <c r="W3" s="1043"/>
      <c r="X3" s="1043"/>
      <c r="Y3" s="1043"/>
      <c r="Z3" s="1043"/>
      <c r="AA3" s="1043"/>
      <c r="AB3" s="1043"/>
      <c r="AC3" s="1043"/>
      <c r="AD3" s="1043"/>
      <c r="AE3" s="1043"/>
      <c r="AF3" s="1043"/>
      <c r="AG3" s="1043"/>
      <c r="AH3" s="1043"/>
      <c r="AI3" s="1043"/>
      <c r="AJ3" s="1044"/>
    </row>
    <row r="4" spans="2:38" ht="27" customHeight="1">
      <c r="B4" s="1045" t="s">
        <v>326</v>
      </c>
      <c r="C4" s="1046"/>
      <c r="D4" s="1046"/>
      <c r="E4" s="1046"/>
      <c r="F4" s="1046"/>
      <c r="G4" s="1046"/>
      <c r="H4" s="1046"/>
      <c r="I4" s="1046"/>
      <c r="J4" s="1046"/>
      <c r="K4" s="1046"/>
      <c r="L4" s="1046"/>
      <c r="M4" s="1046"/>
      <c r="N4" s="1046"/>
      <c r="O4" s="1046"/>
      <c r="P4" s="1046"/>
      <c r="Q4" s="1046"/>
      <c r="R4" s="1046"/>
      <c r="S4" s="1046"/>
      <c r="T4" s="1046"/>
      <c r="U4" s="1046"/>
      <c r="V4" s="1046"/>
      <c r="W4" s="1046"/>
      <c r="X4" s="1046"/>
      <c r="Y4" s="1046"/>
      <c r="Z4" s="1046"/>
      <c r="AA4" s="1046"/>
      <c r="AB4" s="1046"/>
      <c r="AC4" s="1046"/>
      <c r="AD4" s="1046"/>
      <c r="AE4" s="1046"/>
      <c r="AF4" s="1046"/>
      <c r="AG4" s="1046"/>
      <c r="AH4" s="1046"/>
      <c r="AI4" s="1046"/>
      <c r="AJ4" s="1047"/>
    </row>
    <row r="5" spans="2:38" s="471" customFormat="1" ht="32.450000000000003" customHeight="1">
      <c r="B5" s="1040" t="s">
        <v>318</v>
      </c>
      <c r="C5" s="1041"/>
      <c r="D5" s="1041"/>
      <c r="E5" s="1048" t="str">
        <f>initial!F4</f>
        <v>102A</v>
      </c>
      <c r="F5" s="1048"/>
      <c r="G5" s="1048"/>
      <c r="H5" s="1048"/>
      <c r="I5" s="469"/>
      <c r="J5" s="469"/>
      <c r="K5" s="469"/>
      <c r="L5" s="469"/>
      <c r="M5" s="469"/>
      <c r="N5" s="469"/>
      <c r="O5" s="469"/>
      <c r="P5" s="469"/>
      <c r="Q5" s="469"/>
      <c r="R5" s="469"/>
      <c r="S5" s="469"/>
      <c r="T5" s="469"/>
      <c r="U5" s="469"/>
      <c r="V5" s="469"/>
      <c r="W5" s="469"/>
      <c r="X5" s="469"/>
      <c r="Y5" s="469"/>
      <c r="Z5" s="469"/>
      <c r="AA5" s="469"/>
      <c r="AB5" s="1038" t="s">
        <v>319</v>
      </c>
      <c r="AC5" s="1038"/>
      <c r="AD5" s="1038"/>
      <c r="AE5" s="1038"/>
      <c r="AF5" s="1038"/>
      <c r="AG5" s="1033" t="s">
        <v>429</v>
      </c>
      <c r="AH5" s="1033"/>
      <c r="AI5" s="1033"/>
      <c r="AJ5" s="1034"/>
      <c r="AK5" s="470"/>
      <c r="AL5" s="470"/>
    </row>
    <row r="6" spans="2:38" s="471" customFormat="1" ht="32.450000000000003" customHeight="1">
      <c r="B6" s="1040" t="s">
        <v>320</v>
      </c>
      <c r="C6" s="1041"/>
      <c r="D6" s="1041"/>
      <c r="E6" s="1039">
        <v>45153</v>
      </c>
      <c r="F6" s="1039"/>
      <c r="G6" s="1039"/>
      <c r="H6" s="1039"/>
      <c r="I6" s="469"/>
      <c r="J6" s="469"/>
      <c r="K6" s="469"/>
      <c r="L6" s="469"/>
      <c r="M6" s="469"/>
      <c r="N6" s="469"/>
      <c r="O6" s="469"/>
      <c r="P6" s="469"/>
      <c r="Q6" s="469"/>
      <c r="R6" s="469"/>
      <c r="S6" s="469"/>
      <c r="T6" s="469"/>
      <c r="U6" s="469"/>
      <c r="V6" s="469"/>
      <c r="W6" s="469"/>
      <c r="X6" s="469"/>
      <c r="Y6" s="469"/>
      <c r="Z6" s="469"/>
      <c r="AA6" s="469"/>
      <c r="AB6" s="1038" t="s">
        <v>321</v>
      </c>
      <c r="AC6" s="1038"/>
      <c r="AD6" s="1038"/>
      <c r="AE6" s="1038"/>
      <c r="AF6" s="1038"/>
      <c r="AG6" s="1033" t="s">
        <v>433</v>
      </c>
      <c r="AH6" s="1033"/>
      <c r="AI6" s="1033"/>
      <c r="AJ6" s="1034"/>
      <c r="AK6" s="472"/>
      <c r="AL6" s="472"/>
    </row>
    <row r="7" spans="2:38">
      <c r="B7" s="473"/>
      <c r="C7" s="474"/>
      <c r="D7" s="475"/>
      <c r="E7" s="475"/>
      <c r="AG7" s="476"/>
      <c r="AH7" s="476"/>
      <c r="AI7" s="476"/>
      <c r="AJ7" s="477"/>
    </row>
    <row r="8" spans="2:38" ht="28.15" customHeight="1">
      <c r="B8" s="1035" t="s">
        <v>322</v>
      </c>
      <c r="C8" s="1036"/>
      <c r="D8" s="1036"/>
      <c r="E8" s="1036"/>
      <c r="F8" s="1036"/>
      <c r="G8" s="1036"/>
      <c r="H8" s="1036"/>
      <c r="I8" s="1036"/>
      <c r="J8" s="1036"/>
      <c r="K8" s="1036"/>
      <c r="L8" s="1036"/>
      <c r="M8" s="1036"/>
      <c r="N8" s="1036"/>
      <c r="O8" s="1036"/>
      <c r="P8" s="1036"/>
      <c r="Q8" s="1036"/>
      <c r="R8" s="1036"/>
      <c r="S8" s="1036"/>
      <c r="T8" s="1036"/>
      <c r="U8" s="1036"/>
      <c r="V8" s="1036"/>
      <c r="W8" s="1036"/>
      <c r="X8" s="1036"/>
      <c r="Y8" s="1036"/>
      <c r="Z8" s="1036"/>
      <c r="AA8" s="1036"/>
      <c r="AB8" s="1036"/>
      <c r="AC8" s="1036"/>
      <c r="AD8" s="1036"/>
      <c r="AE8" s="1036"/>
      <c r="AF8" s="1036"/>
      <c r="AG8" s="1036"/>
      <c r="AH8" s="1036"/>
      <c r="AI8" s="1036"/>
      <c r="AJ8" s="1037"/>
    </row>
    <row r="9" spans="2:38">
      <c r="B9" s="1035"/>
      <c r="C9" s="1036"/>
      <c r="D9" s="1036"/>
      <c r="E9" s="1036"/>
      <c r="F9" s="1036"/>
      <c r="G9" s="1036"/>
      <c r="H9" s="1036"/>
      <c r="I9" s="1036"/>
      <c r="J9" s="1036"/>
      <c r="K9" s="1036"/>
      <c r="L9" s="1036"/>
      <c r="M9" s="1036"/>
      <c r="N9" s="1036"/>
      <c r="O9" s="1036"/>
      <c r="P9" s="1036"/>
      <c r="Q9" s="1036"/>
      <c r="R9" s="1036"/>
      <c r="S9" s="1036"/>
      <c r="T9" s="1036"/>
      <c r="U9" s="1036"/>
      <c r="V9" s="1036"/>
      <c r="W9" s="1036"/>
      <c r="X9" s="1036"/>
      <c r="Y9" s="1036"/>
      <c r="Z9" s="1036"/>
      <c r="AA9" s="1036"/>
      <c r="AB9" s="1036"/>
      <c r="AC9" s="1036"/>
      <c r="AD9" s="1036"/>
      <c r="AE9" s="1036"/>
      <c r="AF9" s="1036"/>
      <c r="AG9" s="1036"/>
      <c r="AH9" s="1036"/>
      <c r="AI9" s="1036"/>
      <c r="AJ9" s="1037"/>
    </row>
    <row r="10" spans="2:38">
      <c r="B10" s="478"/>
      <c r="AJ10" s="479"/>
    </row>
    <row r="11" spans="2:38">
      <c r="B11" s="478"/>
      <c r="AJ11" s="479"/>
    </row>
    <row r="12" spans="2:38">
      <c r="B12" s="478"/>
      <c r="AJ12" s="479"/>
    </row>
    <row r="13" spans="2:38" ht="18">
      <c r="B13" s="478"/>
      <c r="G13" s="1051">
        <v>9</v>
      </c>
      <c r="H13" s="1051"/>
      <c r="J13" s="1051">
        <v>8</v>
      </c>
      <c r="K13" s="1051"/>
      <c r="M13" s="1051">
        <v>7</v>
      </c>
      <c r="N13" s="1051"/>
      <c r="P13" s="1051">
        <v>6</v>
      </c>
      <c r="Q13" s="1051"/>
      <c r="S13" s="1051">
        <v>5</v>
      </c>
      <c r="T13" s="1051"/>
      <c r="V13" s="1051">
        <v>4</v>
      </c>
      <c r="W13" s="1051"/>
      <c r="Y13" s="1051">
        <v>3</v>
      </c>
      <c r="Z13" s="1051"/>
      <c r="AB13" s="1051">
        <v>2</v>
      </c>
      <c r="AC13" s="1051"/>
      <c r="AE13" s="1051">
        <v>1</v>
      </c>
      <c r="AF13" s="1051"/>
      <c r="AJ13" s="479"/>
    </row>
    <row r="14" spans="2:38">
      <c r="B14" s="478"/>
      <c r="G14" s="480"/>
      <c r="H14" s="481"/>
      <c r="J14" s="480"/>
      <c r="K14" s="481"/>
      <c r="M14" s="480"/>
      <c r="N14" s="481"/>
      <c r="P14" s="480"/>
      <c r="Q14" s="481"/>
      <c r="S14" s="480"/>
      <c r="T14" s="481"/>
      <c r="V14" s="480"/>
      <c r="W14" s="481"/>
      <c r="Y14" s="480"/>
      <c r="Z14" s="481"/>
      <c r="AB14" s="480"/>
      <c r="AC14" s="481"/>
      <c r="AE14" s="480"/>
      <c r="AF14" s="481"/>
      <c r="AJ14" s="479"/>
    </row>
    <row r="15" spans="2:38" ht="15">
      <c r="B15" s="478"/>
      <c r="F15" s="480"/>
      <c r="G15" s="482"/>
      <c r="H15" s="482"/>
      <c r="I15" s="480"/>
      <c r="J15" s="482"/>
      <c r="K15" s="482"/>
      <c r="L15" s="480"/>
      <c r="M15" s="482"/>
      <c r="N15" s="482"/>
      <c r="O15" s="483">
        <v>16300</v>
      </c>
      <c r="P15" s="484"/>
      <c r="Q15" s="485"/>
      <c r="R15" s="482"/>
      <c r="S15" s="482"/>
      <c r="T15" s="482"/>
      <c r="U15" s="480"/>
      <c r="V15" s="482"/>
      <c r="W15" s="482"/>
      <c r="X15" s="481"/>
      <c r="Y15" s="482"/>
      <c r="Z15" s="482"/>
      <c r="AA15" s="481"/>
      <c r="AB15" s="482"/>
      <c r="AC15" s="482"/>
      <c r="AD15" s="481"/>
      <c r="AE15" s="482"/>
      <c r="AF15" s="482"/>
      <c r="AG15" s="481"/>
      <c r="AJ15" s="479"/>
    </row>
    <row r="16" spans="2:38" ht="21.6" customHeight="1">
      <c r="B16" s="478"/>
      <c r="F16" s="1053">
        <f>Hatch!O15</f>
        <v>26999</v>
      </c>
      <c r="G16" s="1054"/>
      <c r="H16" s="1054"/>
      <c r="I16" s="1053">
        <f>Hatch!O14</f>
        <v>28293</v>
      </c>
      <c r="J16" s="1054"/>
      <c r="K16" s="1054"/>
      <c r="L16" s="1053">
        <f>Hatch!O13</f>
        <v>27094</v>
      </c>
      <c r="M16" s="1054"/>
      <c r="N16" s="1054"/>
      <c r="O16" s="1052">
        <f>Hatch!O12</f>
        <v>26575</v>
      </c>
      <c r="P16" s="1049"/>
      <c r="Q16" s="1050"/>
      <c r="R16" s="1052">
        <f>Hatch!O11</f>
        <v>22915</v>
      </c>
      <c r="S16" s="1049"/>
      <c r="T16" s="1050"/>
      <c r="U16" s="1052">
        <f>Hatch!O10</f>
        <v>24906</v>
      </c>
      <c r="V16" s="1049"/>
      <c r="W16" s="1049"/>
      <c r="X16" s="1050"/>
      <c r="Y16" s="1049">
        <f>Hatch!O9</f>
        <v>26337</v>
      </c>
      <c r="Z16" s="1049"/>
      <c r="AA16" s="1050"/>
      <c r="AB16" s="1049">
        <f>Hatch!O8</f>
        <v>27173</v>
      </c>
      <c r="AC16" s="1049"/>
      <c r="AD16" s="1050"/>
      <c r="AE16" s="1049">
        <f>Hatch!O7</f>
        <v>38140</v>
      </c>
      <c r="AF16" s="1049"/>
      <c r="AG16" s="1050"/>
      <c r="AJ16" s="479"/>
    </row>
    <row r="17" spans="2:40" ht="15">
      <c r="B17" s="478"/>
      <c r="F17" s="1055"/>
      <c r="G17" s="1056"/>
      <c r="H17" s="1056"/>
      <c r="I17" s="1055"/>
      <c r="J17" s="1056"/>
      <c r="K17" s="1056"/>
      <c r="L17" s="1055"/>
      <c r="M17" s="1056"/>
      <c r="N17" s="1056"/>
      <c r="O17" s="486"/>
      <c r="P17" s="487"/>
      <c r="Q17" s="488"/>
      <c r="R17" s="489"/>
      <c r="S17" s="489"/>
      <c r="T17" s="489"/>
      <c r="U17" s="1055"/>
      <c r="V17" s="1056"/>
      <c r="W17" s="1056"/>
      <c r="X17" s="1057"/>
      <c r="Y17" s="1056"/>
      <c r="Z17" s="1056"/>
      <c r="AA17" s="1057"/>
      <c r="AB17" s="1056"/>
      <c r="AC17" s="1056"/>
      <c r="AD17" s="1057"/>
      <c r="AE17" s="1056"/>
      <c r="AF17" s="1056"/>
      <c r="AG17" s="1057"/>
      <c r="AJ17" s="479"/>
    </row>
    <row r="18" spans="2:40" ht="13.9" customHeight="1">
      <c r="B18" s="478"/>
      <c r="F18" s="1058" t="str">
        <f>Hatch!Z15</f>
        <v>PBF</v>
      </c>
      <c r="G18" s="1059"/>
      <c r="H18" s="1060"/>
      <c r="I18" s="1058" t="str">
        <f>Hatch!Z14</f>
        <v>PBF</v>
      </c>
      <c r="J18" s="1059"/>
      <c r="K18" s="1060"/>
      <c r="L18" s="1058" t="str">
        <f>Hatch!Z13</f>
        <v>PBL</v>
      </c>
      <c r="M18" s="1059"/>
      <c r="N18" s="1060"/>
      <c r="O18" s="1058" t="str">
        <f>Hatch!Z12</f>
        <v>PBL</v>
      </c>
      <c r="P18" s="1059"/>
      <c r="Q18" s="1060"/>
      <c r="R18" s="1058" t="str">
        <f>Hatch!Z11</f>
        <v>PBF</v>
      </c>
      <c r="S18" s="1059"/>
      <c r="T18" s="1060"/>
      <c r="U18" s="1058" t="str">
        <f>Hatch!Z10</f>
        <v>PBF</v>
      </c>
      <c r="V18" s="1059"/>
      <c r="W18" s="1059"/>
      <c r="X18" s="1060"/>
      <c r="Y18" s="1058" t="str">
        <f>Hatch!Z9</f>
        <v>PBL</v>
      </c>
      <c r="Z18" s="1059"/>
      <c r="AA18" s="1060"/>
      <c r="AB18" s="1058" t="str">
        <f>Hatch!Z8</f>
        <v>PBL</v>
      </c>
      <c r="AC18" s="1059"/>
      <c r="AD18" s="1060"/>
      <c r="AE18" s="1058" t="str">
        <f>Hatch!Z7</f>
        <v>PBF</v>
      </c>
      <c r="AF18" s="1059"/>
      <c r="AG18" s="1060"/>
      <c r="AJ18" s="479"/>
    </row>
    <row r="19" spans="2:40" ht="15" customHeight="1">
      <c r="B19" s="478"/>
      <c r="F19" s="1058"/>
      <c r="G19" s="1059"/>
      <c r="H19" s="1060"/>
      <c r="I19" s="1058"/>
      <c r="J19" s="1059"/>
      <c r="K19" s="1060"/>
      <c r="L19" s="1058"/>
      <c r="M19" s="1059"/>
      <c r="N19" s="1060"/>
      <c r="O19" s="1058"/>
      <c r="P19" s="1059"/>
      <c r="Q19" s="1060"/>
      <c r="R19" s="1058"/>
      <c r="S19" s="1059"/>
      <c r="T19" s="1060"/>
      <c r="U19" s="1058"/>
      <c r="V19" s="1059"/>
      <c r="W19" s="1059"/>
      <c r="X19" s="1060"/>
      <c r="Y19" s="1058"/>
      <c r="Z19" s="1059"/>
      <c r="AA19" s="1060"/>
      <c r="AB19" s="1058"/>
      <c r="AC19" s="1059"/>
      <c r="AD19" s="1060"/>
      <c r="AE19" s="1058"/>
      <c r="AF19" s="1059"/>
      <c r="AG19" s="1060"/>
      <c r="AH19" s="1064" t="s">
        <v>323</v>
      </c>
      <c r="AI19" s="1065"/>
      <c r="AJ19" s="479"/>
    </row>
    <row r="20" spans="2:40" ht="15" customHeight="1">
      <c r="B20" s="478"/>
      <c r="F20" s="1058"/>
      <c r="G20" s="1059"/>
      <c r="H20" s="1060"/>
      <c r="I20" s="1058"/>
      <c r="J20" s="1059"/>
      <c r="K20" s="1060"/>
      <c r="L20" s="1058"/>
      <c r="M20" s="1059"/>
      <c r="N20" s="1060"/>
      <c r="O20" s="1058"/>
      <c r="P20" s="1059"/>
      <c r="Q20" s="1060"/>
      <c r="R20" s="1058"/>
      <c r="S20" s="1059"/>
      <c r="T20" s="1060"/>
      <c r="U20" s="1058"/>
      <c r="V20" s="1059"/>
      <c r="W20" s="1059"/>
      <c r="X20" s="1060"/>
      <c r="Y20" s="1058"/>
      <c r="Z20" s="1059"/>
      <c r="AA20" s="1060"/>
      <c r="AB20" s="1058"/>
      <c r="AC20" s="1059"/>
      <c r="AD20" s="1060"/>
      <c r="AE20" s="1058"/>
      <c r="AF20" s="1059"/>
      <c r="AG20" s="1060"/>
      <c r="AH20" s="1066">
        <f>SUM(F16:AG16)</f>
        <v>248432</v>
      </c>
      <c r="AI20" s="1067"/>
      <c r="AJ20" s="479"/>
      <c r="AN20" s="465" t="s">
        <v>324</v>
      </c>
    </row>
    <row r="21" spans="2:40">
      <c r="B21" s="478"/>
      <c r="F21" s="1058"/>
      <c r="G21" s="1059"/>
      <c r="H21" s="1060"/>
      <c r="I21" s="1058"/>
      <c r="J21" s="1059"/>
      <c r="K21" s="1060"/>
      <c r="L21" s="1058"/>
      <c r="M21" s="1059"/>
      <c r="N21" s="1060"/>
      <c r="O21" s="1058"/>
      <c r="P21" s="1059"/>
      <c r="Q21" s="1060"/>
      <c r="R21" s="1058"/>
      <c r="S21" s="1059"/>
      <c r="T21" s="1060"/>
      <c r="U21" s="1058"/>
      <c r="V21" s="1059"/>
      <c r="W21" s="1059"/>
      <c r="X21" s="1060"/>
      <c r="Y21" s="1058"/>
      <c r="Z21" s="1059"/>
      <c r="AA21" s="1060"/>
      <c r="AB21" s="1058"/>
      <c r="AC21" s="1059"/>
      <c r="AD21" s="1060"/>
      <c r="AE21" s="1058"/>
      <c r="AF21" s="1059"/>
      <c r="AG21" s="1060"/>
      <c r="AJ21" s="479"/>
    </row>
    <row r="22" spans="2:40">
      <c r="B22" s="478"/>
      <c r="F22" s="1061"/>
      <c r="G22" s="1062"/>
      <c r="H22" s="1063"/>
      <c r="I22" s="1061"/>
      <c r="J22" s="1062"/>
      <c r="K22" s="1063"/>
      <c r="L22" s="1061"/>
      <c r="M22" s="1062"/>
      <c r="N22" s="1063"/>
      <c r="O22" s="1061"/>
      <c r="P22" s="1062"/>
      <c r="Q22" s="1063"/>
      <c r="R22" s="1061"/>
      <c r="S22" s="1062"/>
      <c r="T22" s="1063"/>
      <c r="U22" s="1061"/>
      <c r="V22" s="1062"/>
      <c r="W22" s="1062"/>
      <c r="X22" s="1063"/>
      <c r="Y22" s="1061"/>
      <c r="Z22" s="1062"/>
      <c r="AA22" s="1063"/>
      <c r="AB22" s="1061"/>
      <c r="AC22" s="1062"/>
      <c r="AD22" s="1063"/>
      <c r="AE22" s="1061"/>
      <c r="AF22" s="1062"/>
      <c r="AG22" s="1063"/>
      <c r="AJ22" s="479"/>
    </row>
    <row r="23" spans="2:40">
      <c r="B23" s="478"/>
      <c r="AJ23" s="479"/>
    </row>
    <row r="24" spans="2:40" ht="18">
      <c r="B24" s="478"/>
      <c r="E24" s="1068"/>
      <c r="F24" s="1068"/>
      <c r="G24" s="1068"/>
      <c r="H24" s="1068"/>
      <c r="I24" s="1068"/>
      <c r="J24" s="1068"/>
      <c r="K24" s="1068"/>
      <c r="L24" s="1068"/>
      <c r="M24" s="1068"/>
      <c r="N24" s="1069"/>
      <c r="O24" s="1070"/>
      <c r="P24" s="1070"/>
      <c r="Q24" s="1070"/>
      <c r="R24" s="1070"/>
      <c r="S24" s="490"/>
      <c r="T24" s="490"/>
      <c r="U24" s="490"/>
      <c r="V24" s="490"/>
      <c r="W24" s="490"/>
      <c r="X24" s="490"/>
      <c r="AJ24" s="479"/>
    </row>
    <row r="25" spans="2:40" s="492" customFormat="1" ht="30">
      <c r="B25" s="491"/>
      <c r="E25" s="1072" t="s">
        <v>345</v>
      </c>
      <c r="F25" s="1072"/>
      <c r="G25" s="1072"/>
      <c r="H25" s="1072"/>
      <c r="I25" s="1072"/>
      <c r="J25" s="1072"/>
      <c r="K25" s="1072"/>
      <c r="L25" s="1072"/>
      <c r="M25" s="1072"/>
      <c r="N25" s="1074" t="s">
        <v>400</v>
      </c>
      <c r="O25" s="1074"/>
      <c r="P25" s="1074"/>
      <c r="Q25" s="1074"/>
      <c r="R25" s="1074"/>
      <c r="S25" s="1074"/>
      <c r="T25" s="1074"/>
      <c r="U25" s="1074"/>
      <c r="V25" s="1074"/>
      <c r="W25" s="1074"/>
      <c r="X25" s="493"/>
      <c r="Z25" s="494"/>
      <c r="AA25" s="493"/>
      <c r="AB25" s="493"/>
      <c r="AC25" s="493"/>
      <c r="AD25" s="493"/>
      <c r="AE25" s="493"/>
      <c r="AF25" s="493"/>
      <c r="AJ25" s="495"/>
    </row>
    <row r="26" spans="2:40" s="492" customFormat="1" ht="30">
      <c r="B26" s="491"/>
      <c r="E26" s="496"/>
      <c r="F26" s="496"/>
      <c r="G26" s="496"/>
      <c r="H26" s="496"/>
      <c r="I26" s="496"/>
      <c r="J26" s="496"/>
      <c r="K26" s="496"/>
      <c r="L26" s="496"/>
      <c r="M26" s="496"/>
      <c r="N26" s="497"/>
      <c r="O26" s="498"/>
      <c r="P26" s="498"/>
      <c r="Q26" s="498"/>
      <c r="R26" s="498"/>
      <c r="S26" s="493"/>
      <c r="T26" s="493"/>
      <c r="U26" s="493"/>
      <c r="V26" s="493"/>
      <c r="W26" s="493"/>
      <c r="X26" s="493"/>
      <c r="Z26" s="494"/>
      <c r="AA26" s="493"/>
      <c r="AB26" s="493"/>
      <c r="AC26" s="493"/>
      <c r="AD26" s="493"/>
      <c r="AE26" s="493"/>
      <c r="AF26" s="493"/>
      <c r="AJ26" s="495"/>
    </row>
    <row r="27" spans="2:40" s="492" customFormat="1" ht="30">
      <c r="B27" s="491"/>
      <c r="C27" s="1073" t="s">
        <v>404</v>
      </c>
      <c r="D27" s="1072"/>
      <c r="E27" s="1072"/>
      <c r="F27" s="1072"/>
      <c r="G27" s="1072"/>
      <c r="H27" s="1072"/>
      <c r="I27" s="1072"/>
      <c r="J27" s="1072"/>
      <c r="K27" s="1072"/>
      <c r="L27" s="1072"/>
      <c r="M27" s="1072"/>
      <c r="N27" s="1074">
        <f>Hatch!U21</f>
        <v>141253</v>
      </c>
      <c r="O27" s="1074"/>
      <c r="P27" s="1074"/>
      <c r="Q27" s="1074"/>
      <c r="R27" s="1074"/>
      <c r="S27" s="1074"/>
      <c r="T27" s="1074"/>
      <c r="U27" s="1074"/>
      <c r="V27" s="1074"/>
      <c r="W27" s="1074"/>
      <c r="X27" s="493"/>
      <c r="Z27" s="499"/>
      <c r="AA27" s="464"/>
      <c r="AB27" s="464"/>
      <c r="AC27" s="499"/>
      <c r="AD27" s="499"/>
      <c r="AE27" s="499"/>
      <c r="AF27" s="499"/>
      <c r="AJ27" s="495"/>
    </row>
    <row r="28" spans="2:40" s="492" customFormat="1" ht="30">
      <c r="B28" s="491"/>
      <c r="C28" s="1073" t="s">
        <v>408</v>
      </c>
      <c r="D28" s="1073"/>
      <c r="E28" s="1073"/>
      <c r="F28" s="1073"/>
      <c r="G28" s="1073"/>
      <c r="H28" s="1073"/>
      <c r="I28" s="1073"/>
      <c r="J28" s="1073"/>
      <c r="K28" s="1073"/>
      <c r="L28" s="1073"/>
      <c r="M28" s="1073"/>
      <c r="N28" s="1074">
        <f>Hatch!U22</f>
        <v>107179</v>
      </c>
      <c r="O28" s="1074"/>
      <c r="P28" s="1074"/>
      <c r="Q28" s="1074"/>
      <c r="R28" s="1074"/>
      <c r="S28" s="1074"/>
      <c r="T28" s="1074"/>
      <c r="U28" s="1074"/>
      <c r="V28" s="1074"/>
      <c r="W28" s="1074"/>
      <c r="X28" s="493"/>
      <c r="Z28" s="499"/>
      <c r="AA28" s="464"/>
      <c r="AB28" s="464"/>
      <c r="AC28" s="499"/>
      <c r="AD28" s="499"/>
      <c r="AE28" s="499"/>
      <c r="AF28" s="499"/>
      <c r="AJ28" s="495"/>
    </row>
    <row r="29" spans="2:40" s="492" customFormat="1" ht="30.75" thickBot="1">
      <c r="B29" s="491"/>
      <c r="C29" s="1073"/>
      <c r="D29" s="1073"/>
      <c r="E29" s="1073"/>
      <c r="F29" s="1073"/>
      <c r="G29" s="1073"/>
      <c r="H29" s="1073"/>
      <c r="I29" s="1073"/>
      <c r="J29" s="1073"/>
      <c r="K29" s="1073"/>
      <c r="L29" s="1073"/>
      <c r="M29" s="1073"/>
      <c r="N29" s="743"/>
      <c r="O29" s="743"/>
      <c r="P29" s="1075"/>
      <c r="Q29" s="1075"/>
      <c r="R29" s="1075"/>
      <c r="S29" s="1075"/>
      <c r="T29" s="1075"/>
      <c r="U29" s="1075"/>
      <c r="V29" s="1075"/>
      <c r="W29" s="743"/>
      <c r="X29" s="493"/>
      <c r="Z29" s="499"/>
      <c r="AA29" s="464"/>
      <c r="AB29" s="464"/>
      <c r="AC29" s="499"/>
      <c r="AD29" s="499"/>
      <c r="AE29" s="499"/>
      <c r="AF29" s="499"/>
      <c r="AJ29" s="495"/>
    </row>
    <row r="30" spans="2:40" ht="33.6" customHeight="1">
      <c r="B30" s="502"/>
      <c r="C30" s="711"/>
      <c r="D30" s="712"/>
      <c r="E30" s="712"/>
      <c r="F30" s="712"/>
      <c r="G30" s="712"/>
      <c r="H30" s="1082" t="s">
        <v>399</v>
      </c>
      <c r="I30" s="1082"/>
      <c r="J30" s="1082"/>
      <c r="K30" s="1082"/>
      <c r="L30" s="712"/>
      <c r="M30" s="712"/>
      <c r="O30" s="744"/>
      <c r="P30" s="1076">
        <f>SUM(N27:W29)</f>
        <v>248432</v>
      </c>
      <c r="Q30" s="1076"/>
      <c r="R30" s="1076"/>
      <c r="S30" s="1076"/>
      <c r="T30" s="1076"/>
      <c r="U30" s="1076"/>
      <c r="V30" s="1076"/>
      <c r="W30" s="490"/>
      <c r="X30" s="490"/>
      <c r="Z30" s="501"/>
      <c r="AA30" s="445"/>
      <c r="AB30" s="445"/>
      <c r="AC30" s="501"/>
      <c r="AD30" s="501"/>
      <c r="AE30" s="501"/>
      <c r="AF30" s="501"/>
      <c r="AJ30" s="479"/>
    </row>
    <row r="31" spans="2:40" ht="8.4499999999999993" customHeight="1">
      <c r="B31" s="500"/>
      <c r="C31" s="1078"/>
      <c r="D31" s="1079"/>
      <c r="E31" s="1079"/>
      <c r="F31" s="1079"/>
      <c r="G31" s="1079"/>
      <c r="H31" s="1079"/>
      <c r="I31" s="1079"/>
      <c r="J31" s="1079"/>
      <c r="K31" s="1079"/>
      <c r="L31" s="1079"/>
      <c r="M31" s="1079"/>
      <c r="N31" s="1069"/>
      <c r="O31" s="1070"/>
      <c r="P31" s="1070"/>
      <c r="Q31" s="1070"/>
      <c r="R31" s="1070"/>
      <c r="S31" s="490"/>
      <c r="T31" s="490"/>
      <c r="U31" s="490"/>
      <c r="V31" s="490"/>
      <c r="W31" s="490"/>
      <c r="X31" s="490"/>
      <c r="Z31" s="501"/>
      <c r="AA31" s="445"/>
      <c r="AB31" s="445"/>
      <c r="AC31" s="501"/>
      <c r="AD31" s="501"/>
      <c r="AE31" s="501"/>
      <c r="AF31" s="501"/>
      <c r="AJ31" s="479"/>
    </row>
    <row r="32" spans="2:40" ht="14.25" customHeight="1">
      <c r="B32" s="503"/>
      <c r="C32" s="504"/>
      <c r="D32" s="505"/>
      <c r="E32" s="1068"/>
      <c r="F32" s="1068"/>
      <c r="G32" s="1068"/>
      <c r="H32" s="1068"/>
      <c r="I32" s="1068"/>
      <c r="J32" s="1068"/>
      <c r="K32" s="1068"/>
      <c r="L32" s="1068"/>
      <c r="M32" s="1068"/>
      <c r="N32" s="1080"/>
      <c r="O32" s="1080"/>
      <c r="P32" s="1080"/>
      <c r="Q32" s="1080"/>
      <c r="R32" s="1080"/>
      <c r="S32" s="490"/>
      <c r="T32" s="490"/>
      <c r="U32" s="490"/>
      <c r="V32" s="490"/>
      <c r="W32" s="490"/>
      <c r="X32" s="490"/>
      <c r="Z32" s="501"/>
      <c r="AA32" s="445"/>
      <c r="AB32" s="445"/>
      <c r="AC32" s="501"/>
      <c r="AD32" s="501"/>
      <c r="AE32" s="501"/>
      <c r="AF32" s="501"/>
      <c r="AJ32" s="479"/>
    </row>
    <row r="33" spans="2:36" ht="14.25" customHeight="1">
      <c r="B33" s="478"/>
      <c r="D33" s="474"/>
      <c r="E33" s="1068"/>
      <c r="F33" s="1068"/>
      <c r="G33" s="1068"/>
      <c r="H33" s="1068"/>
      <c r="I33" s="1068"/>
      <c r="J33" s="1068"/>
      <c r="K33" s="1068"/>
      <c r="L33" s="1068"/>
      <c r="M33" s="1068"/>
      <c r="N33" s="1080"/>
      <c r="O33" s="1080"/>
      <c r="P33" s="1080"/>
      <c r="Q33" s="1080"/>
      <c r="R33" s="1080"/>
      <c r="S33" s="490"/>
      <c r="T33" s="490"/>
      <c r="U33" s="490"/>
      <c r="V33" s="490"/>
      <c r="W33" s="490"/>
      <c r="X33" s="490"/>
      <c r="Z33" s="501"/>
      <c r="AA33" s="445"/>
      <c r="AB33" s="445"/>
      <c r="AC33" s="501"/>
      <c r="AD33" s="501"/>
      <c r="AE33" s="501"/>
      <c r="AF33" s="501"/>
      <c r="AJ33" s="479"/>
    </row>
    <row r="34" spans="2:36" ht="18">
      <c r="B34" s="506"/>
      <c r="C34" s="490"/>
      <c r="D34" s="507"/>
      <c r="E34" s="1068"/>
      <c r="F34" s="1068"/>
      <c r="G34" s="1068"/>
      <c r="H34" s="1068"/>
      <c r="I34" s="1068"/>
      <c r="J34" s="1068"/>
      <c r="K34" s="1068"/>
      <c r="L34" s="1068"/>
      <c r="M34" s="1068"/>
      <c r="N34" s="1069"/>
      <c r="O34" s="1070"/>
      <c r="P34" s="1070"/>
      <c r="Q34" s="1070"/>
      <c r="R34" s="1070"/>
      <c r="S34" s="490"/>
      <c r="T34" s="490"/>
      <c r="U34" s="490"/>
      <c r="V34" s="490"/>
      <c r="W34" s="490"/>
      <c r="X34" s="490"/>
      <c r="Z34" s="501"/>
      <c r="AA34" s="445"/>
      <c r="AB34" s="445"/>
      <c r="AC34" s="501"/>
      <c r="AD34" s="501"/>
      <c r="AE34" s="501"/>
      <c r="AF34" s="501"/>
      <c r="AJ34" s="479"/>
    </row>
    <row r="35" spans="2:36" ht="18">
      <c r="B35" s="478"/>
      <c r="D35" s="474"/>
      <c r="E35" s="1068"/>
      <c r="F35" s="1068"/>
      <c r="G35" s="1068"/>
      <c r="H35" s="1068"/>
      <c r="I35" s="1068"/>
      <c r="J35" s="1068"/>
      <c r="K35" s="1068"/>
      <c r="L35" s="1068"/>
      <c r="M35" s="1068"/>
      <c r="N35" s="508"/>
      <c r="S35" s="490"/>
      <c r="T35" s="490"/>
      <c r="U35" s="490"/>
      <c r="V35" s="490"/>
      <c r="W35" s="490"/>
      <c r="X35" s="490"/>
      <c r="Z35" s="501"/>
      <c r="AA35" s="445"/>
      <c r="AB35" s="445"/>
      <c r="AC35" s="501"/>
      <c r="AD35" s="501"/>
      <c r="AE35" s="501"/>
      <c r="AF35" s="501"/>
      <c r="AJ35" s="479"/>
    </row>
    <row r="36" spans="2:36" ht="14.25" customHeight="1">
      <c r="B36" s="478"/>
      <c r="D36" s="474"/>
      <c r="E36" s="1068"/>
      <c r="F36" s="1068"/>
      <c r="G36" s="1068"/>
      <c r="H36" s="1068"/>
      <c r="I36" s="1068"/>
      <c r="J36" s="1068"/>
      <c r="K36" s="1068"/>
      <c r="L36" s="1068"/>
      <c r="M36" s="1068"/>
      <c r="N36" s="508"/>
      <c r="P36" s="509"/>
      <c r="S36" s="490"/>
      <c r="T36" s="490"/>
      <c r="U36" s="490"/>
      <c r="V36" s="490"/>
      <c r="W36" s="490"/>
      <c r="X36" s="490"/>
      <c r="Z36" s="501"/>
      <c r="AA36" s="445"/>
      <c r="AB36" s="445"/>
      <c r="AC36" s="501"/>
      <c r="AD36" s="501"/>
      <c r="AE36" s="501"/>
      <c r="AF36" s="501"/>
      <c r="AJ36" s="479"/>
    </row>
    <row r="37" spans="2:36" s="511" customFormat="1" ht="20.45" customHeight="1">
      <c r="B37" s="510"/>
      <c r="D37" s="512"/>
      <c r="H37" s="513"/>
      <c r="K37" s="730"/>
      <c r="L37" s="730"/>
      <c r="M37" s="730"/>
      <c r="N37" s="730"/>
      <c r="O37" s="730"/>
      <c r="P37" s="730"/>
      <c r="Q37" s="730"/>
      <c r="S37" s="514"/>
      <c r="T37" s="514"/>
      <c r="U37" s="514"/>
      <c r="V37" s="514"/>
      <c r="W37" s="514"/>
      <c r="X37" s="514"/>
      <c r="Z37" s="1071" t="s">
        <v>431</v>
      </c>
      <c r="AA37" s="1071"/>
      <c r="AB37" s="1071"/>
      <c r="AC37" s="1071"/>
      <c r="AD37" s="1071"/>
      <c r="AE37" s="1071"/>
      <c r="AF37" s="1071"/>
      <c r="AG37" s="1071"/>
      <c r="AH37" s="1071"/>
      <c r="AJ37" s="515"/>
    </row>
    <row r="38" spans="2:36" s="511" customFormat="1" ht="25.15" customHeight="1">
      <c r="B38" s="510"/>
      <c r="D38" s="512"/>
      <c r="E38" s="516"/>
      <c r="H38" s="513"/>
      <c r="K38" s="1077"/>
      <c r="L38" s="1077"/>
      <c r="M38" s="1077"/>
      <c r="N38" s="1077"/>
      <c r="O38" s="1077"/>
      <c r="P38" s="1077"/>
      <c r="Q38" s="1077"/>
      <c r="S38" s="514"/>
      <c r="T38" s="514"/>
      <c r="U38" s="514"/>
      <c r="V38" s="514"/>
      <c r="W38" s="514"/>
      <c r="X38" s="514"/>
      <c r="Z38" s="517"/>
      <c r="AA38" s="1077" t="s">
        <v>325</v>
      </c>
      <c r="AB38" s="1077"/>
      <c r="AC38" s="1077"/>
      <c r="AD38" s="1077"/>
      <c r="AE38" s="1077"/>
      <c r="AF38" s="1077"/>
      <c r="AG38" s="1077"/>
      <c r="AJ38" s="515"/>
    </row>
    <row r="39" spans="2:36" s="519" customFormat="1" ht="14.25" customHeight="1">
      <c r="B39" s="518"/>
      <c r="D39" s="520"/>
      <c r="E39" s="521"/>
      <c r="H39" s="522"/>
      <c r="K39" s="463"/>
      <c r="L39" s="463"/>
      <c r="M39" s="463"/>
      <c r="N39" s="463"/>
      <c r="O39" s="463"/>
      <c r="P39" s="463"/>
      <c r="Q39" s="463"/>
      <c r="S39" s="523"/>
      <c r="T39" s="523"/>
      <c r="U39" s="523"/>
      <c r="V39" s="523"/>
      <c r="W39" s="523"/>
      <c r="X39" s="523"/>
      <c r="Z39" s="469"/>
      <c r="AA39" s="463"/>
      <c r="AB39" s="463"/>
      <c r="AC39" s="463"/>
      <c r="AD39" s="463"/>
      <c r="AE39" s="463"/>
      <c r="AF39" s="463"/>
      <c r="AG39" s="463"/>
      <c r="AJ39" s="524"/>
    </row>
    <row r="40" spans="2:36" ht="14.25" customHeight="1">
      <c r="B40" s="478"/>
      <c r="D40" s="474"/>
      <c r="E40" s="509"/>
      <c r="H40" s="508"/>
      <c r="K40" s="508"/>
      <c r="N40" s="508"/>
      <c r="P40" s="509"/>
      <c r="S40" s="490"/>
      <c r="T40" s="490"/>
      <c r="U40" s="490"/>
      <c r="V40" s="490"/>
      <c r="W40" s="490"/>
      <c r="X40" s="490"/>
      <c r="Z40" s="501"/>
      <c r="AA40" s="446"/>
      <c r="AB40" s="446"/>
      <c r="AC40" s="446"/>
      <c r="AD40" s="446"/>
      <c r="AE40" s="446"/>
      <c r="AF40" s="446"/>
      <c r="AG40" s="446"/>
      <c r="AJ40" s="479"/>
    </row>
    <row r="41" spans="2:36" ht="14.25" customHeight="1">
      <c r="B41" s="478"/>
      <c r="D41" s="474"/>
      <c r="H41" s="508"/>
      <c r="K41" s="508"/>
      <c r="N41" s="508"/>
      <c r="S41" s="490"/>
      <c r="T41" s="490"/>
      <c r="U41" s="490"/>
      <c r="V41" s="490"/>
      <c r="W41" s="490"/>
      <c r="X41" s="490"/>
      <c r="Z41" s="501"/>
      <c r="AA41" s="447"/>
      <c r="AB41" s="447"/>
      <c r="AC41" s="447"/>
      <c r="AD41" s="447"/>
      <c r="AE41" s="447"/>
      <c r="AF41" s="447"/>
      <c r="AJ41" s="479"/>
    </row>
    <row r="42" spans="2:36" ht="14.25" customHeight="1" thickBot="1">
      <c r="B42" s="525"/>
      <c r="C42" s="526"/>
      <c r="D42" s="527"/>
      <c r="E42" s="528"/>
      <c r="F42" s="526"/>
      <c r="G42" s="526"/>
      <c r="H42" s="529"/>
      <c r="I42" s="526"/>
      <c r="J42" s="526"/>
      <c r="K42" s="529"/>
      <c r="L42" s="526"/>
      <c r="M42" s="526"/>
      <c r="N42" s="529"/>
      <c r="O42" s="526"/>
      <c r="P42" s="528"/>
      <c r="Q42" s="526"/>
      <c r="R42" s="526"/>
      <c r="S42" s="530"/>
      <c r="T42" s="530"/>
      <c r="U42" s="530"/>
      <c r="V42" s="530"/>
      <c r="W42" s="530"/>
      <c r="X42" s="530"/>
      <c r="Y42" s="526"/>
      <c r="Z42" s="531"/>
      <c r="AA42" s="448"/>
      <c r="AB42" s="448"/>
      <c r="AC42" s="531"/>
      <c r="AD42" s="531"/>
      <c r="AE42" s="531"/>
      <c r="AF42" s="531"/>
      <c r="AG42" s="526"/>
      <c r="AH42" s="526"/>
      <c r="AI42" s="526"/>
      <c r="AJ42" s="532"/>
    </row>
    <row r="43" spans="2:36" ht="14.25" customHeight="1">
      <c r="D43" s="474"/>
      <c r="H43" s="508"/>
      <c r="K43" s="508"/>
      <c r="N43" s="508"/>
      <c r="S43" s="490"/>
      <c r="T43" s="490"/>
      <c r="U43" s="490"/>
      <c r="V43" s="490"/>
      <c r="W43" s="490"/>
      <c r="X43" s="490"/>
      <c r="Z43" s="501"/>
      <c r="AA43" s="445"/>
      <c r="AB43" s="445"/>
      <c r="AC43" s="501"/>
      <c r="AD43" s="501"/>
      <c r="AE43" s="501"/>
      <c r="AF43" s="501"/>
    </row>
    <row r="44" spans="2:36" ht="14.25" customHeight="1">
      <c r="D44" s="474"/>
      <c r="E44" s="509"/>
      <c r="H44" s="533"/>
      <c r="K44" s="533"/>
      <c r="N44" s="533"/>
      <c r="P44" s="509"/>
      <c r="S44" s="490"/>
      <c r="T44" s="490"/>
      <c r="U44" s="490"/>
      <c r="V44" s="490"/>
      <c r="W44" s="490"/>
      <c r="X44" s="490"/>
      <c r="Z44" s="534"/>
      <c r="AA44" s="449"/>
      <c r="AB44" s="449"/>
      <c r="AC44" s="534"/>
      <c r="AD44" s="501"/>
      <c r="AE44" s="501"/>
      <c r="AF44" s="501"/>
    </row>
    <row r="45" spans="2:36" ht="14.25" customHeight="1">
      <c r="S45" s="490"/>
      <c r="T45" s="490"/>
      <c r="U45" s="490"/>
      <c r="V45" s="490"/>
      <c r="W45" s="490"/>
      <c r="X45" s="490"/>
      <c r="Z45" s="534"/>
      <c r="AA45" s="449"/>
      <c r="AB45" s="449"/>
      <c r="AC45" s="534"/>
      <c r="AD45" s="501"/>
      <c r="AE45" s="501"/>
      <c r="AF45" s="501"/>
    </row>
    <row r="46" spans="2:36">
      <c r="T46" s="535"/>
      <c r="W46" s="535"/>
      <c r="X46" s="450"/>
      <c r="Z46" s="535"/>
      <c r="AA46" s="450"/>
      <c r="AB46" s="450"/>
      <c r="AC46" s="535"/>
      <c r="AD46" s="535"/>
      <c r="AE46" s="535"/>
      <c r="AF46" s="535"/>
    </row>
    <row r="47" spans="2:36">
      <c r="T47" s="535"/>
      <c r="W47" s="535"/>
      <c r="X47" s="450"/>
      <c r="Z47" s="535"/>
      <c r="AA47" s="450"/>
      <c r="AB47" s="450"/>
      <c r="AC47" s="535"/>
      <c r="AD47" s="535"/>
      <c r="AE47" s="535"/>
      <c r="AF47" s="535"/>
    </row>
    <row r="48" spans="2:36">
      <c r="S48" s="508"/>
      <c r="T48" s="535"/>
      <c r="V48" s="508"/>
      <c r="W48" s="535"/>
      <c r="X48" s="450"/>
      <c r="Y48" s="508"/>
      <c r="Z48" s="535"/>
      <c r="AA48" s="450"/>
      <c r="AB48" s="450"/>
      <c r="AC48" s="535"/>
      <c r="AD48" s="535"/>
      <c r="AE48" s="535"/>
      <c r="AF48" s="535"/>
    </row>
    <row r="49" spans="4:29" ht="15">
      <c r="D49" s="1083"/>
      <c r="E49" s="1083"/>
      <c r="F49" s="1083"/>
      <c r="G49" s="1083"/>
      <c r="H49" s="1083"/>
      <c r="I49" s="1083"/>
      <c r="J49" s="1083"/>
      <c r="K49" s="1083"/>
      <c r="L49" s="1083"/>
      <c r="M49" s="1083"/>
      <c r="S49" s="508"/>
      <c r="V49" s="508"/>
      <c r="Y49" s="508"/>
      <c r="Z49" s="1083"/>
      <c r="AA49" s="1083"/>
      <c r="AB49" s="1083"/>
      <c r="AC49" s="1083"/>
    </row>
    <row r="50" spans="4:29">
      <c r="D50" s="1084"/>
      <c r="E50" s="1084"/>
      <c r="F50" s="1084"/>
      <c r="G50" s="1084"/>
      <c r="H50" s="1084"/>
      <c r="I50" s="1084"/>
      <c r="J50" s="1084"/>
      <c r="K50" s="1084"/>
      <c r="L50" s="1084"/>
      <c r="M50" s="1084"/>
      <c r="Z50" s="1084"/>
      <c r="AA50" s="1084"/>
      <c r="AB50" s="1084"/>
      <c r="AC50" s="1084"/>
    </row>
    <row r="51" spans="4:29">
      <c r="D51" s="1081"/>
      <c r="E51" s="1081"/>
      <c r="F51" s="1081"/>
      <c r="G51" s="1081"/>
      <c r="H51" s="1081"/>
      <c r="I51" s="1081"/>
      <c r="J51" s="1081"/>
      <c r="K51" s="1081"/>
      <c r="L51" s="1081"/>
      <c r="M51" s="1081"/>
      <c r="Z51" s="1081"/>
      <c r="AA51" s="1081"/>
      <c r="AB51" s="1081"/>
      <c r="AC51" s="1081"/>
    </row>
  </sheetData>
  <sheetProtection sheet="1" selectLockedCells="1"/>
  <mergeCells count="77">
    <mergeCell ref="D51:M51"/>
    <mergeCell ref="Z51:AC51"/>
    <mergeCell ref="J13:K13"/>
    <mergeCell ref="I16:K16"/>
    <mergeCell ref="I17:K17"/>
    <mergeCell ref="I18:K22"/>
    <mergeCell ref="G13:H13"/>
    <mergeCell ref="F16:H16"/>
    <mergeCell ref="F17:H17"/>
    <mergeCell ref="F18:H22"/>
    <mergeCell ref="H30:K30"/>
    <mergeCell ref="D49:M49"/>
    <mergeCell ref="Z49:AC49"/>
    <mergeCell ref="D50:M50"/>
    <mergeCell ref="Z50:AC50"/>
    <mergeCell ref="AA38:AG38"/>
    <mergeCell ref="K38:Q38"/>
    <mergeCell ref="C31:M31"/>
    <mergeCell ref="N31:R31"/>
    <mergeCell ref="E32:M32"/>
    <mergeCell ref="N32:R33"/>
    <mergeCell ref="E33:M33"/>
    <mergeCell ref="Z37:AH37"/>
    <mergeCell ref="E25:M25"/>
    <mergeCell ref="C27:M27"/>
    <mergeCell ref="C29:M29"/>
    <mergeCell ref="N25:W25"/>
    <mergeCell ref="N27:W27"/>
    <mergeCell ref="C28:M28"/>
    <mergeCell ref="N28:W28"/>
    <mergeCell ref="P29:V29"/>
    <mergeCell ref="P30:V30"/>
    <mergeCell ref="E34:M34"/>
    <mergeCell ref="N34:R34"/>
    <mergeCell ref="E35:M35"/>
    <mergeCell ref="E36:M36"/>
    <mergeCell ref="AB18:AD22"/>
    <mergeCell ref="AE18:AG22"/>
    <mergeCell ref="AH19:AI19"/>
    <mergeCell ref="AH20:AI20"/>
    <mergeCell ref="E24:M24"/>
    <mergeCell ref="N24:R24"/>
    <mergeCell ref="L18:N22"/>
    <mergeCell ref="O18:Q22"/>
    <mergeCell ref="R18:T22"/>
    <mergeCell ref="U18:X22"/>
    <mergeCell ref="Y18:AA22"/>
    <mergeCell ref="L17:N17"/>
    <mergeCell ref="U17:X17"/>
    <mergeCell ref="Y17:AA17"/>
    <mergeCell ref="AB17:AD17"/>
    <mergeCell ref="AE17:AG17"/>
    <mergeCell ref="AE16:AG16"/>
    <mergeCell ref="M13:N13"/>
    <mergeCell ref="P13:Q13"/>
    <mergeCell ref="S13:T13"/>
    <mergeCell ref="V13:W13"/>
    <mergeCell ref="Y13:Z13"/>
    <mergeCell ref="O16:Q16"/>
    <mergeCell ref="R16:T16"/>
    <mergeCell ref="U16:X16"/>
    <mergeCell ref="Y16:AA16"/>
    <mergeCell ref="AB16:AD16"/>
    <mergeCell ref="AB13:AC13"/>
    <mergeCell ref="AE13:AF13"/>
    <mergeCell ref="L16:N16"/>
    <mergeCell ref="B3:AJ3"/>
    <mergeCell ref="B4:AJ4"/>
    <mergeCell ref="AG5:AJ5"/>
    <mergeCell ref="AB5:AF5"/>
    <mergeCell ref="E5:H5"/>
    <mergeCell ref="B5:D5"/>
    <mergeCell ref="AG6:AJ6"/>
    <mergeCell ref="B8:AJ9"/>
    <mergeCell ref="AB6:AF6"/>
    <mergeCell ref="E6:H6"/>
    <mergeCell ref="B6:D6"/>
  </mergeCells>
  <printOptions horizontalCentered="1"/>
  <pageMargins left="0.5" right="0.25" top="0.75" bottom="0.75" header="0.3" footer="0.3"/>
  <pageSetup paperSize="9" scale="61" orientation="landscape" horizontalDpi="4294967293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D28"/>
  <sheetViews>
    <sheetView showGridLines="0" workbookViewId="0">
      <selection activeCell="G13" sqref="G13"/>
    </sheetView>
  </sheetViews>
  <sheetFormatPr defaultColWidth="7.875" defaultRowHeight="23.25"/>
  <cols>
    <col min="1" max="2" width="7.875" style="538"/>
    <col min="3" max="3" width="9.75" style="538" customWidth="1"/>
    <col min="4" max="4" width="7" style="538" customWidth="1"/>
    <col min="5" max="5" width="8.625" style="538" customWidth="1"/>
    <col min="6" max="6" width="9.25" style="538" customWidth="1"/>
    <col min="7" max="7" width="8.625" style="538" customWidth="1"/>
    <col min="8" max="8" width="7.875" style="538" customWidth="1"/>
    <col min="9" max="9" width="10.375" style="538" customWidth="1"/>
    <col min="10" max="14" width="10.375" style="536" customWidth="1"/>
    <col min="15" max="15" width="10.375" style="539" customWidth="1"/>
    <col min="16" max="16" width="10.375" style="538" customWidth="1"/>
    <col min="17" max="19" width="7.875" style="538"/>
    <col min="20" max="20" width="9.75" style="538" bestFit="1" customWidth="1"/>
    <col min="21" max="23" width="7.875" style="538"/>
    <col min="24" max="24" width="9.25" style="538" customWidth="1"/>
    <col min="25" max="30" width="9.25" style="536" customWidth="1"/>
    <col min="31" max="31" width="9.25" style="538" customWidth="1"/>
    <col min="32" max="16384" width="7.875" style="538"/>
  </cols>
  <sheetData>
    <row r="1" spans="2:15" ht="22.15" customHeight="1" thickBot="1"/>
    <row r="2" spans="2:15" ht="22.15" customHeight="1">
      <c r="B2" s="1085" t="s">
        <v>348</v>
      </c>
      <c r="C2" s="1086"/>
      <c r="D2" s="1086"/>
      <c r="E2" s="1086"/>
      <c r="F2" s="1086"/>
      <c r="G2" s="1086"/>
      <c r="H2" s="1087"/>
    </row>
    <row r="3" spans="2:15" ht="22.15" customHeight="1" thickBot="1">
      <c r="B3" s="540"/>
      <c r="E3" s="541" t="s">
        <v>349</v>
      </c>
      <c r="H3" s="542"/>
    </row>
    <row r="4" spans="2:15" ht="22.15" customHeight="1" thickBot="1">
      <c r="B4" s="540"/>
      <c r="C4" s="538" t="s">
        <v>350</v>
      </c>
      <c r="D4" s="543" t="s">
        <v>224</v>
      </c>
      <c r="E4" s="544">
        <v>0.12</v>
      </c>
      <c r="F4" s="538" t="s">
        <v>351</v>
      </c>
      <c r="H4" s="542"/>
      <c r="J4" s="545">
        <f>TAN(RADIANS(E4))*E7</f>
        <v>0.11309750089633167</v>
      </c>
      <c r="K4" s="546"/>
      <c r="L4" s="546">
        <f>J4*100</f>
        <v>11.309750089633166</v>
      </c>
      <c r="M4" s="547"/>
      <c r="N4" s="547">
        <f>ROUND(L4,0)</f>
        <v>11</v>
      </c>
      <c r="O4" s="548" t="str">
        <f>D4</f>
        <v>S</v>
      </c>
    </row>
    <row r="5" spans="2:15" ht="22.15" customHeight="1">
      <c r="B5" s="540"/>
      <c r="D5" s="549" t="str">
        <f>D4</f>
        <v>S</v>
      </c>
      <c r="E5" s="550">
        <f>J4</f>
        <v>0.11309750089633167</v>
      </c>
      <c r="F5" s="538" t="s">
        <v>352</v>
      </c>
      <c r="H5" s="542"/>
      <c r="J5" s="551">
        <f>J4*E7</f>
        <v>6.10726504840191</v>
      </c>
      <c r="K5" s="539"/>
      <c r="L5" s="539"/>
      <c r="O5" s="552"/>
    </row>
    <row r="6" spans="2:15" ht="22.15" customHeight="1">
      <c r="B6" s="540"/>
      <c r="H6" s="542"/>
      <c r="J6" s="553"/>
      <c r="O6" s="552"/>
    </row>
    <row r="7" spans="2:15" ht="22.15" customHeight="1">
      <c r="B7" s="540"/>
      <c r="C7" s="537" t="s">
        <v>353</v>
      </c>
      <c r="D7" s="538" t="s">
        <v>307</v>
      </c>
      <c r="E7" s="554">
        <v>54</v>
      </c>
      <c r="F7" s="538" t="s">
        <v>354</v>
      </c>
      <c r="H7" s="542"/>
      <c r="J7" s="553"/>
      <c r="O7" s="552"/>
    </row>
    <row r="8" spans="2:15" ht="22.15" customHeight="1">
      <c r="B8" s="540"/>
      <c r="H8" s="542"/>
      <c r="J8" s="553"/>
      <c r="O8" s="552"/>
    </row>
    <row r="9" spans="2:15" ht="22.15" customHeight="1">
      <c r="B9" s="540"/>
      <c r="F9" s="538" t="s">
        <v>52</v>
      </c>
      <c r="H9" s="542"/>
      <c r="J9" s="553"/>
      <c r="O9" s="552"/>
    </row>
    <row r="10" spans="2:15" ht="22.15" customHeight="1" thickBot="1">
      <c r="B10" s="540"/>
      <c r="E10" s="538" t="s">
        <v>355</v>
      </c>
      <c r="G10" s="538" t="s">
        <v>356</v>
      </c>
      <c r="H10" s="542"/>
      <c r="J10" s="553"/>
      <c r="O10" s="552"/>
    </row>
    <row r="11" spans="2:15" ht="22.15" customHeight="1" thickBot="1">
      <c r="B11" s="540"/>
      <c r="C11" s="538" t="s">
        <v>357</v>
      </c>
      <c r="D11" s="538" t="s">
        <v>307</v>
      </c>
      <c r="E11" s="555">
        <f>O11</f>
        <v>9.3170000000000002</v>
      </c>
      <c r="G11" s="556">
        <v>9.35</v>
      </c>
      <c r="H11" s="542"/>
      <c r="J11" s="557">
        <v>0.3</v>
      </c>
      <c r="L11" s="539">
        <f>(N$4*J11)/100</f>
        <v>3.3000000000000002E-2</v>
      </c>
      <c r="M11" s="539"/>
      <c r="N11" s="539">
        <f>G11-L11</f>
        <v>9.3170000000000002</v>
      </c>
      <c r="O11" s="552">
        <f>IF(D$4="S",G11-L11,G11+L11)</f>
        <v>9.3170000000000002</v>
      </c>
    </row>
    <row r="12" spans="2:15" ht="22.15" customHeight="1" thickBot="1">
      <c r="B12" s="540"/>
      <c r="C12" s="538" t="s">
        <v>9</v>
      </c>
      <c r="D12" s="538" t="s">
        <v>307</v>
      </c>
      <c r="E12" s="555">
        <f>O12</f>
        <v>9.66</v>
      </c>
      <c r="G12" s="556">
        <v>9.77</v>
      </c>
      <c r="H12" s="542"/>
      <c r="J12" s="558">
        <f>N4</f>
        <v>11</v>
      </c>
      <c r="L12" s="539">
        <f>J12/100</f>
        <v>0.11</v>
      </c>
      <c r="M12" s="539"/>
      <c r="N12" s="539">
        <f>G12-L12</f>
        <v>9.66</v>
      </c>
      <c r="O12" s="552">
        <f>IF(D$4="S",G12-L12,G12+L12)</f>
        <v>9.66</v>
      </c>
    </row>
    <row r="13" spans="2:15" ht="22.15" customHeight="1" thickBot="1">
      <c r="B13" s="540"/>
      <c r="C13" s="538" t="s">
        <v>11</v>
      </c>
      <c r="D13" s="538" t="s">
        <v>307</v>
      </c>
      <c r="E13" s="555">
        <f>O13</f>
        <v>10.004</v>
      </c>
      <c r="G13" s="556">
        <v>10.07</v>
      </c>
      <c r="H13" s="542"/>
      <c r="J13" s="559">
        <v>0.6</v>
      </c>
      <c r="K13" s="560"/>
      <c r="L13" s="561">
        <f>(N$4*J13)/100</f>
        <v>6.6000000000000003E-2</v>
      </c>
      <c r="M13" s="561"/>
      <c r="N13" s="561">
        <f>G13-L13</f>
        <v>10.004</v>
      </c>
      <c r="O13" s="562">
        <f>IF(D$4="S",G13-L13,G13+L13)</f>
        <v>10.004</v>
      </c>
    </row>
    <row r="14" spans="2:15" ht="22.15" customHeight="1">
      <c r="B14" s="540"/>
      <c r="H14" s="542"/>
    </row>
    <row r="15" spans="2:15" ht="22.15" customHeight="1" thickBot="1">
      <c r="B15" s="540"/>
      <c r="E15" s="563" t="s">
        <v>358</v>
      </c>
      <c r="H15" s="542"/>
      <c r="O15" s="536"/>
    </row>
    <row r="16" spans="2:15" ht="22.15" customHeight="1" thickBot="1">
      <c r="B16" s="540"/>
      <c r="C16" s="538" t="s">
        <v>350</v>
      </c>
      <c r="D16" s="564" t="s">
        <v>411</v>
      </c>
      <c r="E16" s="544">
        <v>0.28999999999999998</v>
      </c>
      <c r="F16" s="538" t="s">
        <v>351</v>
      </c>
      <c r="H16" s="542"/>
      <c r="J16" s="545">
        <f>TAN(RADIANS(E16))*E19</f>
        <v>0.27332089487413663</v>
      </c>
      <c r="K16" s="546"/>
      <c r="L16" s="546">
        <f>J16*100</f>
        <v>27.332089487413665</v>
      </c>
      <c r="M16" s="547"/>
      <c r="N16" s="547">
        <f>ROUND(L16,0)</f>
        <v>27</v>
      </c>
      <c r="O16" s="548" t="str">
        <f>D16</f>
        <v>P</v>
      </c>
    </row>
    <row r="17" spans="2:15" ht="22.15" customHeight="1">
      <c r="B17" s="540"/>
      <c r="D17" s="549" t="str">
        <f>D16</f>
        <v>P</v>
      </c>
      <c r="E17" s="550">
        <f>J16</f>
        <v>0.27332089487413663</v>
      </c>
      <c r="F17" s="538" t="s">
        <v>352</v>
      </c>
      <c r="H17" s="542"/>
      <c r="J17" s="551">
        <f>J16*E19</f>
        <v>14.759328323203379</v>
      </c>
      <c r="K17" s="539"/>
      <c r="L17" s="539"/>
      <c r="O17" s="552"/>
    </row>
    <row r="18" spans="2:15" ht="22.15" customHeight="1">
      <c r="B18" s="540"/>
      <c r="H18" s="542"/>
      <c r="J18" s="553"/>
      <c r="O18" s="552"/>
    </row>
    <row r="19" spans="2:15" ht="22.15" customHeight="1">
      <c r="B19" s="540"/>
      <c r="C19" s="537" t="s">
        <v>353</v>
      </c>
      <c r="D19" s="538" t="s">
        <v>307</v>
      </c>
      <c r="E19" s="554">
        <v>54</v>
      </c>
      <c r="F19" s="538" t="s">
        <v>354</v>
      </c>
      <c r="H19" s="542"/>
      <c r="J19" s="553"/>
      <c r="O19" s="552"/>
    </row>
    <row r="20" spans="2:15" ht="22.15" customHeight="1">
      <c r="B20" s="540"/>
      <c r="H20" s="542"/>
      <c r="J20" s="553"/>
      <c r="O20" s="552"/>
    </row>
    <row r="21" spans="2:15" ht="22.15" customHeight="1">
      <c r="B21" s="540"/>
      <c r="F21" s="538" t="s">
        <v>52</v>
      </c>
      <c r="H21" s="542"/>
      <c r="J21" s="553"/>
      <c r="O21" s="552"/>
    </row>
    <row r="22" spans="2:15" ht="22.15" customHeight="1" thickBot="1">
      <c r="B22" s="540"/>
      <c r="E22" s="538" t="s">
        <v>355</v>
      </c>
      <c r="G22" s="538" t="s">
        <v>356</v>
      </c>
      <c r="H22" s="542"/>
      <c r="J22" s="553"/>
      <c r="O22" s="552"/>
    </row>
    <row r="23" spans="2:15" ht="22.15" customHeight="1" thickBot="1">
      <c r="B23" s="540"/>
      <c r="C23" s="538" t="s">
        <v>357</v>
      </c>
      <c r="D23" s="538" t="s">
        <v>307</v>
      </c>
      <c r="E23" s="565">
        <v>8.86</v>
      </c>
      <c r="G23" s="566">
        <f>O23</f>
        <v>8.7789999999999999</v>
      </c>
      <c r="H23" s="542"/>
      <c r="J23" s="557">
        <v>0.3</v>
      </c>
      <c r="L23" s="539">
        <f>(N$16*J23)/100</f>
        <v>8.1000000000000003E-2</v>
      </c>
      <c r="M23" s="539"/>
      <c r="N23" s="539">
        <f>G23-L23</f>
        <v>8.6980000000000004</v>
      </c>
      <c r="O23" s="552">
        <f>IF(D$16="P",E23-L23,E23+L23)</f>
        <v>8.7789999999999999</v>
      </c>
    </row>
    <row r="24" spans="2:15" ht="22.15" customHeight="1" thickBot="1">
      <c r="B24" s="540"/>
      <c r="C24" s="538" t="s">
        <v>9</v>
      </c>
      <c r="D24" s="538" t="s">
        <v>307</v>
      </c>
      <c r="E24" s="565">
        <v>9.73</v>
      </c>
      <c r="G24" s="566">
        <f>O24</f>
        <v>9.4600000000000009</v>
      </c>
      <c r="H24" s="542"/>
      <c r="J24" s="558">
        <f>N16</f>
        <v>27</v>
      </c>
      <c r="L24" s="539">
        <f>J24/100</f>
        <v>0.27</v>
      </c>
      <c r="M24" s="539"/>
      <c r="N24" s="539">
        <f>G24-L24</f>
        <v>9.1900000000000013</v>
      </c>
      <c r="O24" s="552">
        <f>IF(D$16="P",E24-L24,E24+L24)</f>
        <v>9.4600000000000009</v>
      </c>
    </row>
    <row r="25" spans="2:15" ht="22.15" customHeight="1" thickBot="1">
      <c r="B25" s="540"/>
      <c r="C25" s="538" t="s">
        <v>11</v>
      </c>
      <c r="D25" s="538" t="s">
        <v>307</v>
      </c>
      <c r="E25" s="565">
        <v>10.28</v>
      </c>
      <c r="G25" s="566">
        <f>O25</f>
        <v>10.117999999999999</v>
      </c>
      <c r="H25" s="542"/>
      <c r="J25" s="559">
        <v>0.6</v>
      </c>
      <c r="K25" s="560"/>
      <c r="L25" s="561">
        <f>(N$16*J25)/100</f>
        <v>0.16200000000000001</v>
      </c>
      <c r="M25" s="561"/>
      <c r="N25" s="561">
        <f>G25-L25</f>
        <v>9.9559999999999977</v>
      </c>
      <c r="O25" s="562">
        <f>IF(D$16="P",E25-L25,E25+L25)</f>
        <v>10.117999999999999</v>
      </c>
    </row>
    <row r="26" spans="2:15" ht="22.15" customHeight="1" thickBot="1">
      <c r="B26" s="567"/>
      <c r="C26" s="568"/>
      <c r="D26" s="568"/>
      <c r="E26" s="568"/>
      <c r="F26" s="568"/>
      <c r="G26" s="568"/>
      <c r="H26" s="569"/>
    </row>
    <row r="27" spans="2:15" ht="22.15" customHeight="1"/>
    <row r="28" spans="2:15" ht="22.15" customHeight="1"/>
  </sheetData>
  <sheetProtection sheet="1" objects="1" scenarios="1" selectLockedCells="1"/>
  <mergeCells count="1">
    <mergeCell ref="B2:H2"/>
  </mergeCells>
  <conditionalFormatting sqref="D4:D5">
    <cfRule type="containsText" dxfId="10" priority="4" operator="containsText" text="S">
      <formula>NOT(ISERROR(SEARCH("S",D4)))</formula>
    </cfRule>
    <cfRule type="containsText" dxfId="9" priority="5" operator="containsText" text="P">
      <formula>NOT(ISERROR(SEARCH("P",D4)))</formula>
    </cfRule>
  </conditionalFormatting>
  <conditionalFormatting sqref="D16:D17">
    <cfRule type="containsText" dxfId="8" priority="1" operator="containsText" text="S">
      <formula>NOT(ISERROR(SEARCH("S",D16)))</formula>
    </cfRule>
    <cfRule type="containsText" dxfId="7" priority="2" operator="containsText" text="P">
      <formula>NOT(ISERROR(SEARCH("P",D16)))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8">
    <pageSetUpPr fitToPage="1"/>
  </sheetPr>
  <dimension ref="B1:J20"/>
  <sheetViews>
    <sheetView showGridLines="0" showRowColHeaders="0" zoomScale="80" zoomScaleNormal="80" workbookViewId="0">
      <selection activeCell="D9" sqref="D9:E9"/>
    </sheetView>
  </sheetViews>
  <sheetFormatPr defaultColWidth="9" defaultRowHeight="12.75"/>
  <cols>
    <col min="1" max="1" width="4.875" style="66" customWidth="1"/>
    <col min="2" max="2" width="4.75" style="66" customWidth="1"/>
    <col min="3" max="6" width="10.125" style="66" customWidth="1"/>
    <col min="7" max="7" width="10.125" style="67" customWidth="1"/>
    <col min="8" max="8" width="16.375" style="66" customWidth="1"/>
    <col min="9" max="9" width="14.75" style="66" customWidth="1"/>
    <col min="10" max="10" width="4.75" style="66" customWidth="1"/>
    <col min="11" max="16384" width="9" style="66"/>
  </cols>
  <sheetData>
    <row r="1" spans="2:10" ht="20.25" customHeight="1">
      <c r="B1" s="55"/>
      <c r="C1" s="53"/>
      <c r="D1" s="53"/>
      <c r="E1" s="53"/>
      <c r="F1" s="53"/>
      <c r="G1" s="178"/>
      <c r="H1" s="53"/>
      <c r="I1" s="53"/>
      <c r="J1" s="56"/>
    </row>
    <row r="2" spans="2:10" ht="20.25" customHeight="1">
      <c r="B2" s="168"/>
      <c r="C2" s="1090" t="s">
        <v>156</v>
      </c>
      <c r="D2" s="1091"/>
      <c r="E2" s="1091"/>
      <c r="F2" s="1091"/>
      <c r="G2" s="1091"/>
      <c r="H2" s="1091"/>
      <c r="I2" s="1092"/>
      <c r="J2" s="179"/>
    </row>
    <row r="3" spans="2:10" ht="20.25" customHeight="1">
      <c r="B3" s="168"/>
      <c r="C3" s="1093"/>
      <c r="D3" s="1094"/>
      <c r="E3" s="1094"/>
      <c r="F3" s="1094"/>
      <c r="G3" s="1094"/>
      <c r="H3" s="1094"/>
      <c r="I3" s="1095"/>
      <c r="J3" s="58"/>
    </row>
    <row r="4" spans="2:10" ht="20.25" customHeight="1">
      <c r="B4" s="168"/>
      <c r="C4" s="1096" t="s">
        <v>189</v>
      </c>
      <c r="D4" s="1097"/>
      <c r="E4" s="1098"/>
      <c r="F4" s="50"/>
      <c r="G4" s="52"/>
      <c r="H4" s="52"/>
      <c r="I4" s="58"/>
      <c r="J4" s="58"/>
    </row>
    <row r="5" spans="2:10" ht="20.25" customHeight="1">
      <c r="B5" s="168"/>
      <c r="C5" s="1099" t="s">
        <v>158</v>
      </c>
      <c r="D5" s="1100"/>
      <c r="E5" s="180">
        <v>1.0229999999999999</v>
      </c>
      <c r="F5" s="51"/>
      <c r="G5" s="52"/>
      <c r="H5" s="52"/>
      <c r="I5" s="58"/>
      <c r="J5" s="58"/>
    </row>
    <row r="6" spans="2:10" ht="20.25" customHeight="1">
      <c r="B6" s="168"/>
      <c r="C6" s="1101" t="s">
        <v>160</v>
      </c>
      <c r="D6" s="1102"/>
      <c r="E6" s="177">
        <v>1.0249999999999999</v>
      </c>
      <c r="F6" s="51"/>
      <c r="G6" s="44"/>
      <c r="H6" s="44"/>
      <c r="I6" s="45"/>
      <c r="J6" s="58"/>
    </row>
    <row r="7" spans="2:10" ht="20.25" customHeight="1">
      <c r="B7" s="168"/>
      <c r="C7" s="47"/>
      <c r="D7" s="48"/>
      <c r="E7" s="48"/>
      <c r="F7" s="44"/>
      <c r="G7" s="46"/>
      <c r="H7" s="59"/>
      <c r="I7" s="45"/>
      <c r="J7" s="58"/>
    </row>
    <row r="8" spans="2:10" ht="28.5" customHeight="1">
      <c r="B8" s="168"/>
      <c r="C8" s="1103" t="s">
        <v>52</v>
      </c>
      <c r="D8" s="1103"/>
      <c r="E8" s="1103"/>
      <c r="F8" s="44"/>
      <c r="G8" s="1104" t="s">
        <v>210</v>
      </c>
      <c r="H8" s="1104"/>
      <c r="I8" s="1104"/>
      <c r="J8" s="58"/>
    </row>
    <row r="9" spans="2:10" ht="28.5" customHeight="1">
      <c r="B9" s="168"/>
      <c r="C9" s="169" t="s">
        <v>157</v>
      </c>
      <c r="D9" s="1088">
        <v>18.100000000000001</v>
      </c>
      <c r="E9" s="1088"/>
      <c r="F9" s="60"/>
      <c r="G9" s="61" t="s">
        <v>157</v>
      </c>
      <c r="H9" s="1089">
        <f>ROUND(IF(E5&gt;E6,D9+C15+E15,D9-C15-E15),3)</f>
        <v>18.059999999999999</v>
      </c>
      <c r="I9" s="1089"/>
      <c r="J9" s="58"/>
    </row>
    <row r="10" spans="2:10" ht="28.5" customHeight="1">
      <c r="B10" s="168"/>
      <c r="C10" s="169" t="s">
        <v>159</v>
      </c>
      <c r="D10" s="1088">
        <v>18.12</v>
      </c>
      <c r="E10" s="1088"/>
      <c r="F10" s="49"/>
      <c r="G10" s="61" t="s">
        <v>159</v>
      </c>
      <c r="H10" s="1089">
        <f>ROUND(IF(E5&gt;E6,D10+C15-E15,D10-C15+E15),3)</f>
        <v>18.094000000000001</v>
      </c>
      <c r="I10" s="1089"/>
      <c r="J10" s="58"/>
    </row>
    <row r="11" spans="2:10" ht="28.5" customHeight="1">
      <c r="B11" s="168"/>
      <c r="C11" s="169" t="s">
        <v>161</v>
      </c>
      <c r="D11" s="1088">
        <v>18.12</v>
      </c>
      <c r="E11" s="1088"/>
      <c r="F11" s="49"/>
      <c r="G11" s="61" t="s">
        <v>161</v>
      </c>
      <c r="H11" s="1089">
        <f>ROUND(IF(E5&gt;E6,D11+C15,D11-C15),3)</f>
        <v>18.087</v>
      </c>
      <c r="I11" s="1089"/>
      <c r="J11" s="58"/>
    </row>
    <row r="12" spans="2:10" ht="28.5" customHeight="1">
      <c r="B12" s="168"/>
      <c r="C12" s="169" t="s">
        <v>162</v>
      </c>
      <c r="D12" s="174">
        <f>D10-D9</f>
        <v>1.9999999999999574E-2</v>
      </c>
      <c r="E12" s="161" t="str">
        <f>IF(D12&gt;0,"by the stern","by the head")</f>
        <v>by the stern</v>
      </c>
      <c r="F12" s="52"/>
      <c r="G12" s="61" t="s">
        <v>162</v>
      </c>
      <c r="H12" s="175">
        <f>H10-H9</f>
        <v>3.4000000000002473E-2</v>
      </c>
      <c r="I12" s="170" t="str">
        <f>IF(H12&gt;0,"by the stern","by the head")</f>
        <v>by the stern</v>
      </c>
      <c r="J12" s="58"/>
    </row>
    <row r="13" spans="2:10" ht="28.5" customHeight="1">
      <c r="B13" s="168"/>
      <c r="C13" s="169" t="s">
        <v>251</v>
      </c>
      <c r="D13" s="1109">
        <f>(6*D11+D10+D9)/8</f>
        <v>18.1175</v>
      </c>
      <c r="E13" s="1109"/>
      <c r="F13" s="49"/>
      <c r="G13" s="61" t="s">
        <v>163</v>
      </c>
      <c r="H13" s="1089">
        <f>(6*H11+H10+H9)/8</f>
        <v>18.084499999999998</v>
      </c>
      <c r="I13" s="1089"/>
      <c r="J13" s="58"/>
    </row>
    <row r="14" spans="2:10" ht="20.25" customHeight="1">
      <c r="B14" s="168"/>
      <c r="C14" s="1105" t="s">
        <v>166</v>
      </c>
      <c r="D14" s="1106"/>
      <c r="E14" s="1105" t="s">
        <v>167</v>
      </c>
      <c r="F14" s="1106"/>
      <c r="G14" s="176"/>
      <c r="H14" s="172"/>
      <c r="I14" s="173"/>
      <c r="J14" s="45"/>
    </row>
    <row r="15" spans="2:10" ht="20.25" customHeight="1">
      <c r="B15" s="168"/>
      <c r="C15" s="1107">
        <f>((ABS(E5-E6)*D18)/E18)/100</f>
        <v>3.2924128690083439E-2</v>
      </c>
      <c r="D15" s="1108"/>
      <c r="E15" s="1107">
        <f>(((D18*ABS(E5-E6)*ABS(H18-F18))/G18/100/2))</f>
        <v>7.2213754491980116E-3</v>
      </c>
      <c r="F15" s="1108"/>
      <c r="G15" s="68"/>
      <c r="H15" s="54"/>
      <c r="I15" s="57"/>
      <c r="J15" s="58"/>
    </row>
    <row r="16" spans="2:10" ht="20.25" customHeight="1">
      <c r="B16" s="168"/>
      <c r="C16" s="62" t="s">
        <v>52</v>
      </c>
      <c r="D16" s="62" t="s">
        <v>164</v>
      </c>
      <c r="E16" s="62" t="s">
        <v>27</v>
      </c>
      <c r="F16" s="62" t="s">
        <v>28</v>
      </c>
      <c r="G16" s="171" t="s">
        <v>165</v>
      </c>
      <c r="H16" s="171" t="s">
        <v>125</v>
      </c>
      <c r="I16" s="58"/>
      <c r="J16" s="58"/>
    </row>
    <row r="17" spans="2:10" ht="20.25" customHeight="1">
      <c r="B17" s="168"/>
      <c r="C17" s="63">
        <f>VLOOKUP(D11,hydro!$B$3:$F$78,1)</f>
        <v>18</v>
      </c>
      <c r="D17" s="63">
        <f>VLOOKUP(C17,hydro!$B$3:$F$78,2)</f>
        <v>283607</v>
      </c>
      <c r="E17" s="63">
        <f>VLOOKUP(C17,hydro!$B$3:$F$78,3)</f>
        <v>173.4</v>
      </c>
      <c r="F17" s="63">
        <f>VLOOKUP(C17,hydro!$B$3:$F$78,4)</f>
        <v>0.09</v>
      </c>
      <c r="G17" s="63">
        <f>VLOOKUP(C17,hydro!$B$3:$F$78,5)</f>
        <v>4058.2</v>
      </c>
      <c r="H17" s="64">
        <f>VLOOKUP(C17,hydro!$B$3:$G$78,6)</f>
        <v>-10.14</v>
      </c>
      <c r="I17" s="58"/>
      <c r="J17" s="58"/>
    </row>
    <row r="18" spans="2:10" ht="20.25" customHeight="1">
      <c r="B18" s="168"/>
      <c r="C18" s="65">
        <f>D13</f>
        <v>18.1175</v>
      </c>
      <c r="D18" s="65">
        <f>(D19-D17)/(C19-C17)*(C18-C17)+D17</f>
        <v>285645.62499898067</v>
      </c>
      <c r="E18" s="65">
        <f>(E19-E17)/(C19-C17)*(C18-C17)+E17</f>
        <v>173.51749999994124</v>
      </c>
      <c r="F18" s="65">
        <f>(F19-F17)/(C19-C17)*(C18-C17)+F17</f>
        <v>0.22512499993243645</v>
      </c>
      <c r="G18" s="65">
        <f>(G19-G17)/(C19-C17)*(C18-C17)+G17</f>
        <v>4069.7737499942132</v>
      </c>
      <c r="H18" s="65">
        <f>(H19-H17)/(C19-C17)*(C18-C17)+H17</f>
        <v>-10.063625000038188</v>
      </c>
      <c r="I18" s="58"/>
      <c r="J18" s="58"/>
    </row>
    <row r="19" spans="2:10" ht="20.25" customHeight="1">
      <c r="B19" s="168"/>
      <c r="C19" s="63">
        <f>C17+0.2000000001</f>
        <v>18.200000000100001</v>
      </c>
      <c r="D19" s="63">
        <f>VLOOKUP(C19,hydro!$B$3:$F$78,2)</f>
        <v>287077</v>
      </c>
      <c r="E19" s="63">
        <f>VLOOKUP(C19,hydro!$B$3:$F$78,3)</f>
        <v>173.6</v>
      </c>
      <c r="F19" s="63">
        <f>VLOOKUP(C19,hydro!$B$3:$F$78,4)</f>
        <v>0.32</v>
      </c>
      <c r="G19" s="63">
        <f>VLOOKUP(C19,hydro!$B$3:$F$78,5)</f>
        <v>4077.9</v>
      </c>
      <c r="H19" s="63">
        <f>VLOOKUP(C19,hydro!$B$3:$G$78,6)</f>
        <v>-10.01</v>
      </c>
      <c r="I19" s="57"/>
      <c r="J19" s="58"/>
    </row>
    <row r="20" spans="2:10">
      <c r="B20" s="68"/>
      <c r="C20" s="54"/>
      <c r="D20" s="54"/>
      <c r="E20" s="54"/>
      <c r="F20" s="54"/>
      <c r="G20" s="54"/>
      <c r="H20" s="54"/>
      <c r="I20" s="54"/>
      <c r="J20" s="57"/>
    </row>
  </sheetData>
  <sheetProtection sheet="1" objects="1" scenarios="1" selectLockedCells="1"/>
  <mergeCells count="18">
    <mergeCell ref="H10:I10"/>
    <mergeCell ref="D11:E11"/>
    <mergeCell ref="H11:I11"/>
    <mergeCell ref="D13:E13"/>
    <mergeCell ref="H13:I13"/>
    <mergeCell ref="C14:D14"/>
    <mergeCell ref="E14:F14"/>
    <mergeCell ref="C15:D15"/>
    <mergeCell ref="E15:F15"/>
    <mergeCell ref="D10:E10"/>
    <mergeCell ref="D9:E9"/>
    <mergeCell ref="H9:I9"/>
    <mergeCell ref="C2:I3"/>
    <mergeCell ref="C4:E4"/>
    <mergeCell ref="C5:D5"/>
    <mergeCell ref="C6:D6"/>
    <mergeCell ref="C8:E8"/>
    <mergeCell ref="G8:I8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W48"/>
  <sheetViews>
    <sheetView showGridLines="0" zoomScale="55" zoomScaleNormal="55" zoomScaleSheetLayoutView="55" workbookViewId="0">
      <selection activeCell="F7" sqref="F7"/>
    </sheetView>
  </sheetViews>
  <sheetFormatPr defaultColWidth="7.875" defaultRowHeight="18.75"/>
  <cols>
    <col min="1" max="1" width="2.875" style="571" customWidth="1"/>
    <col min="2" max="2" width="8.375" style="590" customWidth="1"/>
    <col min="3" max="13" width="13.75" style="591" customWidth="1"/>
    <col min="14" max="21" width="13.75" style="571" customWidth="1"/>
    <col min="22" max="16384" width="7.875" style="571"/>
  </cols>
  <sheetData>
    <row r="1" spans="1:21" ht="25.9" customHeight="1">
      <c r="A1" s="570"/>
      <c r="B1" s="1114" t="s">
        <v>423</v>
      </c>
      <c r="C1" s="1114"/>
      <c r="D1" s="1114"/>
      <c r="E1" s="1114"/>
      <c r="F1" s="1114"/>
      <c r="G1" s="1114"/>
      <c r="H1" s="1114"/>
      <c r="I1" s="1114"/>
      <c r="J1" s="1114"/>
      <c r="K1" s="1114"/>
      <c r="L1" s="1114"/>
      <c r="M1" s="1114"/>
      <c r="N1" s="1114"/>
      <c r="O1" s="1114"/>
      <c r="P1" s="1114"/>
      <c r="Q1" s="1114"/>
      <c r="R1" s="1114"/>
      <c r="S1" s="1114"/>
      <c r="T1" s="1114"/>
      <c r="U1" s="1114"/>
    </row>
    <row r="2" spans="1:21" ht="25.9" customHeight="1" thickBot="1">
      <c r="A2" s="570"/>
      <c r="B2" s="1114"/>
      <c r="C2" s="1114"/>
      <c r="D2" s="1114"/>
      <c r="E2" s="1114"/>
      <c r="F2" s="1114"/>
      <c r="G2" s="1114"/>
      <c r="H2" s="1114"/>
      <c r="I2" s="1114"/>
      <c r="J2" s="1114"/>
      <c r="K2" s="1114"/>
      <c r="L2" s="1114"/>
      <c r="M2" s="1114"/>
      <c r="N2" s="1114"/>
      <c r="O2" s="1114"/>
      <c r="P2" s="1114"/>
      <c r="Q2" s="1114"/>
      <c r="R2" s="1114"/>
      <c r="S2" s="1114"/>
      <c r="T2" s="1114"/>
      <c r="U2" s="1114"/>
    </row>
    <row r="3" spans="1:21" ht="18.600000000000001" customHeight="1">
      <c r="A3" s="572"/>
      <c r="B3" s="1115" t="s">
        <v>359</v>
      </c>
      <c r="C3" s="1116"/>
      <c r="D3" s="1119">
        <v>45181.454861111109</v>
      </c>
      <c r="E3" s="1119"/>
      <c r="F3" s="1120"/>
      <c r="G3" s="1123" t="s">
        <v>360</v>
      </c>
      <c r="H3" s="1116"/>
      <c r="I3" s="1116"/>
      <c r="J3" s="1125" t="s">
        <v>435</v>
      </c>
      <c r="K3" s="1126"/>
      <c r="L3" s="1129" t="s">
        <v>361</v>
      </c>
      <c r="M3" s="1130"/>
      <c r="N3" s="1133" t="s">
        <v>425</v>
      </c>
      <c r="O3" s="1133"/>
      <c r="P3" s="1133"/>
      <c r="Q3" s="1130" t="s">
        <v>362</v>
      </c>
      <c r="R3" s="1130"/>
      <c r="S3" s="1130"/>
      <c r="T3" s="1135">
        <v>18.024999999999999</v>
      </c>
      <c r="U3" s="1136"/>
    </row>
    <row r="4" spans="1:21" ht="18.600000000000001" customHeight="1">
      <c r="B4" s="1117"/>
      <c r="C4" s="1118"/>
      <c r="D4" s="1121"/>
      <c r="E4" s="1121"/>
      <c r="F4" s="1122"/>
      <c r="G4" s="1124"/>
      <c r="H4" s="1118"/>
      <c r="I4" s="1118"/>
      <c r="J4" s="1127"/>
      <c r="K4" s="1128"/>
      <c r="L4" s="1131"/>
      <c r="M4" s="1132"/>
      <c r="N4" s="1134"/>
      <c r="O4" s="1134"/>
      <c r="P4" s="1134"/>
      <c r="Q4" s="1132"/>
      <c r="R4" s="1132"/>
      <c r="S4" s="1132"/>
      <c r="T4" s="1137"/>
      <c r="U4" s="1138"/>
    </row>
    <row r="5" spans="1:21" s="537" customFormat="1" ht="39.6" customHeight="1">
      <c r="B5" s="573" t="s">
        <v>88</v>
      </c>
      <c r="C5" s="1139" t="s">
        <v>363</v>
      </c>
      <c r="D5" s="1140"/>
      <c r="E5" s="1140"/>
      <c r="F5" s="1140"/>
      <c r="G5" s="1140"/>
      <c r="H5" s="1140"/>
      <c r="I5" s="1140"/>
      <c r="J5" s="1140"/>
      <c r="K5" s="1141"/>
      <c r="L5" s="1142" t="s">
        <v>364</v>
      </c>
      <c r="M5" s="1142"/>
      <c r="N5" s="1143" t="s">
        <v>365</v>
      </c>
      <c r="O5" s="1144"/>
      <c r="P5" s="1145"/>
      <c r="Q5" s="1146" t="s">
        <v>366</v>
      </c>
      <c r="R5" s="1147"/>
      <c r="S5" s="1150" t="s">
        <v>367</v>
      </c>
      <c r="T5" s="1150"/>
      <c r="U5" s="1110" t="s">
        <v>347</v>
      </c>
    </row>
    <row r="6" spans="1:21" s="537" customFormat="1" ht="39.6" customHeight="1">
      <c r="B6" s="574" t="s">
        <v>346</v>
      </c>
      <c r="C6" s="575" t="s">
        <v>368</v>
      </c>
      <c r="D6" s="575" t="s">
        <v>369</v>
      </c>
      <c r="E6" s="575" t="s">
        <v>370</v>
      </c>
      <c r="F6" s="576" t="s">
        <v>371</v>
      </c>
      <c r="G6" s="576" t="s">
        <v>372</v>
      </c>
      <c r="H6" s="577" t="s">
        <v>253</v>
      </c>
      <c r="I6" s="1112" t="s">
        <v>24</v>
      </c>
      <c r="J6" s="1113"/>
      <c r="K6" s="578" t="s">
        <v>373</v>
      </c>
      <c r="L6" s="579" t="s">
        <v>374</v>
      </c>
      <c r="M6" s="579" t="s">
        <v>375</v>
      </c>
      <c r="N6" s="580" t="s">
        <v>376</v>
      </c>
      <c r="O6" s="581" t="s">
        <v>377</v>
      </c>
      <c r="P6" s="581" t="s">
        <v>378</v>
      </c>
      <c r="Q6" s="1148"/>
      <c r="R6" s="1149"/>
      <c r="S6" s="579" t="s">
        <v>374</v>
      </c>
      <c r="T6" s="579" t="s">
        <v>375</v>
      </c>
      <c r="U6" s="1111"/>
    </row>
    <row r="7" spans="1:21" ht="39.6" customHeight="1">
      <c r="B7" s="582">
        <v>1</v>
      </c>
      <c r="C7" s="595">
        <v>16015</v>
      </c>
      <c r="D7" s="595">
        <v>10010</v>
      </c>
      <c r="E7" s="595">
        <v>10410</v>
      </c>
      <c r="F7" s="595"/>
      <c r="G7" s="595"/>
      <c r="H7" s="596"/>
      <c r="I7" s="1205">
        <f>SUM(C7:G7)</f>
        <v>36435</v>
      </c>
      <c r="J7" s="1205"/>
      <c r="K7" s="597">
        <f t="shared" ref="K7:K15" si="0">N7-I7</f>
        <v>1965</v>
      </c>
      <c r="L7" s="583">
        <f>R7-I7</f>
        <v>2775</v>
      </c>
      <c r="M7" s="583">
        <f>Q7-I7</f>
        <v>2775</v>
      </c>
      <c r="N7" s="584">
        <v>38400</v>
      </c>
      <c r="O7" s="585">
        <f t="shared" ref="O7:O15" si="1">N7-(N7*0.1)</f>
        <v>34560</v>
      </c>
      <c r="P7" s="585">
        <f t="shared" ref="P7:P15" si="2">N7+(N7*0.1)</f>
        <v>42240</v>
      </c>
      <c r="Q7" s="586">
        <v>39210</v>
      </c>
      <c r="R7" s="586">
        <f>Q7</f>
        <v>39210</v>
      </c>
      <c r="S7" s="583">
        <f>Q7-N7</f>
        <v>810</v>
      </c>
      <c r="T7" s="583">
        <f>Q7-N7</f>
        <v>810</v>
      </c>
      <c r="U7" s="714" t="s">
        <v>344</v>
      </c>
    </row>
    <row r="8" spans="1:21" ht="39.6" customHeight="1">
      <c r="B8" s="582">
        <v>2</v>
      </c>
      <c r="C8" s="595">
        <v>27292</v>
      </c>
      <c r="D8" s="595"/>
      <c r="E8" s="595"/>
      <c r="F8" s="595"/>
      <c r="G8" s="595"/>
      <c r="H8" s="596"/>
      <c r="I8" s="1205">
        <f t="shared" ref="I8:I15" si="3">SUM(C8:G8)</f>
        <v>27292</v>
      </c>
      <c r="J8" s="1205"/>
      <c r="K8" s="597">
        <f t="shared" si="0"/>
        <v>8</v>
      </c>
      <c r="L8" s="1151">
        <f>R8-(I8+I9)</f>
        <v>2180</v>
      </c>
      <c r="M8" s="583">
        <f t="shared" ref="M8:M15" si="4">Q8-I8</f>
        <v>670</v>
      </c>
      <c r="N8" s="584">
        <v>27300</v>
      </c>
      <c r="O8" s="585">
        <f t="shared" si="1"/>
        <v>24570</v>
      </c>
      <c r="P8" s="585">
        <f t="shared" si="2"/>
        <v>30030</v>
      </c>
      <c r="Q8" s="586">
        <v>27962</v>
      </c>
      <c r="R8" s="1153">
        <f>Q8+Q9</f>
        <v>55924</v>
      </c>
      <c r="S8" s="1151">
        <f>R8-(N8+N9)</f>
        <v>2184</v>
      </c>
      <c r="T8" s="583">
        <f t="shared" ref="T8:T15" si="5">Q8-N8</f>
        <v>662</v>
      </c>
      <c r="U8" s="714" t="s">
        <v>412</v>
      </c>
    </row>
    <row r="9" spans="1:21" ht="39.6" customHeight="1">
      <c r="B9" s="582">
        <v>3</v>
      </c>
      <c r="C9" s="595">
        <v>26452</v>
      </c>
      <c r="D9" s="595"/>
      <c r="E9" s="595"/>
      <c r="F9" s="595"/>
      <c r="G9" s="595"/>
      <c r="H9" s="596"/>
      <c r="I9" s="1205">
        <f t="shared" si="3"/>
        <v>26452</v>
      </c>
      <c r="J9" s="1205"/>
      <c r="K9" s="597">
        <f t="shared" si="0"/>
        <v>-12</v>
      </c>
      <c r="L9" s="1152"/>
      <c r="M9" s="583">
        <f t="shared" si="4"/>
        <v>1510</v>
      </c>
      <c r="N9" s="584">
        <v>26440</v>
      </c>
      <c r="O9" s="585">
        <f t="shared" si="1"/>
        <v>23796</v>
      </c>
      <c r="P9" s="585">
        <f t="shared" si="2"/>
        <v>29084</v>
      </c>
      <c r="Q9" s="586">
        <v>27962</v>
      </c>
      <c r="R9" s="1154"/>
      <c r="S9" s="1152"/>
      <c r="T9" s="583">
        <f t="shared" si="5"/>
        <v>1522</v>
      </c>
      <c r="U9" s="714" t="s">
        <v>412</v>
      </c>
    </row>
    <row r="10" spans="1:21" ht="39.6" customHeight="1">
      <c r="B10" s="582">
        <v>4</v>
      </c>
      <c r="C10" s="595">
        <v>15004</v>
      </c>
      <c r="D10" s="595">
        <v>10011</v>
      </c>
      <c r="E10" s="595"/>
      <c r="F10" s="595"/>
      <c r="G10" s="595"/>
      <c r="H10" s="596"/>
      <c r="I10" s="1205">
        <f t="shared" si="3"/>
        <v>25015</v>
      </c>
      <c r="J10" s="1205"/>
      <c r="K10" s="597">
        <f t="shared" si="0"/>
        <v>-15</v>
      </c>
      <c r="L10" s="1151">
        <f>R10-(I10+I11)</f>
        <v>7873</v>
      </c>
      <c r="M10" s="583">
        <f t="shared" si="4"/>
        <v>2936.5</v>
      </c>
      <c r="N10" s="584">
        <v>25000</v>
      </c>
      <c r="O10" s="585">
        <f t="shared" si="1"/>
        <v>22500</v>
      </c>
      <c r="P10" s="585">
        <f t="shared" si="2"/>
        <v>27500</v>
      </c>
      <c r="Q10" s="586">
        <v>27951.5</v>
      </c>
      <c r="R10" s="1153">
        <f>Q10+Q11</f>
        <v>55903</v>
      </c>
      <c r="S10" s="1151">
        <f>R10-(N10+N11)</f>
        <v>7903</v>
      </c>
      <c r="T10" s="583">
        <f t="shared" si="5"/>
        <v>2951.5</v>
      </c>
      <c r="U10" s="714" t="s">
        <v>344</v>
      </c>
    </row>
    <row r="11" spans="1:21" ht="39.6" customHeight="1">
      <c r="B11" s="582">
        <v>5</v>
      </c>
      <c r="C11" s="595">
        <v>18706</v>
      </c>
      <c r="D11" s="595">
        <v>4309</v>
      </c>
      <c r="E11" s="595"/>
      <c r="F11" s="595"/>
      <c r="G11" s="595"/>
      <c r="H11" s="596"/>
      <c r="I11" s="1205">
        <f t="shared" si="3"/>
        <v>23015</v>
      </c>
      <c r="J11" s="1205"/>
      <c r="K11" s="597">
        <f t="shared" si="0"/>
        <v>-15</v>
      </c>
      <c r="L11" s="1152"/>
      <c r="M11" s="583">
        <f t="shared" si="4"/>
        <v>4936.5</v>
      </c>
      <c r="N11" s="584">
        <v>23000</v>
      </c>
      <c r="O11" s="585">
        <f t="shared" si="1"/>
        <v>20700</v>
      </c>
      <c r="P11" s="585">
        <f t="shared" si="2"/>
        <v>25300</v>
      </c>
      <c r="Q11" s="586">
        <v>27951.5</v>
      </c>
      <c r="R11" s="1154"/>
      <c r="S11" s="1152"/>
      <c r="T11" s="583">
        <f t="shared" si="5"/>
        <v>4951.5</v>
      </c>
      <c r="U11" s="714" t="s">
        <v>344</v>
      </c>
    </row>
    <row r="12" spans="1:21" ht="39.6" customHeight="1">
      <c r="B12" s="582">
        <v>6</v>
      </c>
      <c r="C12" s="595">
        <v>26691</v>
      </c>
      <c r="D12" s="595"/>
      <c r="E12" s="595"/>
      <c r="F12" s="595"/>
      <c r="G12" s="595"/>
      <c r="H12" s="596"/>
      <c r="I12" s="1205">
        <f t="shared" si="3"/>
        <v>26691</v>
      </c>
      <c r="J12" s="1205"/>
      <c r="K12" s="597">
        <f t="shared" si="0"/>
        <v>9</v>
      </c>
      <c r="L12" s="1151">
        <f>R12-(I12+I13)</f>
        <v>2019</v>
      </c>
      <c r="M12" s="583">
        <f t="shared" si="4"/>
        <v>1270.5</v>
      </c>
      <c r="N12" s="584">
        <v>26700</v>
      </c>
      <c r="O12" s="585">
        <f t="shared" si="1"/>
        <v>24030</v>
      </c>
      <c r="P12" s="585">
        <f t="shared" si="2"/>
        <v>29370</v>
      </c>
      <c r="Q12" s="586">
        <v>27961.5</v>
      </c>
      <c r="R12" s="1153">
        <f>Q12+Q13</f>
        <v>55923</v>
      </c>
      <c r="S12" s="1151">
        <f>R12-(N12+N13)</f>
        <v>2023</v>
      </c>
      <c r="T12" s="583">
        <f t="shared" si="5"/>
        <v>1261.5</v>
      </c>
      <c r="U12" s="714" t="s">
        <v>412</v>
      </c>
    </row>
    <row r="13" spans="1:21" ht="39.6" customHeight="1">
      <c r="B13" s="582">
        <v>7</v>
      </c>
      <c r="C13" s="595">
        <v>10013</v>
      </c>
      <c r="D13" s="595">
        <v>17200</v>
      </c>
      <c r="E13" s="595"/>
      <c r="F13" s="595"/>
      <c r="G13" s="595"/>
      <c r="H13" s="596"/>
      <c r="I13" s="1205">
        <f t="shared" si="3"/>
        <v>27213</v>
      </c>
      <c r="J13" s="1205"/>
      <c r="K13" s="597">
        <f t="shared" si="0"/>
        <v>-13</v>
      </c>
      <c r="L13" s="1152"/>
      <c r="M13" s="583">
        <f t="shared" si="4"/>
        <v>748.5</v>
      </c>
      <c r="N13" s="584">
        <v>27200</v>
      </c>
      <c r="O13" s="585">
        <f t="shared" si="1"/>
        <v>24480</v>
      </c>
      <c r="P13" s="585">
        <f t="shared" si="2"/>
        <v>29920</v>
      </c>
      <c r="Q13" s="586">
        <v>27961.5</v>
      </c>
      <c r="R13" s="1154"/>
      <c r="S13" s="1152"/>
      <c r="T13" s="583">
        <f t="shared" si="5"/>
        <v>761.5</v>
      </c>
      <c r="U13" s="714" t="s">
        <v>412</v>
      </c>
    </row>
    <row r="14" spans="1:21" ht="39.6" customHeight="1">
      <c r="B14" s="582">
        <v>8</v>
      </c>
      <c r="C14" s="595">
        <v>17012</v>
      </c>
      <c r="D14" s="595">
        <v>7510</v>
      </c>
      <c r="E14" s="595"/>
      <c r="F14" s="595">
        <v>3895</v>
      </c>
      <c r="G14" s="595"/>
      <c r="H14" s="596"/>
      <c r="I14" s="1205">
        <f t="shared" si="3"/>
        <v>28417</v>
      </c>
      <c r="J14" s="1205"/>
      <c r="K14" s="597">
        <f t="shared" si="0"/>
        <v>-1917</v>
      </c>
      <c r="L14" s="1151">
        <f>R14-(I14+I15)</f>
        <v>1741</v>
      </c>
      <c r="M14" s="583">
        <f t="shared" si="4"/>
        <v>220.5</v>
      </c>
      <c r="N14" s="584">
        <v>26500</v>
      </c>
      <c r="O14" s="585">
        <f t="shared" si="1"/>
        <v>23850</v>
      </c>
      <c r="P14" s="585">
        <f t="shared" si="2"/>
        <v>29150</v>
      </c>
      <c r="Q14" s="586">
        <v>28637.5</v>
      </c>
      <c r="R14" s="1153">
        <f>Q14+Q15</f>
        <v>57275</v>
      </c>
      <c r="S14" s="1151">
        <f>R14-(N14+N15)</f>
        <v>3675</v>
      </c>
      <c r="T14" s="583">
        <f t="shared" si="5"/>
        <v>2137.5</v>
      </c>
      <c r="U14" s="714" t="s">
        <v>344</v>
      </c>
    </row>
    <row r="15" spans="1:21" ht="39.6" customHeight="1" thickBot="1">
      <c r="B15" s="598">
        <v>9</v>
      </c>
      <c r="C15" s="599">
        <v>13011</v>
      </c>
      <c r="D15" s="599">
        <v>14106</v>
      </c>
      <c r="E15" s="599"/>
      <c r="F15" s="599"/>
      <c r="G15" s="599"/>
      <c r="H15" s="600"/>
      <c r="I15" s="1204">
        <f t="shared" si="3"/>
        <v>27117</v>
      </c>
      <c r="J15" s="1204"/>
      <c r="K15" s="601">
        <f t="shared" si="0"/>
        <v>-17</v>
      </c>
      <c r="L15" s="1155"/>
      <c r="M15" s="587">
        <f t="shared" si="4"/>
        <v>1520.5</v>
      </c>
      <c r="N15" s="588">
        <v>27100</v>
      </c>
      <c r="O15" s="602">
        <f t="shared" si="1"/>
        <v>24390</v>
      </c>
      <c r="P15" s="602">
        <f t="shared" si="2"/>
        <v>29810</v>
      </c>
      <c r="Q15" s="603">
        <v>28637.5</v>
      </c>
      <c r="R15" s="1156"/>
      <c r="S15" s="1155"/>
      <c r="T15" s="587">
        <f t="shared" si="5"/>
        <v>1537.5</v>
      </c>
      <c r="U15" s="714" t="s">
        <v>344</v>
      </c>
    </row>
    <row r="16" spans="1:21" s="589" customFormat="1" ht="39.6" customHeight="1" thickBot="1">
      <c r="B16" s="607" t="s">
        <v>24</v>
      </c>
      <c r="C16" s="608">
        <f t="shared" ref="C16:K16" si="6">SUM(C7:C15)</f>
        <v>170196</v>
      </c>
      <c r="D16" s="604">
        <f t="shared" si="6"/>
        <v>63146</v>
      </c>
      <c r="E16" s="604">
        <f t="shared" si="6"/>
        <v>10410</v>
      </c>
      <c r="F16" s="604">
        <f t="shared" si="6"/>
        <v>3895</v>
      </c>
      <c r="G16" s="604">
        <f t="shared" si="6"/>
        <v>0</v>
      </c>
      <c r="H16" s="604" t="s">
        <v>24</v>
      </c>
      <c r="I16" s="1157">
        <f t="shared" si="6"/>
        <v>247647</v>
      </c>
      <c r="J16" s="1157"/>
      <c r="K16" s="609">
        <f t="shared" si="6"/>
        <v>-7</v>
      </c>
      <c r="L16" s="1158" t="s">
        <v>379</v>
      </c>
      <c r="M16" s="1158"/>
      <c r="N16" s="610">
        <f>SUM(N7:N15)</f>
        <v>247640</v>
      </c>
      <c r="O16" s="606">
        <f>SUM(O7:O15)</f>
        <v>222876</v>
      </c>
      <c r="P16" s="605">
        <f>SUM(P7:P15)</f>
        <v>272404</v>
      </c>
      <c r="Q16" s="1159"/>
      <c r="R16" s="1159"/>
      <c r="S16" s="1159"/>
      <c r="T16" s="1159"/>
      <c r="U16" s="1160"/>
    </row>
    <row r="17" spans="2:23" ht="15.6" customHeight="1" thickBot="1">
      <c r="D17" s="592"/>
    </row>
    <row r="18" spans="2:23" s="537" customFormat="1" ht="31.15" customHeight="1">
      <c r="B18" s="1161" t="s">
        <v>266</v>
      </c>
      <c r="C18" s="1162"/>
      <c r="D18" s="1162"/>
      <c r="E18" s="1162"/>
      <c r="F18" s="1162"/>
      <c r="G18" s="1162"/>
      <c r="H18" s="1162"/>
      <c r="I18" s="1162"/>
      <c r="J18" s="1162"/>
      <c r="K18" s="1162"/>
      <c r="L18" s="1162"/>
      <c r="M18" s="1163"/>
      <c r="N18" s="1164" t="s">
        <v>380</v>
      </c>
      <c r="O18" s="1165"/>
      <c r="P18" s="1165"/>
      <c r="Q18" s="1166">
        <f>N16</f>
        <v>247640</v>
      </c>
      <c r="R18" s="1166"/>
      <c r="S18" s="1166"/>
      <c r="T18" s="1166"/>
      <c r="U18" s="1167"/>
    </row>
    <row r="19" spans="2:23" s="537" customFormat="1" ht="31.15" customHeight="1">
      <c r="B19" s="1168"/>
      <c r="C19" s="1169"/>
      <c r="D19" s="1169"/>
      <c r="E19" s="1169"/>
      <c r="F19" s="1169"/>
      <c r="G19" s="1169"/>
      <c r="H19" s="1169"/>
      <c r="I19" s="1169"/>
      <c r="J19" s="1169"/>
      <c r="K19" s="1169"/>
      <c r="L19" s="1169"/>
      <c r="M19" s="1170"/>
      <c r="N19" s="1171" t="s">
        <v>381</v>
      </c>
      <c r="O19" s="1172"/>
      <c r="P19" s="1172"/>
      <c r="Q19" s="1173">
        <v>10000</v>
      </c>
      <c r="R19" s="1173"/>
      <c r="S19" s="1173"/>
      <c r="T19" s="1173"/>
      <c r="U19" s="1174"/>
    </row>
    <row r="20" spans="2:23" ht="31.15" customHeight="1">
      <c r="B20" s="1168"/>
      <c r="C20" s="1169"/>
      <c r="D20" s="1169"/>
      <c r="E20" s="1169"/>
      <c r="F20" s="1169"/>
      <c r="G20" s="1169"/>
      <c r="H20" s="1169"/>
      <c r="I20" s="1169"/>
      <c r="J20" s="1169"/>
      <c r="K20" s="1169"/>
      <c r="L20" s="1169"/>
      <c r="M20" s="1170"/>
      <c r="N20" s="1171" t="s">
        <v>382</v>
      </c>
      <c r="O20" s="1172"/>
      <c r="P20" s="1172"/>
      <c r="Q20" s="1175">
        <f>(Q18/Q19)/24</f>
        <v>1.0318333333333334</v>
      </c>
      <c r="R20" s="1175"/>
      <c r="S20" s="1175"/>
      <c r="T20" s="1175"/>
      <c r="U20" s="1176"/>
    </row>
    <row r="21" spans="2:23" ht="31.15" customHeight="1">
      <c r="B21" s="1168"/>
      <c r="C21" s="1169"/>
      <c r="D21" s="1169"/>
      <c r="E21" s="1169"/>
      <c r="F21" s="1169"/>
      <c r="G21" s="1169"/>
      <c r="H21" s="1169"/>
      <c r="I21" s="1169"/>
      <c r="J21" s="1169"/>
      <c r="K21" s="1169"/>
      <c r="L21" s="1169"/>
      <c r="M21" s="1170"/>
      <c r="N21" s="1171" t="s">
        <v>383</v>
      </c>
      <c r="O21" s="1172"/>
      <c r="P21" s="1172"/>
      <c r="Q21" s="1177">
        <v>45181.454861111109</v>
      </c>
      <c r="R21" s="1177"/>
      <c r="S21" s="1177"/>
      <c r="T21" s="1177"/>
      <c r="U21" s="1178"/>
    </row>
    <row r="22" spans="2:23" ht="31.15" customHeight="1">
      <c r="B22" s="1168"/>
      <c r="C22" s="1169"/>
      <c r="D22" s="1169"/>
      <c r="E22" s="1169"/>
      <c r="F22" s="1169"/>
      <c r="G22" s="1169"/>
      <c r="H22" s="1169"/>
      <c r="I22" s="1169"/>
      <c r="J22" s="1169"/>
      <c r="K22" s="1169"/>
      <c r="L22" s="1169"/>
      <c r="M22" s="1170"/>
      <c r="N22" s="1171" t="s">
        <v>384</v>
      </c>
      <c r="O22" s="1172"/>
      <c r="P22" s="1172"/>
      <c r="Q22" s="1179">
        <f>Q21+Q20</f>
        <v>45182.486694444444</v>
      </c>
      <c r="R22" s="1179"/>
      <c r="S22" s="1179"/>
      <c r="T22" s="1179"/>
      <c r="U22" s="1180"/>
    </row>
    <row r="23" spans="2:23" ht="31.15" customHeight="1">
      <c r="B23" s="1168"/>
      <c r="C23" s="1169"/>
      <c r="D23" s="1169"/>
      <c r="E23" s="1169"/>
      <c r="F23" s="1169"/>
      <c r="G23" s="1169"/>
      <c r="H23" s="1169"/>
      <c r="I23" s="1169"/>
      <c r="J23" s="1169"/>
      <c r="K23" s="1169"/>
      <c r="L23" s="1169"/>
      <c r="M23" s="1170"/>
      <c r="N23" s="1171" t="s">
        <v>385</v>
      </c>
      <c r="O23" s="1172"/>
      <c r="P23" s="1172"/>
      <c r="Q23" s="1177">
        <v>45182.620138888888</v>
      </c>
      <c r="R23" s="1177"/>
      <c r="S23" s="1177"/>
      <c r="T23" s="1177"/>
      <c r="U23" s="1178"/>
    </row>
    <row r="24" spans="2:23" ht="31.15" customHeight="1">
      <c r="B24" s="1168"/>
      <c r="C24" s="1169"/>
      <c r="D24" s="1169"/>
      <c r="E24" s="1169"/>
      <c r="F24" s="1169"/>
      <c r="G24" s="1169"/>
      <c r="H24" s="1169"/>
      <c r="I24" s="1169"/>
      <c r="J24" s="1169"/>
      <c r="K24" s="1169"/>
      <c r="L24" s="1169"/>
      <c r="M24" s="1170"/>
      <c r="N24" s="1181" t="s">
        <v>386</v>
      </c>
      <c r="O24" s="1182"/>
      <c r="P24" s="1183"/>
      <c r="Q24" s="1184">
        <f>I16</f>
        <v>247647</v>
      </c>
      <c r="R24" s="1185"/>
      <c r="S24" s="1185"/>
      <c r="T24" s="1185"/>
      <c r="U24" s="1186"/>
    </row>
    <row r="25" spans="2:23" ht="31.15" customHeight="1">
      <c r="B25" s="1168"/>
      <c r="C25" s="1169"/>
      <c r="D25" s="1169"/>
      <c r="E25" s="1169"/>
      <c r="F25" s="1169"/>
      <c r="G25" s="1169"/>
      <c r="H25" s="1169"/>
      <c r="I25" s="1169"/>
      <c r="J25" s="1169"/>
      <c r="K25" s="1169"/>
      <c r="L25" s="1169"/>
      <c r="M25" s="1170"/>
      <c r="N25" s="1181" t="s">
        <v>387</v>
      </c>
      <c r="O25" s="1182"/>
      <c r="P25" s="1183"/>
      <c r="Q25" s="1187">
        <f>N16-Q24</f>
        <v>-7</v>
      </c>
      <c r="R25" s="1188"/>
      <c r="S25" s="1188"/>
      <c r="T25" s="1188"/>
      <c r="U25" s="1189"/>
    </row>
    <row r="26" spans="2:23" ht="31.15" customHeight="1">
      <c r="B26" s="1168"/>
      <c r="C26" s="1169"/>
      <c r="D26" s="1169"/>
      <c r="E26" s="1169"/>
      <c r="F26" s="1169"/>
      <c r="G26" s="1169"/>
      <c r="H26" s="1169"/>
      <c r="I26" s="1169"/>
      <c r="J26" s="1169"/>
      <c r="K26" s="1169"/>
      <c r="L26" s="1169"/>
      <c r="M26" s="1170"/>
      <c r="N26" s="1181" t="s">
        <v>388</v>
      </c>
      <c r="O26" s="1182"/>
      <c r="P26" s="1183"/>
      <c r="Q26" s="1175">
        <f>Q23-Q21</f>
        <v>1.1652777777781012</v>
      </c>
      <c r="R26" s="1175"/>
      <c r="S26" s="1175"/>
      <c r="T26" s="1175"/>
      <c r="U26" s="1176"/>
    </row>
    <row r="27" spans="2:23" ht="31.15" customHeight="1">
      <c r="B27" s="1168"/>
      <c r="C27" s="1169"/>
      <c r="D27" s="1169"/>
      <c r="E27" s="1169"/>
      <c r="F27" s="1169"/>
      <c r="G27" s="1169"/>
      <c r="H27" s="1169"/>
      <c r="I27" s="1169"/>
      <c r="J27" s="1169"/>
      <c r="K27" s="1169"/>
      <c r="L27" s="1169"/>
      <c r="M27" s="1170"/>
      <c r="N27" s="1181" t="s">
        <v>389</v>
      </c>
      <c r="O27" s="1182"/>
      <c r="P27" s="1183"/>
      <c r="Q27" s="1190">
        <f>((Q24/(Q26-(Q28/24))/24))</f>
        <v>8855.0774731799029</v>
      </c>
      <c r="R27" s="1190"/>
      <c r="S27" s="1190"/>
      <c r="T27" s="1190"/>
      <c r="U27" s="1191"/>
      <c r="V27" s="1192"/>
      <c r="W27" s="1192"/>
    </row>
    <row r="28" spans="2:23" ht="31.15" customHeight="1">
      <c r="B28" s="1168"/>
      <c r="C28" s="1169"/>
      <c r="D28" s="1169"/>
      <c r="E28" s="1169"/>
      <c r="F28" s="1169"/>
      <c r="G28" s="1169"/>
      <c r="H28" s="1169"/>
      <c r="I28" s="1169"/>
      <c r="J28" s="1169"/>
      <c r="K28" s="1169"/>
      <c r="L28" s="1169"/>
      <c r="M28" s="1170"/>
      <c r="N28" s="1181" t="s">
        <v>390</v>
      </c>
      <c r="O28" s="1182"/>
      <c r="P28" s="1183"/>
      <c r="Q28" s="1193">
        <v>0</v>
      </c>
      <c r="R28" s="1194"/>
      <c r="S28" s="1194"/>
      <c r="T28" s="1194"/>
      <c r="U28" s="1195"/>
    </row>
    <row r="29" spans="2:23" s="589" customFormat="1" ht="31.15" customHeight="1">
      <c r="B29" s="1168"/>
      <c r="C29" s="1169"/>
      <c r="D29" s="1169"/>
      <c r="E29" s="1169"/>
      <c r="F29" s="1169"/>
      <c r="G29" s="1169"/>
      <c r="H29" s="1169"/>
      <c r="I29" s="1169"/>
      <c r="J29" s="1169"/>
      <c r="K29" s="1169"/>
      <c r="L29" s="1169"/>
      <c r="M29" s="1170"/>
      <c r="N29" s="1181" t="s">
        <v>391</v>
      </c>
      <c r="O29" s="1182"/>
      <c r="P29" s="1183"/>
      <c r="Q29" s="1175">
        <f>(Q25/Q27)/24</f>
        <v>-3.2937788240708375E-5</v>
      </c>
      <c r="R29" s="1175"/>
      <c r="S29" s="1175"/>
      <c r="T29" s="1175"/>
      <c r="U29" s="1176"/>
    </row>
    <row r="30" spans="2:23" s="593" customFormat="1" ht="31.15" customHeight="1" thickBot="1">
      <c r="B30" s="1196"/>
      <c r="C30" s="1197"/>
      <c r="D30" s="1197"/>
      <c r="E30" s="1197"/>
      <c r="F30" s="1197"/>
      <c r="G30" s="1197"/>
      <c r="H30" s="1197"/>
      <c r="I30" s="1197"/>
      <c r="J30" s="1197"/>
      <c r="K30" s="1197"/>
      <c r="L30" s="1197"/>
      <c r="M30" s="1198"/>
      <c r="N30" s="1199" t="s">
        <v>384</v>
      </c>
      <c r="O30" s="1200"/>
      <c r="P30" s="1201"/>
      <c r="Q30" s="1202"/>
      <c r="R30" s="1202"/>
      <c r="S30" s="1202"/>
      <c r="T30" s="1202"/>
      <c r="U30" s="1203"/>
    </row>
    <row r="31" spans="2:23" ht="15.6" customHeight="1">
      <c r="N31" s="594"/>
    </row>
    <row r="32" spans="2:23" ht="15.6" customHeight="1"/>
    <row r="33" ht="15.6" customHeight="1"/>
    <row r="34" ht="15.6" customHeight="1"/>
    <row r="35" ht="15.6" customHeight="1"/>
    <row r="36" ht="15.6" customHeight="1"/>
    <row r="37" ht="15.6" customHeight="1"/>
    <row r="38" ht="15.6" customHeight="1"/>
    <row r="39" ht="15.6" customHeight="1"/>
    <row r="40" ht="15.6" customHeight="1"/>
    <row r="41" ht="15.6" customHeight="1"/>
    <row r="42" ht="15.6" customHeight="1"/>
    <row r="43" ht="15.6" customHeight="1"/>
    <row r="44" ht="15.6" customHeight="1"/>
    <row r="45" ht="15.6" customHeight="1"/>
    <row r="46" ht="15.6" customHeight="1"/>
    <row r="47" ht="15.6" customHeight="1"/>
    <row r="48" ht="15.6" customHeight="1"/>
  </sheetData>
  <sheetProtection sheet="1" objects="1" scenarios="1" selectLockedCells="1"/>
  <mergeCells count="80">
    <mergeCell ref="I15:J15"/>
    <mergeCell ref="I7:J7"/>
    <mergeCell ref="I8:J8"/>
    <mergeCell ref="I9:J9"/>
    <mergeCell ref="I10:J10"/>
    <mergeCell ref="I11:J11"/>
    <mergeCell ref="I12:J12"/>
    <mergeCell ref="I13:J13"/>
    <mergeCell ref="I14:J14"/>
    <mergeCell ref="B29:M29"/>
    <mergeCell ref="N29:P29"/>
    <mergeCell ref="Q29:U29"/>
    <mergeCell ref="B30:M30"/>
    <mergeCell ref="N30:P30"/>
    <mergeCell ref="Q30:U30"/>
    <mergeCell ref="B27:M27"/>
    <mergeCell ref="N27:P27"/>
    <mergeCell ref="Q27:U27"/>
    <mergeCell ref="V27:W27"/>
    <mergeCell ref="B28:M28"/>
    <mergeCell ref="N28:P28"/>
    <mergeCell ref="Q28:U28"/>
    <mergeCell ref="B25:M25"/>
    <mergeCell ref="N25:P25"/>
    <mergeCell ref="Q25:U25"/>
    <mergeCell ref="B26:M26"/>
    <mergeCell ref="N26:P26"/>
    <mergeCell ref="Q26:U26"/>
    <mergeCell ref="B23:M23"/>
    <mergeCell ref="N23:P23"/>
    <mergeCell ref="Q23:U23"/>
    <mergeCell ref="B24:M24"/>
    <mergeCell ref="N24:P24"/>
    <mergeCell ref="Q24:U24"/>
    <mergeCell ref="B21:M21"/>
    <mergeCell ref="N21:P21"/>
    <mergeCell ref="Q21:U21"/>
    <mergeCell ref="B22:M22"/>
    <mergeCell ref="N22:P22"/>
    <mergeCell ref="Q22:U22"/>
    <mergeCell ref="B19:M19"/>
    <mergeCell ref="N19:P19"/>
    <mergeCell ref="Q19:U19"/>
    <mergeCell ref="B20:M20"/>
    <mergeCell ref="N20:P20"/>
    <mergeCell ref="Q20:U20"/>
    <mergeCell ref="I16:J16"/>
    <mergeCell ref="L16:M16"/>
    <mergeCell ref="Q16:U16"/>
    <mergeCell ref="B18:M18"/>
    <mergeCell ref="N18:P18"/>
    <mergeCell ref="Q18:U18"/>
    <mergeCell ref="L12:L13"/>
    <mergeCell ref="R12:R13"/>
    <mergeCell ref="S12:S13"/>
    <mergeCell ref="L14:L15"/>
    <mergeCell ref="R14:R15"/>
    <mergeCell ref="S14:S15"/>
    <mergeCell ref="L8:L9"/>
    <mergeCell ref="R8:R9"/>
    <mergeCell ref="S8:S9"/>
    <mergeCell ref="L10:L11"/>
    <mergeCell ref="R10:R11"/>
    <mergeCell ref="S10:S11"/>
    <mergeCell ref="U5:U6"/>
    <mergeCell ref="I6:J6"/>
    <mergeCell ref="B1:U2"/>
    <mergeCell ref="B3:C4"/>
    <mergeCell ref="D3:F4"/>
    <mergeCell ref="G3:I4"/>
    <mergeCell ref="J3:K4"/>
    <mergeCell ref="L3:M4"/>
    <mergeCell ref="N3:P4"/>
    <mergeCell ref="Q3:S4"/>
    <mergeCell ref="T3:U4"/>
    <mergeCell ref="C5:K5"/>
    <mergeCell ref="L5:M5"/>
    <mergeCell ref="N5:P5"/>
    <mergeCell ref="Q5:R6"/>
    <mergeCell ref="S5:T5"/>
  </mergeCells>
  <conditionalFormatting sqref="L7:M15 S7:T15">
    <cfRule type="cellIs" dxfId="6" priority="1" operator="lessThan">
      <formula>1000</formula>
    </cfRule>
  </conditionalFormatting>
  <conditionalFormatting sqref="P7">
    <cfRule type="cellIs" dxfId="5" priority="11" operator="lessThan">
      <formula>$O$9</formula>
    </cfRule>
  </conditionalFormatting>
  <conditionalFormatting sqref="P8">
    <cfRule type="cellIs" dxfId="4" priority="10" operator="lessThan">
      <formula>$O$10</formula>
    </cfRule>
  </conditionalFormatting>
  <conditionalFormatting sqref="P9">
    <cfRule type="cellIs" dxfId="3" priority="9" operator="lessThan">
      <formula>$O$11</formula>
    </cfRule>
  </conditionalFormatting>
  <conditionalFormatting sqref="P10">
    <cfRule type="cellIs" dxfId="2" priority="8" operator="lessThan">
      <formula>$O$12</formula>
    </cfRule>
  </conditionalFormatting>
  <conditionalFormatting sqref="P11:P15">
    <cfRule type="cellIs" dxfId="1" priority="2" operator="lessThan">
      <formula>$O$17</formula>
    </cfRule>
  </conditionalFormatting>
  <conditionalFormatting sqref="P16">
    <cfRule type="cellIs" dxfId="0" priority="6" operator="lessThan">
      <formula>$O$18</formula>
    </cfRule>
  </conditionalFormatting>
  <printOptions horizontalCentered="1" verticalCentered="1"/>
  <pageMargins left="0.25" right="0.25" top="0.25" bottom="0.25" header="0" footer="0"/>
  <pageSetup paperSize="9" scale="4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pageSetUpPr fitToPage="1"/>
  </sheetPr>
  <dimension ref="B2:X56"/>
  <sheetViews>
    <sheetView showGridLines="0" showRowColHeaders="0" zoomScale="85" zoomScaleNormal="85" zoomScaleSheetLayoutView="70" workbookViewId="0">
      <selection activeCell="F36" sqref="F36"/>
    </sheetView>
  </sheetViews>
  <sheetFormatPr defaultColWidth="9" defaultRowHeight="14.25"/>
  <cols>
    <col min="1" max="1" width="6.25" style="26" customWidth="1"/>
    <col min="2" max="2" width="20.875" style="26" customWidth="1"/>
    <col min="3" max="12" width="9" style="26"/>
    <col min="13" max="13" width="9.5" style="26" bestFit="1" customWidth="1"/>
    <col min="14" max="19" width="9" style="26"/>
    <col min="20" max="20" width="9.5" style="26" bestFit="1" customWidth="1"/>
    <col min="21" max="16384" width="9" style="26"/>
  </cols>
  <sheetData>
    <row r="2" spans="2:23" s="29" customFormat="1" ht="24.75" customHeight="1">
      <c r="B2" s="162"/>
      <c r="C2" s="163"/>
      <c r="D2" s="1207" t="s">
        <v>149</v>
      </c>
      <c r="E2" s="1207"/>
      <c r="F2" s="1207"/>
      <c r="G2" s="1207"/>
      <c r="H2" s="1207"/>
      <c r="I2" s="163"/>
      <c r="J2" s="162"/>
      <c r="K2" s="1208" t="s">
        <v>150</v>
      </c>
      <c r="L2" s="1208"/>
      <c r="M2" s="1208"/>
      <c r="N2" s="1208"/>
      <c r="O2" s="1208"/>
      <c r="P2" s="164"/>
      <c r="Q2" s="163"/>
      <c r="R2" s="1209" t="s">
        <v>151</v>
      </c>
      <c r="S2" s="1209"/>
      <c r="T2" s="1209"/>
      <c r="U2" s="1209"/>
      <c r="V2" s="1209"/>
      <c r="W2" s="164"/>
    </row>
    <row r="3" spans="2:23" ht="24.75" customHeight="1">
      <c r="B3" s="71" t="s">
        <v>33</v>
      </c>
      <c r="C3" s="91"/>
      <c r="D3" s="72" t="s">
        <v>34</v>
      </c>
      <c r="E3" s="72"/>
      <c r="F3" s="72" t="s">
        <v>35</v>
      </c>
      <c r="G3" s="72"/>
      <c r="H3" s="72" t="s">
        <v>11</v>
      </c>
      <c r="I3" s="72"/>
      <c r="J3" s="92"/>
      <c r="K3" s="72" t="s">
        <v>34</v>
      </c>
      <c r="L3" s="72"/>
      <c r="M3" s="72" t="s">
        <v>35</v>
      </c>
      <c r="N3" s="72"/>
      <c r="O3" s="72" t="s">
        <v>11</v>
      </c>
      <c r="P3" s="93"/>
      <c r="Q3" s="91"/>
      <c r="R3" s="72" t="s">
        <v>34</v>
      </c>
      <c r="S3" s="72"/>
      <c r="T3" s="72" t="s">
        <v>35</v>
      </c>
      <c r="U3" s="72"/>
      <c r="V3" s="72" t="s">
        <v>11</v>
      </c>
      <c r="W3" s="93"/>
    </row>
    <row r="4" spans="2:23" ht="24.75" customHeight="1">
      <c r="B4" s="73" t="s">
        <v>37</v>
      </c>
      <c r="C4" s="16"/>
      <c r="D4" s="11">
        <f>initial!E6</f>
        <v>8.1</v>
      </c>
      <c r="E4" s="16"/>
      <c r="F4" s="11">
        <f>initial!E11</f>
        <v>9.08</v>
      </c>
      <c r="G4" s="16"/>
      <c r="H4" s="11">
        <f>initial!E16</f>
        <v>9.8000000000000007</v>
      </c>
      <c r="I4" s="11"/>
      <c r="J4" s="94"/>
      <c r="K4" s="11">
        <f>interim!E6</f>
        <v>17.78</v>
      </c>
      <c r="L4" s="16"/>
      <c r="M4" s="11">
        <f>interim!E11</f>
        <v>17.739999999999998</v>
      </c>
      <c r="N4" s="16"/>
      <c r="O4" s="11">
        <f>interim!E16</f>
        <v>17.670000000000002</v>
      </c>
      <c r="P4" s="95"/>
      <c r="Q4" s="16"/>
      <c r="R4" s="11">
        <f>final!E6</f>
        <v>18.04</v>
      </c>
      <c r="S4" s="16"/>
      <c r="T4" s="11">
        <f>final!E11</f>
        <v>18.05</v>
      </c>
      <c r="U4" s="16"/>
      <c r="V4" s="11">
        <f>final!E16</f>
        <v>18.079999999999998</v>
      </c>
      <c r="W4" s="95"/>
    </row>
    <row r="5" spans="2:23" ht="24.75" customHeight="1">
      <c r="B5" s="73" t="s">
        <v>39</v>
      </c>
      <c r="C5" s="16"/>
      <c r="D5" s="11">
        <f>initial!C6</f>
        <v>8.1300000000000008</v>
      </c>
      <c r="E5" s="16"/>
      <c r="F5" s="11">
        <f>initial!C11</f>
        <v>9.18</v>
      </c>
      <c r="G5" s="16"/>
      <c r="H5" s="11">
        <f>initial!C16</f>
        <v>9.86</v>
      </c>
      <c r="I5" s="11"/>
      <c r="J5" s="94"/>
      <c r="K5" s="11">
        <f>interim!C6</f>
        <v>17.78</v>
      </c>
      <c r="L5" s="16"/>
      <c r="M5" s="11">
        <f>interim!C11</f>
        <v>17.739999999999998</v>
      </c>
      <c r="N5" s="16"/>
      <c r="O5" s="11">
        <f>interim!C16</f>
        <v>17.670000000000002</v>
      </c>
      <c r="P5" s="95"/>
      <c r="Q5" s="16"/>
      <c r="R5" s="11">
        <f>final!C6</f>
        <v>18.04</v>
      </c>
      <c r="S5" s="16"/>
      <c r="T5" s="11">
        <f>final!C11</f>
        <v>18.05</v>
      </c>
      <c r="U5" s="16"/>
      <c r="V5" s="11">
        <f>final!C16</f>
        <v>18.079999999999998</v>
      </c>
      <c r="W5" s="95"/>
    </row>
    <row r="6" spans="2:23" ht="24.75" customHeight="1">
      <c r="B6" s="73" t="s">
        <v>40</v>
      </c>
      <c r="C6" s="12" t="s">
        <v>79</v>
      </c>
      <c r="D6" s="11">
        <f>(D5+D4)/2</f>
        <v>8.1150000000000002</v>
      </c>
      <c r="E6" s="13" t="s">
        <v>80</v>
      </c>
      <c r="F6" s="11">
        <f>(F5+F4)/2</f>
        <v>9.129999999999999</v>
      </c>
      <c r="G6" s="13" t="s">
        <v>81</v>
      </c>
      <c r="H6" s="11">
        <f>(H5+H4)/2</f>
        <v>9.83</v>
      </c>
      <c r="I6" s="11"/>
      <c r="J6" s="88" t="s">
        <v>79</v>
      </c>
      <c r="K6" s="11">
        <f>(K5+K4)/2</f>
        <v>17.78</v>
      </c>
      <c r="L6" s="13" t="s">
        <v>80</v>
      </c>
      <c r="M6" s="11">
        <f>(M5+M4)/2</f>
        <v>17.739999999999998</v>
      </c>
      <c r="N6" s="13" t="s">
        <v>81</v>
      </c>
      <c r="O6" s="11">
        <f>(O5+O4)/2</f>
        <v>17.670000000000002</v>
      </c>
      <c r="P6" s="95"/>
      <c r="Q6" s="12" t="s">
        <v>79</v>
      </c>
      <c r="R6" s="11">
        <f>(R5+R4)/2</f>
        <v>18.04</v>
      </c>
      <c r="S6" s="13" t="s">
        <v>80</v>
      </c>
      <c r="T6" s="11">
        <f>(T5+T4)/2</f>
        <v>18.05</v>
      </c>
      <c r="U6" s="13" t="s">
        <v>81</v>
      </c>
      <c r="V6" s="11">
        <f>(V5+V4)/2</f>
        <v>18.079999999999998</v>
      </c>
      <c r="W6" s="95"/>
    </row>
    <row r="7" spans="2:23" ht="24.75" customHeight="1">
      <c r="B7" s="96"/>
      <c r="C7" s="25" t="s">
        <v>43</v>
      </c>
      <c r="D7" s="11">
        <f>H6-D6</f>
        <v>1.7149999999999999</v>
      </c>
      <c r="F7" s="15">
        <f>ABS(DEGREES(ATAN((F5-F4)/data!$E$14)))</f>
        <v>0.10051880829859919</v>
      </c>
      <c r="G7" s="16" t="str">
        <f>IF(F5=F4,"",IF(F5&gt;F4,"List to Port","List to Starboard"))</f>
        <v>List to Port</v>
      </c>
      <c r="J7" s="89" t="s">
        <v>43</v>
      </c>
      <c r="K7" s="11">
        <f>O6-K6</f>
        <v>-0.10999999999999943</v>
      </c>
      <c r="M7" s="15">
        <f>ABS(DEGREES(ATAN((M5-M4)/data!$E$14)))</f>
        <v>0</v>
      </c>
      <c r="N7" s="16" t="str">
        <f>IF(M5=M4,"",IF(M5&gt;M4,"List to Port","List to Starboard"))</f>
        <v/>
      </c>
      <c r="P7" s="95"/>
      <c r="Q7" s="13" t="s">
        <v>43</v>
      </c>
      <c r="R7" s="11">
        <f>V6-R6</f>
        <v>3.9999999999999147E-2</v>
      </c>
      <c r="T7" s="15">
        <f>ABS(DEGREES(ATAN((T5-T4)/data!$E$14)))</f>
        <v>0</v>
      </c>
      <c r="U7" s="16" t="str">
        <f>IF(T5=T4,"",IF(T5&gt;T4,"List to Port","List to Starboard"))</f>
        <v/>
      </c>
      <c r="W7" s="95"/>
    </row>
    <row r="8" spans="2:23" ht="24.75" customHeight="1">
      <c r="B8" s="74"/>
      <c r="C8" s="76"/>
      <c r="D8" s="75"/>
      <c r="E8" s="76"/>
      <c r="F8" s="76"/>
      <c r="G8" s="77"/>
      <c r="H8" s="97"/>
      <c r="I8" s="97"/>
      <c r="J8" s="98"/>
      <c r="K8" s="75"/>
      <c r="L8" s="76"/>
      <c r="M8" s="76"/>
      <c r="N8" s="77"/>
      <c r="O8" s="97"/>
      <c r="P8" s="99"/>
      <c r="Q8" s="76"/>
      <c r="R8" s="75"/>
      <c r="S8" s="76"/>
      <c r="T8" s="76"/>
      <c r="U8" s="77"/>
      <c r="V8" s="97"/>
      <c r="W8" s="99"/>
    </row>
    <row r="9" spans="2:23" ht="24.75" customHeight="1">
      <c r="B9" s="71" t="s">
        <v>44</v>
      </c>
      <c r="C9" s="91"/>
      <c r="D9" s="100"/>
      <c r="E9" s="100"/>
      <c r="F9" s="100"/>
      <c r="G9" s="100"/>
      <c r="H9" s="100"/>
      <c r="I9" s="100"/>
      <c r="J9" s="92"/>
      <c r="K9" s="100"/>
      <c r="L9" s="100"/>
      <c r="M9" s="100"/>
      <c r="N9" s="100"/>
      <c r="O9" s="100"/>
      <c r="P9" s="93"/>
      <c r="Q9" s="91"/>
      <c r="R9" s="100"/>
      <c r="S9" s="100"/>
      <c r="T9" s="100"/>
      <c r="U9" s="100"/>
      <c r="V9" s="100"/>
      <c r="W9" s="93"/>
    </row>
    <row r="10" spans="2:23" ht="24.75" customHeight="1">
      <c r="B10" s="78" t="s">
        <v>45</v>
      </c>
      <c r="C10" s="16"/>
      <c r="D10" s="11">
        <f>-D7*data!O8/data!P8</f>
        <v>-9.812816740232138E-3</v>
      </c>
      <c r="E10" s="11"/>
      <c r="F10" s="11">
        <f>(D7*data!O9)/207.5</f>
        <v>0</v>
      </c>
      <c r="G10" s="11"/>
      <c r="H10" s="11">
        <f>D7*data!O10/data!P8</f>
        <v>7.5138139610920376E-2</v>
      </c>
      <c r="I10" s="11"/>
      <c r="J10" s="94"/>
      <c r="K10" s="11">
        <f>IF(O15=1,-data!$O$8*K7/data!$P$8,IF(O15=2,-data!$O$13*K7/data!$P$13,""))</f>
        <v>6.293934935425829E-4</v>
      </c>
      <c r="L10" s="11"/>
      <c r="M10" s="11">
        <f>IF(O15=1,data!$O$9*K7/data!$P$8,IF(O15=2,data!$O$14*K7/data!$P$13,""))</f>
        <v>-2.1579205492888557E-4</v>
      </c>
      <c r="N10" s="11"/>
      <c r="O10" s="11">
        <f>IF(O15=1,data!$O$10*K7/data!$P$8,IF(O15=2,data!$O$15*K7/data!$P$13,""))</f>
        <v>-4.8193558934117777E-3</v>
      </c>
      <c r="P10" s="95"/>
      <c r="Q10" s="16"/>
      <c r="R10" s="11">
        <f>IF(V15=1,-data!$O$8*R7/data!$P$8,IF(V15=2,-data!$O$13*R7/data!$P$13,""))</f>
        <v>-2.2887036128820828E-4</v>
      </c>
      <c r="S10" s="11"/>
      <c r="T10" s="11">
        <f>IF(V15=1,data!$O$9*R7/data!$P$8,IF(V15=2,data!$O$14*R7/data!$P$13,""))</f>
        <v>7.8469838155957125E-5</v>
      </c>
      <c r="U10" s="11"/>
      <c r="V10" s="11">
        <f>IF(V15=1,data!$O$10*R7/data!$P$8,IF(V15=2,data!$O$15*R7/data!$P$13,""))</f>
        <v>1.7524930521497092E-3</v>
      </c>
      <c r="W10" s="95"/>
    </row>
    <row r="11" spans="2:23" ht="24.75" customHeight="1">
      <c r="B11" s="78" t="s">
        <v>46</v>
      </c>
      <c r="C11" s="12" t="s">
        <v>47</v>
      </c>
      <c r="D11" s="11">
        <f>D6+D10</f>
        <v>8.1051871832597673</v>
      </c>
      <c r="E11" s="13" t="s">
        <v>80</v>
      </c>
      <c r="F11" s="11">
        <f>F6+F10</f>
        <v>9.129999999999999</v>
      </c>
      <c r="G11" s="13" t="s">
        <v>48</v>
      </c>
      <c r="H11" s="11">
        <f>H6+H10</f>
        <v>9.905138139610921</v>
      </c>
      <c r="I11" s="11"/>
      <c r="J11" s="88" t="s">
        <v>47</v>
      </c>
      <c r="K11" s="11">
        <f>K6+K10</f>
        <v>17.780629393493545</v>
      </c>
      <c r="L11" s="13" t="s">
        <v>80</v>
      </c>
      <c r="M11" s="11">
        <f>M6+M10</f>
        <v>17.739784207945071</v>
      </c>
      <c r="N11" s="13" t="s">
        <v>48</v>
      </c>
      <c r="O11" s="11">
        <f>O6+O10</f>
        <v>17.665180644106592</v>
      </c>
      <c r="P11" s="95"/>
      <c r="Q11" s="12" t="s">
        <v>47</v>
      </c>
      <c r="R11" s="11">
        <f>R6+R10</f>
        <v>18.039771129638712</v>
      </c>
      <c r="S11" s="13" t="s">
        <v>80</v>
      </c>
      <c r="T11" s="11">
        <f>T6+T10</f>
        <v>18.050078469838155</v>
      </c>
      <c r="U11" s="13" t="s">
        <v>48</v>
      </c>
      <c r="V11" s="11">
        <f>V6+V10</f>
        <v>18.081752493052146</v>
      </c>
      <c r="W11" s="95"/>
    </row>
    <row r="12" spans="2:23" ht="24.75" customHeight="1">
      <c r="B12" s="78" t="s">
        <v>49</v>
      </c>
      <c r="C12" s="27"/>
      <c r="D12" s="27"/>
      <c r="E12" s="13" t="s">
        <v>50</v>
      </c>
      <c r="F12" s="11">
        <f>(D11+H11)/2</f>
        <v>9.0051626614353442</v>
      </c>
      <c r="G12" s="27"/>
      <c r="H12" s="27"/>
      <c r="I12" s="27"/>
      <c r="J12" s="101"/>
      <c r="K12" s="27"/>
      <c r="L12" s="13" t="s">
        <v>50</v>
      </c>
      <c r="M12" s="11">
        <f>(K11+O11)/2</f>
        <v>17.72290501880007</v>
      </c>
      <c r="N12" s="27"/>
      <c r="O12" s="27"/>
      <c r="P12" s="95"/>
      <c r="Q12" s="27"/>
      <c r="R12" s="27"/>
      <c r="S12" s="13" t="s">
        <v>50</v>
      </c>
      <c r="T12" s="11">
        <f>(R11+V11)/2</f>
        <v>18.060761811345429</v>
      </c>
      <c r="U12" s="27"/>
      <c r="V12" s="27"/>
      <c r="W12" s="95"/>
    </row>
    <row r="13" spans="2:23" ht="24.75" customHeight="1">
      <c r="B13" s="79" t="s">
        <v>76</v>
      </c>
      <c r="C13" s="80" t="s">
        <v>51</v>
      </c>
      <c r="D13" s="102">
        <f>H11-D11</f>
        <v>1.7999509563511538</v>
      </c>
      <c r="E13" s="103" t="str">
        <f>IF(D13&gt;0,"m by the stern","m by the head")</f>
        <v>m by the stern</v>
      </c>
      <c r="F13" s="104"/>
      <c r="G13" s="105">
        <f>ABS(F11-F12)*100</f>
        <v>12.483733856465484</v>
      </c>
      <c r="H13" s="81" t="str">
        <f>IF(F11&gt;F12,"cm SAG","cm HOG")</f>
        <v>cm SAG</v>
      </c>
      <c r="I13" s="81"/>
      <c r="J13" s="90" t="s">
        <v>51</v>
      </c>
      <c r="K13" s="102">
        <f>O11-K11</f>
        <v>-0.11544874938695315</v>
      </c>
      <c r="L13" s="103" t="str">
        <f>IF(K13&gt;0,"m by the stern","m by the head")</f>
        <v>m by the head</v>
      </c>
      <c r="M13" s="104"/>
      <c r="N13" s="105">
        <f>ABS(M11-M12)*100</f>
        <v>1.6879189145001305</v>
      </c>
      <c r="O13" s="81" t="str">
        <f>IF(M11&gt;M12,"cm SAG","cm HOG")</f>
        <v>cm SAG</v>
      </c>
      <c r="P13" s="99"/>
      <c r="Q13" s="80" t="s">
        <v>51</v>
      </c>
      <c r="R13" s="102">
        <f>V11-R11</f>
        <v>4.1981363413434281E-2</v>
      </c>
      <c r="S13" s="103" t="str">
        <f>IF(R13&gt;0,"m by the stern","m by the head")</f>
        <v>m by the stern</v>
      </c>
      <c r="T13" s="104"/>
      <c r="U13" s="105">
        <f>ABS(T11-T12)*100</f>
        <v>1.0683341507274235</v>
      </c>
      <c r="V13" s="81" t="str">
        <f>IF(T11&gt;T12,"cm SAG","cm HOG")</f>
        <v>cm HOG</v>
      </c>
      <c r="W13" s="99"/>
    </row>
    <row r="14" spans="2:23" ht="24.75" customHeight="1">
      <c r="B14" s="106"/>
      <c r="C14" s="91"/>
      <c r="D14" s="100"/>
      <c r="E14" s="107"/>
      <c r="F14" s="107"/>
      <c r="G14" s="100"/>
      <c r="H14" s="100"/>
      <c r="I14" s="100"/>
      <c r="J14" s="92"/>
      <c r="K14" s="100"/>
      <c r="L14" s="107"/>
      <c r="M14" s="107"/>
      <c r="N14" s="100"/>
      <c r="O14" s="100"/>
      <c r="P14" s="93"/>
      <c r="Q14" s="91"/>
      <c r="R14" s="100"/>
      <c r="S14" s="107"/>
      <c r="T14" s="107"/>
      <c r="U14" s="100"/>
      <c r="V14" s="100"/>
      <c r="W14" s="93"/>
    </row>
    <row r="15" spans="2:23" ht="24.75" customHeight="1">
      <c r="B15" s="82" t="s">
        <v>57</v>
      </c>
      <c r="C15" s="27"/>
      <c r="D15" s="27"/>
      <c r="E15" s="27"/>
      <c r="F15" s="16"/>
      <c r="G15" s="27"/>
      <c r="H15" s="27"/>
      <c r="I15" s="27"/>
      <c r="J15" s="101"/>
      <c r="K15" s="27"/>
      <c r="L15" s="27"/>
      <c r="M15" s="16"/>
      <c r="N15" s="27"/>
      <c r="O15" s="317">
        <f>interim!H1</f>
        <v>2</v>
      </c>
      <c r="P15" s="95"/>
      <c r="Q15" s="27"/>
      <c r="R15" s="27"/>
      <c r="S15" s="27"/>
      <c r="T15" s="16"/>
      <c r="U15" s="27"/>
      <c r="V15" s="317">
        <f>final!H1</f>
        <v>2</v>
      </c>
      <c r="W15" s="95"/>
    </row>
    <row r="16" spans="2:23" ht="24.75" customHeight="1">
      <c r="B16" s="78" t="s">
        <v>78</v>
      </c>
      <c r="C16" s="27" t="s">
        <v>41</v>
      </c>
      <c r="D16" s="27"/>
      <c r="E16" s="27"/>
      <c r="F16" s="108">
        <f>F11</f>
        <v>9.129999999999999</v>
      </c>
      <c r="G16" s="16"/>
      <c r="H16" s="16"/>
      <c r="I16" s="16"/>
      <c r="J16" s="101" t="s">
        <v>41</v>
      </c>
      <c r="K16" s="27"/>
      <c r="L16" s="27"/>
      <c r="M16" s="108">
        <f>M11</f>
        <v>17.739784207945071</v>
      </c>
      <c r="N16" s="16"/>
      <c r="O16" s="16"/>
      <c r="P16" s="95"/>
      <c r="Q16" s="27" t="s">
        <v>41</v>
      </c>
      <c r="R16" s="27"/>
      <c r="S16" s="27"/>
      <c r="T16" s="108">
        <f>T11</f>
        <v>18.050078469838155</v>
      </c>
      <c r="U16" s="16"/>
      <c r="V16" s="16"/>
      <c r="W16" s="95"/>
    </row>
    <row r="17" spans="2:23" ht="24.75" customHeight="1">
      <c r="B17" s="78" t="s">
        <v>49</v>
      </c>
      <c r="C17" s="14" t="s">
        <v>59</v>
      </c>
      <c r="D17" s="16"/>
      <c r="E17" s="16"/>
      <c r="F17" s="11">
        <f>F12</f>
        <v>9.0051626614353442</v>
      </c>
      <c r="G17" s="16"/>
      <c r="H17" s="16"/>
      <c r="I17" s="16"/>
      <c r="J17" s="78" t="s">
        <v>59</v>
      </c>
      <c r="K17" s="16"/>
      <c r="L17" s="16"/>
      <c r="M17" s="11">
        <f>M12</f>
        <v>17.72290501880007</v>
      </c>
      <c r="N17" s="16"/>
      <c r="O17" s="16"/>
      <c r="P17" s="95"/>
      <c r="Q17" s="14" t="s">
        <v>59</v>
      </c>
      <c r="R17" s="16"/>
      <c r="S17" s="16"/>
      <c r="T17" s="11">
        <f>T12</f>
        <v>18.060761811345429</v>
      </c>
      <c r="U17" s="16"/>
      <c r="V17" s="16"/>
      <c r="W17" s="95"/>
    </row>
    <row r="18" spans="2:23" ht="24.75" customHeight="1">
      <c r="B18" s="78" t="s">
        <v>83</v>
      </c>
      <c r="C18" s="27" t="s">
        <v>82</v>
      </c>
      <c r="D18" s="27"/>
      <c r="E18" s="27"/>
      <c r="F18" s="108">
        <f>SUM(F16:F17)/2</f>
        <v>9.0675813307176725</v>
      </c>
      <c r="G18" s="16"/>
      <c r="H18" s="16"/>
      <c r="I18" s="16"/>
      <c r="J18" s="101" t="s">
        <v>82</v>
      </c>
      <c r="K18" s="27"/>
      <c r="L18" s="27"/>
      <c r="M18" s="108">
        <f>SUM(M16:M17)/2</f>
        <v>17.731344613372571</v>
      </c>
      <c r="N18" s="16"/>
      <c r="O18" s="16"/>
      <c r="P18" s="95"/>
      <c r="Q18" s="27" t="s">
        <v>82</v>
      </c>
      <c r="R18" s="27"/>
      <c r="S18" s="27"/>
      <c r="T18" s="108">
        <f>SUM(T16:T17)/2</f>
        <v>18.055420140591792</v>
      </c>
      <c r="U18" s="16"/>
      <c r="V18" s="16"/>
      <c r="W18" s="95"/>
    </row>
    <row r="19" spans="2:23" ht="24.75" customHeight="1">
      <c r="B19" s="74" t="s">
        <v>142</v>
      </c>
      <c r="C19" s="83" t="s">
        <v>77</v>
      </c>
      <c r="D19" s="76"/>
      <c r="E19" s="84" t="s">
        <v>61</v>
      </c>
      <c r="F19" s="109">
        <f>((F16*3)+F17)/4</f>
        <v>9.0987906653588357</v>
      </c>
      <c r="G19" s="76"/>
      <c r="H19" s="76"/>
      <c r="I19" s="76"/>
      <c r="J19" s="74" t="s">
        <v>77</v>
      </c>
      <c r="K19" s="76"/>
      <c r="L19" s="84" t="s">
        <v>61</v>
      </c>
      <c r="M19" s="109">
        <f>((M16*3)+M17)/4</f>
        <v>17.735564410658821</v>
      </c>
      <c r="N19" s="76"/>
      <c r="O19" s="76"/>
      <c r="P19" s="99"/>
      <c r="Q19" s="83" t="s">
        <v>77</v>
      </c>
      <c r="R19" s="76"/>
      <c r="S19" s="84" t="s">
        <v>61</v>
      </c>
      <c r="T19" s="109">
        <f>((T16*3)+T17)/4</f>
        <v>18.052749305214974</v>
      </c>
      <c r="U19" s="76"/>
      <c r="V19" s="76"/>
      <c r="W19" s="99"/>
    </row>
    <row r="20" spans="2:23" ht="24.75" customHeight="1">
      <c r="B20" s="71" t="s">
        <v>62</v>
      </c>
      <c r="C20" s="107"/>
      <c r="D20" s="107"/>
      <c r="E20" s="107"/>
      <c r="F20" s="107"/>
      <c r="G20" s="91"/>
      <c r="H20" s="91"/>
      <c r="I20" s="91"/>
      <c r="J20" s="71" t="s">
        <v>62</v>
      </c>
      <c r="K20" s="107"/>
      <c r="L20" s="107"/>
      <c r="M20" s="107"/>
      <c r="N20" s="91"/>
      <c r="O20" s="91"/>
      <c r="P20" s="93"/>
      <c r="Q20" s="71" t="s">
        <v>62</v>
      </c>
      <c r="R20" s="107"/>
      <c r="S20" s="107"/>
      <c r="T20" s="107"/>
      <c r="U20" s="91"/>
      <c r="V20" s="91"/>
      <c r="W20" s="93"/>
    </row>
    <row r="21" spans="2:23" ht="24.75" customHeight="1">
      <c r="B21" s="78" t="s">
        <v>63</v>
      </c>
      <c r="C21" s="16"/>
      <c r="D21" s="16"/>
      <c r="E21" s="16"/>
      <c r="F21" s="110">
        <f>D43</f>
        <v>135863.33808478407</v>
      </c>
      <c r="G21" s="16"/>
      <c r="H21" s="111" t="s">
        <v>65</v>
      </c>
      <c r="I21" s="112">
        <f>(((D13*100)*E43)*F43)/data!$E$13</f>
        <v>-1093.3647685611988</v>
      </c>
      <c r="J21" s="78" t="s">
        <v>63</v>
      </c>
      <c r="K21" s="16"/>
      <c r="L21" s="16"/>
      <c r="M21" s="110">
        <f>D49</f>
        <v>279028.90865911904</v>
      </c>
      <c r="N21" s="16"/>
      <c r="O21" s="111" t="s">
        <v>65</v>
      </c>
      <c r="P21" s="113">
        <f>(((K13*100)*E49)*F49)/data!$E$13</f>
        <v>1.5164616270222204</v>
      </c>
      <c r="Q21" s="78" t="s">
        <v>63</v>
      </c>
      <c r="R21" s="16"/>
      <c r="S21" s="16"/>
      <c r="T21" s="110">
        <f>D55</f>
        <v>284522.2004450222</v>
      </c>
      <c r="U21" s="16"/>
      <c r="V21" s="111" t="s">
        <v>65</v>
      </c>
      <c r="W21" s="113">
        <f>(((R13*100)*E55)*F55)/data!$E$13</f>
        <v>0.34177127673958763</v>
      </c>
    </row>
    <row r="22" spans="2:23" ht="24.75" customHeight="1">
      <c r="B22" s="78" t="s">
        <v>64</v>
      </c>
      <c r="C22" s="16"/>
      <c r="D22" s="27"/>
      <c r="E22" s="27"/>
      <c r="F22" s="108">
        <f>I23</f>
        <v>-1052.3370978290484</v>
      </c>
      <c r="G22" s="16"/>
      <c r="H22" s="114" t="s">
        <v>66</v>
      </c>
      <c r="I22" s="115">
        <f>(((D13*D13)*50)*I43)/data!$E$13</f>
        <v>41.027670732150391</v>
      </c>
      <c r="J22" s="78" t="s">
        <v>64</v>
      </c>
      <c r="K22" s="27"/>
      <c r="L22" s="27"/>
      <c r="M22" s="108">
        <f>P23</f>
        <v>1.7423387943694564</v>
      </c>
      <c r="N22" s="16"/>
      <c r="O22" s="114" t="s">
        <v>66</v>
      </c>
      <c r="P22" s="116">
        <f>(((K13*K13)*50)*J49)/data!$E$13</f>
        <v>0.22587716734723604</v>
      </c>
      <c r="Q22" s="78" t="s">
        <v>64</v>
      </c>
      <c r="R22" s="27"/>
      <c r="S22" s="27"/>
      <c r="T22" s="108">
        <f>W23</f>
        <v>0.36867448821263793</v>
      </c>
      <c r="U22" s="16"/>
      <c r="V22" s="114" t="s">
        <v>66</v>
      </c>
      <c r="W22" s="116">
        <f>(((R13*R13)*50)*J55)/data!$E$13</f>
        <v>2.6903211473050307E-2</v>
      </c>
    </row>
    <row r="23" spans="2:23" ht="24.75" customHeight="1">
      <c r="B23" s="74" t="s">
        <v>67</v>
      </c>
      <c r="C23" s="76"/>
      <c r="D23" s="76"/>
      <c r="E23" s="76"/>
      <c r="F23" s="105">
        <f>SUM(F21:F22)</f>
        <v>134811.00098695501</v>
      </c>
      <c r="G23" s="76"/>
      <c r="H23" s="117" t="s">
        <v>84</v>
      </c>
      <c r="I23" s="118">
        <f>SUM(I21:I22)</f>
        <v>-1052.3370978290484</v>
      </c>
      <c r="J23" s="74" t="s">
        <v>67</v>
      </c>
      <c r="K23" s="76"/>
      <c r="L23" s="76"/>
      <c r="M23" s="105">
        <f>SUM(M21:M22)</f>
        <v>279030.65099791338</v>
      </c>
      <c r="N23" s="76"/>
      <c r="O23" s="117" t="s">
        <v>84</v>
      </c>
      <c r="P23" s="119">
        <f>SUM(P21:P22)</f>
        <v>1.7423387943694564</v>
      </c>
      <c r="Q23" s="74" t="s">
        <v>67</v>
      </c>
      <c r="R23" s="76"/>
      <c r="S23" s="76"/>
      <c r="T23" s="105">
        <f>SUM(T21:T22)</f>
        <v>284522.56911951042</v>
      </c>
      <c r="U23" s="76"/>
      <c r="V23" s="117" t="s">
        <v>84</v>
      </c>
      <c r="W23" s="119">
        <f>SUM(W21:W22)</f>
        <v>0.36867448821263793</v>
      </c>
    </row>
    <row r="24" spans="2:23" ht="24.75" customHeight="1">
      <c r="B24" s="71" t="s">
        <v>68</v>
      </c>
      <c r="C24" s="91"/>
      <c r="D24" s="91"/>
      <c r="E24" s="91"/>
      <c r="F24" s="91"/>
      <c r="G24" s="91"/>
      <c r="H24" s="120"/>
      <c r="I24" s="120"/>
      <c r="J24" s="71" t="s">
        <v>68</v>
      </c>
      <c r="K24" s="91"/>
      <c r="L24" s="91"/>
      <c r="M24" s="91"/>
      <c r="N24" s="91"/>
      <c r="O24" s="120"/>
      <c r="P24" s="93"/>
      <c r="Q24" s="71" t="s">
        <v>68</v>
      </c>
      <c r="R24" s="91"/>
      <c r="S24" s="91"/>
      <c r="T24" s="91"/>
      <c r="U24" s="91"/>
      <c r="V24" s="120"/>
      <c r="W24" s="93"/>
    </row>
    <row r="25" spans="2:23" ht="24.75" customHeight="1">
      <c r="B25" s="78" t="s">
        <v>29</v>
      </c>
      <c r="C25" s="16"/>
      <c r="D25" s="16"/>
      <c r="E25" s="12" t="s">
        <v>69</v>
      </c>
      <c r="F25" s="121">
        <f>initial!I5</f>
        <v>1.0229999999999999</v>
      </c>
      <c r="G25" s="16"/>
      <c r="H25" s="110"/>
      <c r="I25" s="110"/>
      <c r="J25" s="78" t="s">
        <v>29</v>
      </c>
      <c r="K25" s="16"/>
      <c r="L25" s="12" t="s">
        <v>69</v>
      </c>
      <c r="M25" s="121">
        <f>interim!I5</f>
        <v>1.0229999999999999</v>
      </c>
      <c r="N25" s="16"/>
      <c r="O25" s="110"/>
      <c r="P25" s="95"/>
      <c r="Q25" s="78" t="s">
        <v>29</v>
      </c>
      <c r="R25" s="16"/>
      <c r="S25" s="12" t="s">
        <v>69</v>
      </c>
      <c r="T25" s="121">
        <f>final!I5</f>
        <v>1.0229999999999999</v>
      </c>
      <c r="U25" s="16"/>
      <c r="V25" s="110"/>
      <c r="W25" s="95"/>
    </row>
    <row r="26" spans="2:23" ht="24.75" customHeight="1">
      <c r="B26" s="78" t="s">
        <v>70</v>
      </c>
      <c r="C26" s="16"/>
      <c r="D26" s="16"/>
      <c r="E26" s="16"/>
      <c r="F26" s="110">
        <f>ROUND(F23*F25/1.025,0)</f>
        <v>134548</v>
      </c>
      <c r="G26" s="16"/>
      <c r="H26" s="110"/>
      <c r="I26" s="110"/>
      <c r="J26" s="78" t="s">
        <v>70</v>
      </c>
      <c r="K26" s="16"/>
      <c r="L26" s="16"/>
      <c r="M26" s="110">
        <f>ROUND(M23*M25/1.025,0)</f>
        <v>278486</v>
      </c>
      <c r="N26" s="16"/>
      <c r="O26" s="110"/>
      <c r="P26" s="95"/>
      <c r="Q26" s="78" t="s">
        <v>70</v>
      </c>
      <c r="R26" s="16"/>
      <c r="S26" s="16"/>
      <c r="T26" s="110">
        <f>T23*T25/1.025</f>
        <v>283967.40313098457</v>
      </c>
      <c r="U26" s="16"/>
      <c r="V26" s="110"/>
      <c r="W26" s="95"/>
    </row>
    <row r="27" spans="2:23" ht="24.75" customHeight="1">
      <c r="B27" s="78" t="s">
        <v>71</v>
      </c>
      <c r="C27" s="16"/>
      <c r="D27" s="16"/>
      <c r="E27" s="16"/>
      <c r="F27" s="110">
        <f>data!$E$12</f>
        <v>33323</v>
      </c>
      <c r="G27" s="110"/>
      <c r="H27" s="110"/>
      <c r="I27" s="110"/>
      <c r="J27" s="78" t="s">
        <v>71</v>
      </c>
      <c r="K27" s="16"/>
      <c r="L27" s="16"/>
      <c r="M27" s="110">
        <f>data!$E$12</f>
        <v>33323</v>
      </c>
      <c r="N27" s="110"/>
      <c r="O27" s="110"/>
      <c r="P27" s="95"/>
      <c r="Q27" s="78" t="s">
        <v>71</v>
      </c>
      <c r="R27" s="16"/>
      <c r="S27" s="16"/>
      <c r="T27" s="110">
        <f>data!$E$12</f>
        <v>33323</v>
      </c>
      <c r="U27" s="110"/>
      <c r="V27" s="110"/>
      <c r="W27" s="95"/>
    </row>
    <row r="28" spans="2:23" ht="24.75" customHeight="1">
      <c r="B28" s="74" t="s">
        <v>72</v>
      </c>
      <c r="C28" s="76"/>
      <c r="D28" s="76"/>
      <c r="E28" s="76"/>
      <c r="F28" s="105">
        <f>F26-F27</f>
        <v>101225</v>
      </c>
      <c r="G28" s="83"/>
      <c r="H28" s="76"/>
      <c r="I28" s="76"/>
      <c r="J28" s="74" t="s">
        <v>72</v>
      </c>
      <c r="K28" s="76"/>
      <c r="L28" s="76"/>
      <c r="M28" s="105">
        <f>M26-M27</f>
        <v>245163</v>
      </c>
      <c r="N28" s="83"/>
      <c r="O28" s="76"/>
      <c r="P28" s="99"/>
      <c r="Q28" s="74" t="s">
        <v>72</v>
      </c>
      <c r="R28" s="76"/>
      <c r="S28" s="76"/>
      <c r="T28" s="105">
        <f>T26-T27</f>
        <v>250644.40313098457</v>
      </c>
      <c r="U28" s="83"/>
      <c r="V28" s="76"/>
      <c r="W28" s="99"/>
    </row>
    <row r="29" spans="2:23" ht="24.75" customHeight="1">
      <c r="B29" s="122" t="s">
        <v>73</v>
      </c>
      <c r="C29" s="91"/>
      <c r="D29" s="91"/>
      <c r="E29" s="91"/>
      <c r="F29" s="91"/>
      <c r="G29" s="85"/>
      <c r="H29" s="91"/>
      <c r="I29" s="91"/>
      <c r="J29" s="122" t="s">
        <v>73</v>
      </c>
      <c r="K29" s="91"/>
      <c r="L29" s="91"/>
      <c r="M29" s="91"/>
      <c r="N29" s="85"/>
      <c r="O29" s="91"/>
      <c r="P29" s="93"/>
      <c r="Q29" s="122" t="s">
        <v>73</v>
      </c>
      <c r="R29" s="91"/>
      <c r="S29" s="91"/>
      <c r="T29" s="91"/>
      <c r="U29" s="85"/>
      <c r="V29" s="91"/>
      <c r="W29" s="93"/>
    </row>
    <row r="30" spans="2:23" ht="24.75" customHeight="1">
      <c r="B30" s="94" t="s">
        <v>85</v>
      </c>
      <c r="C30" s="16"/>
      <c r="D30" s="16"/>
      <c r="E30" s="16"/>
      <c r="F30" s="110">
        <f>ROUND(initial!I7+initial!I8,0)</f>
        <v>1361</v>
      </c>
      <c r="G30" s="16"/>
      <c r="H30" s="16"/>
      <c r="I30" s="16"/>
      <c r="J30" s="94" t="s">
        <v>85</v>
      </c>
      <c r="K30" s="16"/>
      <c r="L30" s="16"/>
      <c r="M30" s="110">
        <f>ROUND(interim!I7+interim!I8,0)</f>
        <v>1350</v>
      </c>
      <c r="N30" s="16"/>
      <c r="O30" s="16"/>
      <c r="P30" s="95"/>
      <c r="Q30" s="94" t="s">
        <v>85</v>
      </c>
      <c r="R30" s="16"/>
      <c r="S30" s="16"/>
      <c r="T30" s="110">
        <f>ROUND(final!I7+final!I8,0)</f>
        <v>1350</v>
      </c>
      <c r="U30" s="16"/>
      <c r="V30" s="16"/>
      <c r="W30" s="95"/>
    </row>
    <row r="31" spans="2:23" ht="24.75" customHeight="1">
      <c r="B31" s="78" t="s">
        <v>32</v>
      </c>
      <c r="C31" s="16"/>
      <c r="D31" s="16"/>
      <c r="E31" s="16"/>
      <c r="F31" s="110">
        <f>ROUND(initial!I9,0)</f>
        <v>215</v>
      </c>
      <c r="G31" s="16"/>
      <c r="H31" s="165" t="s">
        <v>212</v>
      </c>
      <c r="I31" s="110"/>
      <c r="J31" s="78" t="s">
        <v>32</v>
      </c>
      <c r="K31" s="16"/>
      <c r="L31" s="16"/>
      <c r="M31" s="110">
        <f>ROUND(interim!I9,0)</f>
        <v>202</v>
      </c>
      <c r="N31" s="16"/>
      <c r="O31" s="110"/>
      <c r="P31" s="95"/>
      <c r="Q31" s="78" t="s">
        <v>32</v>
      </c>
      <c r="R31" s="16"/>
      <c r="S31" s="16"/>
      <c r="T31" s="110">
        <f>ROUND(final!I9,0)</f>
        <v>202</v>
      </c>
      <c r="U31" s="16"/>
      <c r="V31" s="110"/>
      <c r="W31" s="95"/>
    </row>
    <row r="32" spans="2:23" ht="24.75" customHeight="1">
      <c r="B32" s="86" t="s">
        <v>74</v>
      </c>
      <c r="C32" s="123"/>
      <c r="D32" s="123"/>
      <c r="E32" s="123"/>
      <c r="F32" s="124">
        <f>ROUND(initial!I10,0)</f>
        <v>99020</v>
      </c>
      <c r="G32" s="123"/>
      <c r="H32" s="166">
        <f>(F26-F27)-SUM(F30+F31+F33,initial!I15)</f>
        <v>99020</v>
      </c>
      <c r="I32" s="123"/>
      <c r="J32" s="86" t="s">
        <v>74</v>
      </c>
      <c r="K32" s="123"/>
      <c r="L32" s="123"/>
      <c r="M32" s="124">
        <f>ROUND(interim!I10,0)</f>
        <v>31</v>
      </c>
      <c r="N32" s="123"/>
      <c r="O32" s="123"/>
      <c r="P32" s="125"/>
      <c r="Q32" s="86" t="s">
        <v>74</v>
      </c>
      <c r="R32" s="123"/>
      <c r="S32" s="123"/>
      <c r="T32" s="124">
        <f>ROUND(final!I10,0)</f>
        <v>31</v>
      </c>
      <c r="U32" s="123"/>
      <c r="V32" s="123"/>
      <c r="W32" s="125"/>
    </row>
    <row r="33" spans="2:24" ht="24.75" customHeight="1">
      <c r="B33" s="86" t="s">
        <v>38</v>
      </c>
      <c r="C33" s="123"/>
      <c r="D33" s="123"/>
      <c r="E33" s="123"/>
      <c r="F33" s="124">
        <f>ROUND(initial!I11,0)</f>
        <v>0</v>
      </c>
      <c r="G33" s="123"/>
      <c r="H33" s="124"/>
      <c r="I33" s="124"/>
      <c r="J33" s="86" t="s">
        <v>38</v>
      </c>
      <c r="K33" s="123"/>
      <c r="L33" s="123"/>
      <c r="M33" s="124">
        <f>ROUND(interim!I11,0)</f>
        <v>0</v>
      </c>
      <c r="N33" s="123"/>
      <c r="O33" s="124"/>
      <c r="P33" s="125"/>
      <c r="Q33" s="86" t="s">
        <v>38</v>
      </c>
      <c r="R33" s="123"/>
      <c r="S33" s="123"/>
      <c r="T33" s="124">
        <f>ROUND(final!I11,0)</f>
        <v>0</v>
      </c>
      <c r="U33" s="123"/>
      <c r="V33" s="124"/>
      <c r="W33" s="125"/>
    </row>
    <row r="34" spans="2:24" ht="24.75" customHeight="1">
      <c r="B34" s="26" t="str">
        <f>IF(initial!C4=1,"","Constant")</f>
        <v/>
      </c>
      <c r="F34" s="124">
        <f>initial!I12</f>
        <v>0</v>
      </c>
      <c r="H34" s="124"/>
      <c r="I34" s="124"/>
      <c r="J34" s="96" t="s">
        <v>42</v>
      </c>
      <c r="M34" s="26">
        <f>interim!I12</f>
        <v>629</v>
      </c>
      <c r="O34" s="124"/>
      <c r="P34" s="125"/>
      <c r="Q34" s="26" t="s">
        <v>42</v>
      </c>
      <c r="T34" s="124">
        <f>ROUND(final!I12,0)</f>
        <v>629</v>
      </c>
      <c r="V34" s="124"/>
      <c r="W34" s="125"/>
    </row>
    <row r="35" spans="2:24" ht="24.75" customHeight="1">
      <c r="B35" s="86" t="s">
        <v>75</v>
      </c>
      <c r="C35" s="123"/>
      <c r="D35" s="123"/>
      <c r="E35" s="123"/>
      <c r="F35" s="124">
        <f>SUM(F30:F34)</f>
        <v>100596</v>
      </c>
      <c r="G35" s="123"/>
      <c r="H35" s="123"/>
      <c r="I35" s="123"/>
      <c r="J35" s="86" t="s">
        <v>75</v>
      </c>
      <c r="K35" s="123"/>
      <c r="L35" s="123"/>
      <c r="M35" s="124">
        <f>SUM(M30:M34)</f>
        <v>2212</v>
      </c>
      <c r="N35" s="123"/>
      <c r="O35" s="123"/>
      <c r="P35" s="125"/>
      <c r="Q35" s="86" t="s">
        <v>75</v>
      </c>
      <c r="R35" s="123"/>
      <c r="S35" s="123"/>
      <c r="T35" s="124">
        <f>SUM(T30:T34)</f>
        <v>2212</v>
      </c>
      <c r="U35" s="123"/>
      <c r="V35" s="123"/>
      <c r="W35" s="125"/>
    </row>
    <row r="36" spans="2:24" ht="24.75" customHeight="1">
      <c r="B36" s="126"/>
      <c r="C36" s="127"/>
      <c r="D36" s="1210" t="str">
        <f>IF(initial!C4=1,"Constant","CARGO")</f>
        <v>Constant</v>
      </c>
      <c r="E36" s="1210"/>
      <c r="F36" s="129">
        <f>(F26-F27)-F35</f>
        <v>629</v>
      </c>
      <c r="G36" s="128"/>
      <c r="H36" s="128"/>
      <c r="I36" s="128"/>
      <c r="J36" s="126"/>
      <c r="K36" s="128"/>
      <c r="L36" s="87" t="s">
        <v>88</v>
      </c>
      <c r="M36" s="1206">
        <f>(M26-M27)-M35</f>
        <v>242951</v>
      </c>
      <c r="N36" s="1206"/>
      <c r="O36" s="128"/>
      <c r="P36" s="130"/>
      <c r="Q36" s="127"/>
      <c r="R36" s="128"/>
      <c r="S36" s="87" t="s">
        <v>88</v>
      </c>
      <c r="T36" s="1206">
        <f>(T26-T27)-T35</f>
        <v>248432.40313098457</v>
      </c>
      <c r="U36" s="1206"/>
      <c r="V36" s="128"/>
      <c r="W36" s="130"/>
    </row>
    <row r="37" spans="2:24" ht="3" customHeight="1">
      <c r="O37" s="123"/>
      <c r="P37" s="123"/>
      <c r="W37" s="123"/>
      <c r="X37" s="123"/>
    </row>
    <row r="38" spans="2:24" ht="3" customHeight="1"/>
    <row r="39" spans="2:24" ht="3" customHeight="1"/>
    <row r="40" spans="2:24">
      <c r="C40" s="131" t="s">
        <v>126</v>
      </c>
    </row>
    <row r="41" spans="2:24">
      <c r="C41" s="132" t="s">
        <v>52</v>
      </c>
      <c r="D41" s="132" t="s">
        <v>53</v>
      </c>
      <c r="E41" s="132" t="s">
        <v>27</v>
      </c>
      <c r="F41" s="132" t="s">
        <v>28</v>
      </c>
      <c r="G41" s="132" t="s">
        <v>54</v>
      </c>
      <c r="H41" s="132" t="s">
        <v>55</v>
      </c>
      <c r="I41" s="132" t="s">
        <v>56</v>
      </c>
    </row>
    <row r="42" spans="2:24">
      <c r="C42" s="133">
        <f>VLOOKUP(F19,hydro!$B$3:$F$78,1)</f>
        <v>9</v>
      </c>
      <c r="D42" s="134">
        <f>VLOOKUP(C42,hydro!$B$3:$F$78,2)</f>
        <v>134298</v>
      </c>
      <c r="E42" s="135">
        <f>VLOOKUP(C42,hydro!$B$3:$F$78,3)</f>
        <v>158.30000000000001</v>
      </c>
      <c r="F42" s="135">
        <f>VLOOKUP(C42,hydro!$B$3:$F$78,4)</f>
        <v>-12.4</v>
      </c>
      <c r="G42" s="136">
        <f>VLOOKUP(C42,hydro!$B$3:$F$78,5)</f>
        <v>3109.1</v>
      </c>
      <c r="H42" s="137">
        <f>IF((F19+0.5-VLOOKUP(F19+0.5,hydro!$B$3:$F$78,1))&gt;0.1,VLOOKUP(F19+0.6,hydro!$B$3:$F$78,1),VLOOKUP(F19+0.5,hydro!$B$3:$F$78,1))</f>
        <v>9.6</v>
      </c>
      <c r="I42" s="136">
        <f>VLOOKUP(H42,hydro!$B$3:$F$78,5)</f>
        <v>3159.5</v>
      </c>
    </row>
    <row r="43" spans="2:24">
      <c r="C43" s="138">
        <f>calc!F19</f>
        <v>9.0987906653588357</v>
      </c>
      <c r="D43" s="139">
        <f>(D44-D42)/(C44-C42)*(C43-C42)+D42</f>
        <v>135863.33808478407</v>
      </c>
      <c r="E43" s="140">
        <f>(E44-E42)/(C44-C42)*(C43-C42)+E42</f>
        <v>158.44818599729732</v>
      </c>
      <c r="F43" s="140">
        <f>(F44-F42)/(C44-C42)*(C43-C42)+F42</f>
        <v>-12.306148868378362</v>
      </c>
      <c r="G43" s="139">
        <f>(G44-G42)/(C44-C42)*(C43-C42)+G42</f>
        <v>3117.151439186488</v>
      </c>
      <c r="H43" s="141" t="s">
        <v>60</v>
      </c>
      <c r="I43" s="142">
        <f>I42-I44</f>
        <v>81.300000000000182</v>
      </c>
    </row>
    <row r="44" spans="2:24">
      <c r="C44" s="133">
        <f>C42+0.200000001</f>
        <v>9.2000000009999994</v>
      </c>
      <c r="D44" s="134">
        <f>VLOOKUP(C44,hydro!$B$3:$F$78,2)</f>
        <v>137467</v>
      </c>
      <c r="E44" s="135">
        <f>VLOOKUP(C44,hydro!$B$3:$F$78,3)</f>
        <v>158.6</v>
      </c>
      <c r="F44" s="135">
        <f>VLOOKUP(C44,hydro!$B$3:$F$78,4)</f>
        <v>-12.21</v>
      </c>
      <c r="G44" s="136">
        <f>VLOOKUP(C44,hydro!$B$3:$F$78,5)</f>
        <v>3125.4</v>
      </c>
      <c r="H44" s="137">
        <f>H42-1+0.0001</f>
        <v>8.6000999999999994</v>
      </c>
      <c r="I44" s="136">
        <f>VLOOKUP(H44,hydro!$B$3:$F$78,5)</f>
        <v>3078.2</v>
      </c>
    </row>
    <row r="46" spans="2:24">
      <c r="C46" s="131" t="s">
        <v>127</v>
      </c>
    </row>
    <row r="47" spans="2:24">
      <c r="C47" s="132" t="s">
        <v>52</v>
      </c>
      <c r="D47" s="132" t="s">
        <v>53</v>
      </c>
      <c r="E47" s="132" t="s">
        <v>27</v>
      </c>
      <c r="F47" s="132" t="s">
        <v>28</v>
      </c>
      <c r="G47" s="132" t="s">
        <v>125</v>
      </c>
      <c r="H47" s="132" t="s">
        <v>54</v>
      </c>
      <c r="I47" s="132" t="s">
        <v>55</v>
      </c>
      <c r="J47" s="132" t="s">
        <v>56</v>
      </c>
    </row>
    <row r="48" spans="2:24">
      <c r="C48" s="133">
        <f>VLOOKUP(M19,hydro!$B$3:$F$78,1)</f>
        <v>17.600000000000001</v>
      </c>
      <c r="D48" s="134">
        <f>VLOOKUP(C48,hydro!$B$3:$F$78,2)</f>
        <v>276685</v>
      </c>
      <c r="E48" s="135">
        <f>VLOOKUP(C48,hydro!$B$3:$F$78,3)</f>
        <v>172.7</v>
      </c>
      <c r="F48" s="135">
        <f>VLOOKUP(C48,hydro!$B$3:$F$78,4)</f>
        <v>-0.42</v>
      </c>
      <c r="G48" s="28">
        <f>VLOOKUP(C48,hydro!$B$3:$G$78,6)</f>
        <v>-10.39</v>
      </c>
      <c r="H48" s="136">
        <f>VLOOKUP(C48,hydro!$B$3:$F$78,5)</f>
        <v>4015.1</v>
      </c>
      <c r="I48" s="137">
        <f>IF((M19+0.5-VLOOKUP(M19+0.5,hydro!$B$3:$F$78,1))&gt;0.1,VLOOKUP(M19+0.6,hydro!$B$3:$F$78,1),VLOOKUP(M19+0.5,hydro!$B$3:$F$78,1))</f>
        <v>18.2</v>
      </c>
      <c r="J48" s="136">
        <f>VLOOKUP(I48,hydro!$B$3:$F$78,5)</f>
        <v>4077.9</v>
      </c>
    </row>
    <row r="49" spans="3:10">
      <c r="C49" s="138">
        <f>M19</f>
        <v>17.735564410658821</v>
      </c>
      <c r="D49" s="139">
        <f>(D50-D48)/(C50-C48)*(C49-C48)+D48</f>
        <v>279028.90865911904</v>
      </c>
      <c r="E49" s="140">
        <f>(E50-E48)/(C50-C48)*(C49-C48)+E48</f>
        <v>172.97112882118208</v>
      </c>
      <c r="F49" s="140">
        <f>(F50-F48)/(C50-C48)*(C49-C48)+F48</f>
        <v>-0.24376626623165254</v>
      </c>
      <c r="G49" s="138">
        <f>(G50-G48)/(C50-C48)*(C49-C48)+G48</f>
        <v>-10.301883133115826</v>
      </c>
      <c r="H49" s="139">
        <f>(H50-H48)/(C50-C48)*(C49-C48)+H48</f>
        <v>4030.0798673703093</v>
      </c>
      <c r="I49" s="141" t="s">
        <v>60</v>
      </c>
      <c r="J49" s="142">
        <f>J48-J50</f>
        <v>108.80000000000018</v>
      </c>
    </row>
    <row r="50" spans="3:10">
      <c r="C50" s="133">
        <f>C48+0.2000000001</f>
        <v>17.800000000100002</v>
      </c>
      <c r="D50" s="134">
        <f>VLOOKUP(C50,hydro!$B$3:$F$78,2)</f>
        <v>280143</v>
      </c>
      <c r="E50" s="135">
        <f>VLOOKUP(C50,hydro!$B$3:$F$78,3)</f>
        <v>173.1</v>
      </c>
      <c r="F50" s="135">
        <f>VLOOKUP(C50,hydro!$B$3:$F$78,4)</f>
        <v>-0.16</v>
      </c>
      <c r="G50" s="28">
        <f>VLOOKUP(C50,hydro!$B$3:$G$78,6)</f>
        <v>-10.26</v>
      </c>
      <c r="H50" s="136">
        <f>VLOOKUP(C50,hydro!$B$3:$F$78,5)</f>
        <v>4037.2</v>
      </c>
      <c r="I50" s="137">
        <f>I48-1+0.0001</f>
        <v>17.200099999999999</v>
      </c>
      <c r="J50" s="136">
        <f>VLOOKUP(I50,hydro!$B$3:$F$78,5)</f>
        <v>3969.1</v>
      </c>
    </row>
    <row r="52" spans="3:10">
      <c r="C52" s="131" t="s">
        <v>128</v>
      </c>
    </row>
    <row r="53" spans="3:10">
      <c r="C53" s="132" t="s">
        <v>52</v>
      </c>
      <c r="D53" s="132" t="s">
        <v>53</v>
      </c>
      <c r="E53" s="132" t="s">
        <v>27</v>
      </c>
      <c r="F53" s="132" t="s">
        <v>28</v>
      </c>
      <c r="G53" s="132" t="s">
        <v>125</v>
      </c>
      <c r="H53" s="132" t="s">
        <v>54</v>
      </c>
      <c r="I53" s="132" t="s">
        <v>55</v>
      </c>
      <c r="J53" s="132" t="s">
        <v>56</v>
      </c>
    </row>
    <row r="54" spans="3:10">
      <c r="C54" s="133">
        <f>VLOOKUP(T19,hydro!$B$3:$F$78,1)</f>
        <v>18</v>
      </c>
      <c r="D54" s="134">
        <f>VLOOKUP(C54,hydro!$B$3:$F$78,2)</f>
        <v>283607</v>
      </c>
      <c r="E54" s="135">
        <f>VLOOKUP(C54,hydro!$B$3:$F$78,3)</f>
        <v>173.4</v>
      </c>
      <c r="F54" s="135">
        <f>VLOOKUP(C54,hydro!$B$3:$F$78,4)</f>
        <v>0.09</v>
      </c>
      <c r="G54" s="28">
        <f>VLOOKUP(C54,hydro!$B$3:$G$78,6)</f>
        <v>-10.14</v>
      </c>
      <c r="H54" s="136">
        <f>VLOOKUP(C54,hydro!$B$3:$F$78,5)</f>
        <v>4058.2</v>
      </c>
      <c r="I54" s="137">
        <f>IF((T19+0.5-VLOOKUP(T19+0.5,hydro!$B$3:$F$78,1))&gt;0.1,VLOOKUP(T19+0.6,hydro!$B$3:$F$78,1),VLOOKUP(T19+0.5,hydro!$B$3:$F$78,1))</f>
        <v>18.600000000000001</v>
      </c>
      <c r="J54" s="136">
        <f>VLOOKUP(I54,hydro!$B$3:$F$78,5)</f>
        <v>4113.1000000000004</v>
      </c>
    </row>
    <row r="55" spans="3:10">
      <c r="C55" s="138">
        <f>calc!T19</f>
        <v>18.052749305214974</v>
      </c>
      <c r="D55" s="139">
        <f>(D56-D54)/(C56-C54)*(C55-C54)+D54</f>
        <v>284522.2004450222</v>
      </c>
      <c r="E55" s="140">
        <f>(E56-E54)/(C56-C54)*(C55-C54)+E54</f>
        <v>173.4527493051886</v>
      </c>
      <c r="F55" s="140">
        <f>(F56-F54)/(C56-C54)*(C55-C54)+F54</f>
        <v>0.15066170096688855</v>
      </c>
      <c r="G55" s="138">
        <f>(G56-G54)/(C56-C54)*(C55-C54)+G54</f>
        <v>-10.105712951627412</v>
      </c>
      <c r="H55" s="139">
        <f>(H56-H54)/(C56-C54)*(C55-C54)+H54</f>
        <v>4063.3958065610768</v>
      </c>
      <c r="I55" s="141" t="s">
        <v>60</v>
      </c>
      <c r="J55" s="142">
        <f>J54-J56</f>
        <v>98.000000000000455</v>
      </c>
    </row>
    <row r="56" spans="3:10">
      <c r="C56" s="133">
        <f>C54+0.2000000001</f>
        <v>18.200000000100001</v>
      </c>
      <c r="D56" s="134">
        <f>VLOOKUP(C56,hydro!$B$3:$F$78,2)</f>
        <v>287077</v>
      </c>
      <c r="E56" s="135">
        <f>VLOOKUP(C56,hydro!$B$3:$F$78,3)</f>
        <v>173.6</v>
      </c>
      <c r="F56" s="135">
        <f>VLOOKUP(C56,hydro!$B$3:$F$78,4)</f>
        <v>0.32</v>
      </c>
      <c r="G56" s="28">
        <f>VLOOKUP(C56,hydro!$B$3:$G$78,6)</f>
        <v>-10.01</v>
      </c>
      <c r="H56" s="136">
        <f>VLOOKUP(C56,hydro!$B$3:$F$78,5)</f>
        <v>4077.9</v>
      </c>
      <c r="I56" s="137">
        <f>I54-1+0.0001</f>
        <v>17.600100000000001</v>
      </c>
      <c r="J56" s="136">
        <f>VLOOKUP(I56,hydro!$B$3:$F$78,5)</f>
        <v>4015.1</v>
      </c>
    </row>
  </sheetData>
  <sheetProtection selectLockedCells="1" selectUnlockedCells="1"/>
  <mergeCells count="6">
    <mergeCell ref="M36:N36"/>
    <mergeCell ref="T36:U36"/>
    <mergeCell ref="D2:H2"/>
    <mergeCell ref="K2:O2"/>
    <mergeCell ref="R2:V2"/>
    <mergeCell ref="D36:E36"/>
  </mergeCells>
  <phoneticPr fontId="29" type="noConversion"/>
  <printOptions horizontalCentered="1"/>
  <pageMargins left="0.19685039370078741" right="0.19685039370078741" top="0.55118110236220474" bottom="0.35433070866141736" header="0" footer="0"/>
  <pageSetup scale="49" orientation="landscape" r:id="rId1"/>
  <colBreaks count="2" manualBreakCount="2">
    <brk id="9" min="1" max="56" man="1"/>
    <brk id="16" min="1" max="56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>
    <pageSetUpPr fitToPage="1"/>
  </sheetPr>
  <dimension ref="B1:AM66"/>
  <sheetViews>
    <sheetView zoomScale="70" zoomScaleNormal="70" zoomScaleSheetLayoutView="85" workbookViewId="0">
      <selection activeCell="O15" sqref="O15"/>
    </sheetView>
  </sheetViews>
  <sheetFormatPr defaultColWidth="9" defaultRowHeight="14.25"/>
  <cols>
    <col min="1" max="1" width="2.125" style="26" customWidth="1"/>
    <col min="2" max="2" width="17" style="26" customWidth="1"/>
    <col min="3" max="6" width="14.875" style="26" customWidth="1"/>
    <col min="7" max="7" width="3" style="26" customWidth="1"/>
    <col min="8" max="8" width="9.75" style="26" customWidth="1"/>
    <col min="9" max="10" width="9" style="26"/>
    <col min="11" max="11" width="13.875" style="26" customWidth="1"/>
    <col min="12" max="12" width="3" style="27" customWidth="1"/>
    <col min="13" max="14" width="10.125" style="27" customWidth="1"/>
    <col min="15" max="18" width="8.75" style="27" customWidth="1"/>
    <col min="19" max="39" width="9" style="27"/>
    <col min="40" max="16384" width="9" style="26"/>
  </cols>
  <sheetData>
    <row r="1" spans="2:39">
      <c r="B1" s="70"/>
      <c r="C1" s="1"/>
      <c r="D1" s="2"/>
      <c r="E1" s="3"/>
      <c r="F1" s="3"/>
      <c r="G1" s="2"/>
      <c r="H1" s="3"/>
      <c r="I1" s="3"/>
      <c r="J1" s="3"/>
      <c r="K1" s="3"/>
      <c r="L1" s="3"/>
      <c r="M1" s="3"/>
    </row>
    <row r="2" spans="2:39" s="30" customFormat="1" ht="20.25" customHeight="1">
      <c r="B2" s="70"/>
      <c r="C2" s="1231" t="s">
        <v>0</v>
      </c>
      <c r="D2" s="1231"/>
      <c r="E2" s="1232" t="s">
        <v>413</v>
      </c>
      <c r="F2" s="1233"/>
      <c r="G2" s="1233"/>
      <c r="H2" s="1233"/>
      <c r="I2" s="1234"/>
      <c r="J2" s="8"/>
      <c r="K2" s="8"/>
      <c r="L2" s="8"/>
      <c r="M2" s="8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</row>
    <row r="3" spans="2:39">
      <c r="B3" s="70"/>
      <c r="C3" s="4"/>
      <c r="D3" s="2"/>
      <c r="E3" s="3"/>
      <c r="F3" s="3"/>
      <c r="G3" s="2"/>
      <c r="H3" s="5"/>
      <c r="I3" s="5"/>
      <c r="J3" s="3"/>
      <c r="K3" s="3"/>
      <c r="L3" s="3"/>
      <c r="M3" s="3"/>
    </row>
    <row r="4" spans="2:39" ht="15.75" customHeight="1">
      <c r="B4" s="70"/>
      <c r="C4" s="1230" t="s">
        <v>1</v>
      </c>
      <c r="D4" s="1230"/>
      <c r="E4" s="1230"/>
      <c r="F4" s="1230"/>
      <c r="G4" s="6"/>
      <c r="H4" s="1223" t="s">
        <v>20</v>
      </c>
      <c r="I4" s="1224"/>
      <c r="J4" s="1224"/>
      <c r="K4" s="1225"/>
      <c r="L4" s="3"/>
      <c r="M4" s="1211" t="s">
        <v>2</v>
      </c>
      <c r="N4" s="1212"/>
      <c r="O4" s="1212"/>
      <c r="P4" s="1213"/>
    </row>
    <row r="5" spans="2:39" ht="15.75" customHeight="1">
      <c r="B5" s="70"/>
      <c r="C5" s="1230"/>
      <c r="D5" s="1230"/>
      <c r="E5" s="1230"/>
      <c r="F5" s="1230"/>
      <c r="G5" s="6"/>
      <c r="H5" s="1226"/>
      <c r="I5" s="1227"/>
      <c r="J5" s="1227"/>
      <c r="K5" s="1228"/>
      <c r="L5" s="3"/>
      <c r="M5" s="1214"/>
      <c r="N5" s="1215"/>
      <c r="O5" s="1215"/>
      <c r="P5" s="1216"/>
    </row>
    <row r="6" spans="2:39" ht="20.25" customHeight="1">
      <c r="B6" s="70"/>
      <c r="C6" s="1220" t="s">
        <v>3</v>
      </c>
      <c r="D6" s="1220"/>
      <c r="E6" s="1222" t="s">
        <v>326</v>
      </c>
      <c r="F6" s="1222"/>
      <c r="G6" s="6"/>
      <c r="H6" s="1217" t="s">
        <v>23</v>
      </c>
      <c r="I6" s="1217"/>
      <c r="J6" s="1217" t="s">
        <v>22</v>
      </c>
      <c r="K6" s="1217"/>
      <c r="L6" s="3"/>
      <c r="M6" s="10"/>
      <c r="N6" s="5"/>
      <c r="O6" s="3"/>
      <c r="P6" s="18"/>
    </row>
    <row r="7" spans="2:39" ht="20.25" customHeight="1">
      <c r="B7" s="70"/>
      <c r="C7" s="1220" t="s">
        <v>4</v>
      </c>
      <c r="D7" s="1220"/>
      <c r="E7" s="1221">
        <v>132512</v>
      </c>
      <c r="F7" s="1221"/>
      <c r="G7" s="6"/>
      <c r="H7" s="1218" t="s">
        <v>327</v>
      </c>
      <c r="I7" s="1218"/>
      <c r="J7" s="1219">
        <v>106.32</v>
      </c>
      <c r="K7" s="1219"/>
      <c r="L7" s="3"/>
      <c r="M7" s="17" t="s">
        <v>5</v>
      </c>
      <c r="N7" s="3"/>
      <c r="O7" s="3"/>
      <c r="P7" s="384" t="s">
        <v>301</v>
      </c>
    </row>
    <row r="8" spans="2:39" ht="20.25" customHeight="1">
      <c r="B8" s="70"/>
      <c r="C8" s="1220" t="s">
        <v>6</v>
      </c>
      <c r="D8" s="1220"/>
      <c r="E8" s="1221">
        <v>45968</v>
      </c>
      <c r="F8" s="1221"/>
      <c r="G8" s="6"/>
      <c r="H8" s="1218" t="s">
        <v>328</v>
      </c>
      <c r="I8" s="1218"/>
      <c r="J8" s="1219">
        <v>106.32</v>
      </c>
      <c r="K8" s="1219"/>
      <c r="L8" s="3"/>
      <c r="M8" s="10"/>
      <c r="N8" s="9" t="s">
        <v>7</v>
      </c>
      <c r="O8" s="392">
        <v>1.75</v>
      </c>
      <c r="P8" s="19">
        <f>E13-(O8+O10)</f>
        <v>305.85000000000002</v>
      </c>
    </row>
    <row r="9" spans="2:39" ht="20.25" customHeight="1">
      <c r="B9" s="70"/>
      <c r="C9" s="1220" t="s">
        <v>8</v>
      </c>
      <c r="D9" s="1220"/>
      <c r="E9" s="1222">
        <v>18.024999999999999</v>
      </c>
      <c r="F9" s="1222"/>
      <c r="G9" s="6"/>
      <c r="H9" s="1218" t="s">
        <v>414</v>
      </c>
      <c r="I9" s="1218"/>
      <c r="J9" s="1219">
        <v>128.36000000000001</v>
      </c>
      <c r="K9" s="1219"/>
      <c r="L9" s="3"/>
      <c r="M9" s="10"/>
      <c r="N9" s="9" t="s">
        <v>9</v>
      </c>
      <c r="O9" s="392">
        <v>0</v>
      </c>
      <c r="P9" s="20"/>
    </row>
    <row r="10" spans="2:39" ht="20.25" customHeight="1">
      <c r="B10" s="70"/>
      <c r="C10" s="1220" t="s">
        <v>10</v>
      </c>
      <c r="D10" s="1220"/>
      <c r="E10" s="1221">
        <v>284041</v>
      </c>
      <c r="F10" s="1221"/>
      <c r="G10" s="6"/>
      <c r="H10" s="1218" t="s">
        <v>329</v>
      </c>
      <c r="I10" s="1218"/>
      <c r="J10" s="1219">
        <v>126.76</v>
      </c>
      <c r="K10" s="1219"/>
      <c r="L10" s="3"/>
      <c r="M10" s="10"/>
      <c r="N10" s="9" t="s">
        <v>11</v>
      </c>
      <c r="O10" s="392">
        <v>13.4</v>
      </c>
      <c r="P10" s="20"/>
    </row>
    <row r="11" spans="2:39" ht="20.25" customHeight="1">
      <c r="B11" s="70"/>
      <c r="C11" s="1220" t="s">
        <v>12</v>
      </c>
      <c r="D11" s="1220"/>
      <c r="E11" s="1221">
        <v>250718</v>
      </c>
      <c r="F11" s="1221"/>
      <c r="G11" s="6"/>
      <c r="H11" s="1218" t="s">
        <v>415</v>
      </c>
      <c r="I11" s="1218"/>
      <c r="J11" s="1219">
        <v>119.1</v>
      </c>
      <c r="K11" s="1219"/>
      <c r="L11" s="3"/>
      <c r="M11" s="10"/>
      <c r="N11" s="3"/>
      <c r="O11" s="3"/>
      <c r="P11" s="18"/>
    </row>
    <row r="12" spans="2:39" ht="20.25" customHeight="1">
      <c r="B12" s="70"/>
      <c r="C12" s="1220" t="s">
        <v>13</v>
      </c>
      <c r="D12" s="1220"/>
      <c r="E12" s="1221">
        <v>33323</v>
      </c>
      <c r="F12" s="1221"/>
      <c r="G12" s="6"/>
      <c r="H12" s="1218" t="s">
        <v>416</v>
      </c>
      <c r="I12" s="1218"/>
      <c r="J12" s="1219">
        <v>122.3</v>
      </c>
      <c r="K12" s="1219"/>
      <c r="L12" s="3"/>
      <c r="M12" s="17" t="s">
        <v>14</v>
      </c>
      <c r="N12" s="3"/>
      <c r="O12" s="5"/>
      <c r="P12" s="384" t="s">
        <v>301</v>
      </c>
    </row>
    <row r="13" spans="2:39" ht="20.25" customHeight="1">
      <c r="B13" s="70"/>
      <c r="C13" s="1220" t="s">
        <v>15</v>
      </c>
      <c r="D13" s="1220"/>
      <c r="E13" s="1229">
        <v>321</v>
      </c>
      <c r="F13" s="1229"/>
      <c r="G13" s="6"/>
      <c r="H13" s="1218" t="s">
        <v>417</v>
      </c>
      <c r="I13" s="1218"/>
      <c r="J13" s="1219">
        <v>125.5</v>
      </c>
      <c r="K13" s="1219"/>
      <c r="L13" s="3"/>
      <c r="M13" s="10"/>
      <c r="N13" s="9" t="s">
        <v>7</v>
      </c>
      <c r="O13" s="392">
        <v>1.75</v>
      </c>
      <c r="P13" s="19">
        <f>E13-(O13+O15)</f>
        <v>305.85000000000002</v>
      </c>
    </row>
    <row r="14" spans="2:39" ht="20.25" customHeight="1">
      <c r="B14" s="70"/>
      <c r="C14" s="1220" t="s">
        <v>16</v>
      </c>
      <c r="D14" s="1220"/>
      <c r="E14" s="1229">
        <v>57</v>
      </c>
      <c r="F14" s="1229"/>
      <c r="G14" s="6"/>
      <c r="H14" s="1218" t="s">
        <v>418</v>
      </c>
      <c r="I14" s="1218"/>
      <c r="J14" s="1219">
        <v>128.69999999999999</v>
      </c>
      <c r="K14" s="1219"/>
      <c r="L14" s="3"/>
      <c r="M14" s="21"/>
      <c r="N14" s="9" t="s">
        <v>9</v>
      </c>
      <c r="O14" s="392">
        <v>0.6</v>
      </c>
      <c r="P14" s="18"/>
    </row>
    <row r="15" spans="2:39" ht="20.25" customHeight="1">
      <c r="B15" s="70"/>
      <c r="C15" s="1220" t="s">
        <v>17</v>
      </c>
      <c r="D15" s="1220"/>
      <c r="E15" s="1222">
        <v>329.95</v>
      </c>
      <c r="F15" s="1222"/>
      <c r="G15" s="3"/>
      <c r="H15" s="1218" t="s">
        <v>330</v>
      </c>
      <c r="I15" s="1218"/>
      <c r="J15" s="1219">
        <v>140.62</v>
      </c>
      <c r="K15" s="1219"/>
      <c r="L15" s="3"/>
      <c r="M15" s="21"/>
      <c r="N15" s="9" t="s">
        <v>11</v>
      </c>
      <c r="O15" s="392">
        <v>13.4</v>
      </c>
      <c r="P15" s="18"/>
    </row>
    <row r="16" spans="2:39" ht="20.25" customHeight="1">
      <c r="B16" s="70"/>
      <c r="C16" s="1220" t="s">
        <v>18</v>
      </c>
      <c r="D16" s="1220"/>
      <c r="E16" s="1229">
        <v>409</v>
      </c>
      <c r="F16" s="1229"/>
      <c r="G16" s="3"/>
      <c r="H16" s="1218" t="s">
        <v>331</v>
      </c>
      <c r="I16" s="1218"/>
      <c r="J16" s="1219">
        <v>144.78</v>
      </c>
      <c r="K16" s="1219"/>
      <c r="L16" s="3"/>
      <c r="M16" s="22"/>
      <c r="N16" s="23"/>
      <c r="O16" s="23"/>
      <c r="P16" s="24"/>
    </row>
    <row r="17" spans="2:18" ht="20.25" customHeight="1">
      <c r="B17" s="70"/>
      <c r="C17" s="3"/>
      <c r="D17" s="2"/>
      <c r="E17" s="3"/>
      <c r="F17" s="3"/>
      <c r="G17" s="7"/>
      <c r="H17" s="1218" t="s">
        <v>226</v>
      </c>
      <c r="I17" s="1218"/>
      <c r="J17" s="1219">
        <v>153.27000000000001</v>
      </c>
      <c r="K17" s="1219"/>
      <c r="L17" s="3"/>
      <c r="M17" s="3"/>
    </row>
    <row r="18" spans="2:18" ht="20.25" customHeight="1">
      <c r="B18" s="70"/>
      <c r="C18" s="7"/>
      <c r="D18" s="2"/>
      <c r="E18" s="7"/>
      <c r="F18" s="7"/>
      <c r="G18" s="7"/>
      <c r="H18" s="1218" t="s">
        <v>227</v>
      </c>
      <c r="I18" s="1218"/>
      <c r="J18" s="1219">
        <v>153.27000000000001</v>
      </c>
      <c r="K18" s="1219"/>
      <c r="L18" s="3"/>
      <c r="M18" s="3"/>
    </row>
    <row r="19" spans="2:18" ht="20.25" customHeight="1">
      <c r="B19" s="1242" t="s">
        <v>191</v>
      </c>
      <c r="C19" s="1235" t="s">
        <v>192</v>
      </c>
      <c r="D19" s="1235" t="s">
        <v>52</v>
      </c>
      <c r="E19" s="1235" t="s">
        <v>190</v>
      </c>
      <c r="F19" s="1235" t="s">
        <v>193</v>
      </c>
      <c r="G19" s="7"/>
      <c r="H19" s="1218" t="s">
        <v>420</v>
      </c>
      <c r="I19" s="1218"/>
      <c r="J19" s="1219">
        <v>155.1</v>
      </c>
      <c r="K19" s="1219"/>
      <c r="L19" s="3"/>
      <c r="M19" s="1256" t="s">
        <v>19</v>
      </c>
      <c r="N19" s="1257"/>
      <c r="O19" s="1257"/>
      <c r="P19" s="1257"/>
      <c r="Q19" s="1257"/>
      <c r="R19" s="1258"/>
    </row>
    <row r="20" spans="2:18" ht="20.25" customHeight="1">
      <c r="B20" s="1243"/>
      <c r="C20" s="1235"/>
      <c r="D20" s="1235"/>
      <c r="E20" s="1235"/>
      <c r="F20" s="1235"/>
      <c r="G20" s="7"/>
      <c r="H20" s="1218" t="s">
        <v>419</v>
      </c>
      <c r="I20" s="1218"/>
      <c r="J20" s="1219">
        <v>131.57</v>
      </c>
      <c r="K20" s="1219"/>
      <c r="L20" s="3"/>
      <c r="M20" s="1255" t="s">
        <v>21</v>
      </c>
      <c r="N20" s="1255" t="s">
        <v>22</v>
      </c>
      <c r="O20" s="1255" t="s">
        <v>86</v>
      </c>
      <c r="P20" s="1255"/>
      <c r="Q20" s="1254" t="s">
        <v>194</v>
      </c>
      <c r="R20" s="1254"/>
    </row>
    <row r="21" spans="2:18" ht="20.25" customHeight="1">
      <c r="B21" s="1244" t="s">
        <v>221</v>
      </c>
      <c r="C21" s="1250">
        <v>6.3540000000000001</v>
      </c>
      <c r="D21" s="1250">
        <v>18.809000000000001</v>
      </c>
      <c r="E21" s="1252">
        <v>290417</v>
      </c>
      <c r="F21" s="1252">
        <v>257094</v>
      </c>
      <c r="G21" s="7"/>
      <c r="H21" s="1218" t="s">
        <v>332</v>
      </c>
      <c r="I21" s="1218"/>
      <c r="J21" s="1219">
        <v>-123.28</v>
      </c>
      <c r="K21" s="1219"/>
      <c r="L21" s="3"/>
      <c r="M21" s="1255"/>
      <c r="N21" s="1255"/>
      <c r="O21" s="1255"/>
      <c r="P21" s="1255"/>
      <c r="Q21" s="1254"/>
      <c r="R21" s="1254"/>
    </row>
    <row r="22" spans="2:18" ht="20.25" customHeight="1">
      <c r="B22" s="1245"/>
      <c r="C22" s="1251"/>
      <c r="D22" s="1251"/>
      <c r="E22" s="1253"/>
      <c r="F22" s="1253"/>
      <c r="G22" s="7"/>
      <c r="H22" s="1218" t="s">
        <v>333</v>
      </c>
      <c r="I22" s="1218"/>
      <c r="J22" s="1219">
        <v>-123.28</v>
      </c>
      <c r="K22" s="1219"/>
      <c r="L22" s="3"/>
      <c r="M22" s="69">
        <v>1</v>
      </c>
      <c r="N22" s="391">
        <v>-121.07</v>
      </c>
      <c r="O22" s="1236">
        <v>21838.9</v>
      </c>
      <c r="P22" s="1236"/>
      <c r="Q22" s="1241">
        <v>39210</v>
      </c>
      <c r="R22" s="1241"/>
    </row>
    <row r="23" spans="2:18" ht="20.25" customHeight="1">
      <c r="B23" s="1244" t="s">
        <v>222</v>
      </c>
      <c r="C23" s="1250">
        <v>6.7290000000000001</v>
      </c>
      <c r="D23" s="1250">
        <v>18.434000000000001</v>
      </c>
      <c r="E23" s="1252">
        <v>284044</v>
      </c>
      <c r="F23" s="1252">
        <v>250721</v>
      </c>
      <c r="G23" s="7"/>
      <c r="H23" s="1218" t="s">
        <v>334</v>
      </c>
      <c r="I23" s="1218"/>
      <c r="J23" s="1219">
        <v>-76.489999999999995</v>
      </c>
      <c r="K23" s="1219"/>
      <c r="L23" s="3"/>
      <c r="M23" s="69">
        <v>2</v>
      </c>
      <c r="N23" s="391">
        <v>-88.9</v>
      </c>
      <c r="O23" s="1236">
        <v>17761</v>
      </c>
      <c r="P23" s="1236"/>
      <c r="Q23" s="1241">
        <v>27962</v>
      </c>
      <c r="R23" s="1241"/>
    </row>
    <row r="24" spans="2:18" ht="20.25" customHeight="1">
      <c r="B24" s="1245"/>
      <c r="C24" s="1251"/>
      <c r="D24" s="1251"/>
      <c r="E24" s="1253"/>
      <c r="F24" s="1253"/>
      <c r="G24" s="7"/>
      <c r="H24" s="1218" t="s">
        <v>335</v>
      </c>
      <c r="I24" s="1218"/>
      <c r="J24" s="1219">
        <v>-76.489999999999995</v>
      </c>
      <c r="K24" s="1219"/>
      <c r="L24" s="3"/>
      <c r="M24" s="69">
        <v>3</v>
      </c>
      <c r="N24" s="391">
        <v>-64.150000000000006</v>
      </c>
      <c r="O24" s="1236">
        <v>17761</v>
      </c>
      <c r="P24" s="1236"/>
      <c r="Q24" s="1241">
        <v>27962</v>
      </c>
      <c r="R24" s="1241"/>
    </row>
    <row r="25" spans="2:18" ht="20.25" customHeight="1">
      <c r="B25" s="1246" t="s">
        <v>223</v>
      </c>
      <c r="C25" s="1259">
        <v>6.7629999999999999</v>
      </c>
      <c r="D25" s="1259">
        <v>18.399999999999999</v>
      </c>
      <c r="E25" s="1261">
        <v>290553</v>
      </c>
      <c r="F25" s="1261">
        <v>257230</v>
      </c>
      <c r="G25" s="7"/>
      <c r="H25" s="1218" t="s">
        <v>336</v>
      </c>
      <c r="I25" s="1218"/>
      <c r="J25" s="1219">
        <v>-22.08</v>
      </c>
      <c r="K25" s="1219"/>
      <c r="L25" s="3"/>
      <c r="M25" s="69">
        <v>4</v>
      </c>
      <c r="N25" s="391">
        <v>-34.450000000000003</v>
      </c>
      <c r="O25" s="1236">
        <v>17754</v>
      </c>
      <c r="P25" s="1236"/>
      <c r="Q25" s="1241">
        <v>27951</v>
      </c>
      <c r="R25" s="1241"/>
    </row>
    <row r="26" spans="2:18" ht="20.25" customHeight="1">
      <c r="B26" s="1247"/>
      <c r="C26" s="1260"/>
      <c r="D26" s="1260"/>
      <c r="E26" s="1262"/>
      <c r="F26" s="1262"/>
      <c r="G26" s="7"/>
      <c r="H26" s="1218" t="s">
        <v>337</v>
      </c>
      <c r="I26" s="1218"/>
      <c r="J26" s="1219">
        <v>-22.08</v>
      </c>
      <c r="K26" s="1219"/>
      <c r="L26" s="3"/>
      <c r="M26" s="69">
        <v>5</v>
      </c>
      <c r="N26" s="391">
        <v>-9.6999999999999993</v>
      </c>
      <c r="O26" s="1236">
        <v>17754</v>
      </c>
      <c r="P26" s="1236"/>
      <c r="Q26" s="1241">
        <v>27951</v>
      </c>
      <c r="R26" s="1241"/>
    </row>
    <row r="27" spans="2:18" ht="20.25" customHeight="1">
      <c r="B27" s="1248" t="s">
        <v>224</v>
      </c>
      <c r="C27" s="1263">
        <v>7.1379999999999999</v>
      </c>
      <c r="D27" s="1263">
        <v>18.024999999999999</v>
      </c>
      <c r="E27" s="1265">
        <v>284041</v>
      </c>
      <c r="F27" s="1265">
        <v>250718</v>
      </c>
      <c r="G27" s="7"/>
      <c r="H27" s="1218" t="s">
        <v>338</v>
      </c>
      <c r="I27" s="1218"/>
      <c r="J27" s="1219">
        <v>32.35</v>
      </c>
      <c r="K27" s="1219"/>
      <c r="L27" s="3"/>
      <c r="M27" s="69">
        <v>6</v>
      </c>
      <c r="N27" s="391">
        <v>20</v>
      </c>
      <c r="O27" s="1236">
        <v>17760</v>
      </c>
      <c r="P27" s="1236"/>
      <c r="Q27" s="1241">
        <v>27961</v>
      </c>
      <c r="R27" s="1241"/>
    </row>
    <row r="28" spans="2:18" ht="20.25" customHeight="1">
      <c r="B28" s="1249"/>
      <c r="C28" s="1264"/>
      <c r="D28" s="1264"/>
      <c r="E28" s="1266"/>
      <c r="F28" s="1266"/>
      <c r="G28" s="7"/>
      <c r="H28" s="1218" t="s">
        <v>339</v>
      </c>
      <c r="I28" s="1218"/>
      <c r="J28" s="1219">
        <v>32.35</v>
      </c>
      <c r="K28" s="1219"/>
      <c r="L28" s="3"/>
      <c r="M28" s="69">
        <v>7</v>
      </c>
      <c r="N28" s="391">
        <v>44.75</v>
      </c>
      <c r="O28" s="1236">
        <v>17760</v>
      </c>
      <c r="P28" s="1236"/>
      <c r="Q28" s="1241">
        <v>27961</v>
      </c>
      <c r="R28" s="1241"/>
    </row>
    <row r="29" spans="2:18" ht="20.25" customHeight="1">
      <c r="B29" s="1244" t="s">
        <v>225</v>
      </c>
      <c r="C29" s="1250">
        <v>7.5129999999999999</v>
      </c>
      <c r="D29" s="1250">
        <v>17.649999999999999</v>
      </c>
      <c r="E29" s="1252">
        <v>277549</v>
      </c>
      <c r="F29" s="1252">
        <v>244226</v>
      </c>
      <c r="G29" s="7"/>
      <c r="H29" s="1218" t="s">
        <v>340</v>
      </c>
      <c r="I29" s="1218"/>
      <c r="J29" s="1219">
        <v>84.21</v>
      </c>
      <c r="K29" s="1219"/>
      <c r="L29" s="3"/>
      <c r="M29" s="69">
        <v>8</v>
      </c>
      <c r="N29" s="391">
        <v>74.45</v>
      </c>
      <c r="O29" s="1236">
        <v>18188</v>
      </c>
      <c r="P29" s="1236"/>
      <c r="Q29" s="1241">
        <v>28637</v>
      </c>
      <c r="R29" s="1241"/>
    </row>
    <row r="30" spans="2:18" ht="20.25" customHeight="1">
      <c r="B30" s="1245"/>
      <c r="C30" s="1251"/>
      <c r="D30" s="1251"/>
      <c r="E30" s="1253"/>
      <c r="F30" s="1253"/>
      <c r="G30" s="7"/>
      <c r="H30" s="1218" t="s">
        <v>341</v>
      </c>
      <c r="I30" s="1218"/>
      <c r="J30" s="1219">
        <v>84.21</v>
      </c>
      <c r="K30" s="1219"/>
      <c r="L30" s="3"/>
      <c r="M30" s="69">
        <v>9</v>
      </c>
      <c r="N30" s="391">
        <v>99.2</v>
      </c>
      <c r="O30" s="1236">
        <v>18188</v>
      </c>
      <c r="P30" s="1236"/>
      <c r="Q30" s="1241">
        <v>28637</v>
      </c>
      <c r="R30" s="1241"/>
    </row>
    <row r="31" spans="2:18" ht="20.25" customHeight="1">
      <c r="B31" s="27"/>
      <c r="C31" s="27"/>
      <c r="D31" s="27"/>
      <c r="E31" s="27"/>
      <c r="F31" s="27"/>
      <c r="G31" s="7"/>
      <c r="H31" s="1218" t="s">
        <v>421</v>
      </c>
      <c r="I31" s="1218"/>
      <c r="J31" s="1219">
        <v>105.55</v>
      </c>
      <c r="K31" s="1219"/>
      <c r="L31" s="3"/>
      <c r="M31" s="1238" t="s">
        <v>24</v>
      </c>
      <c r="N31" s="1238"/>
      <c r="O31" s="1237">
        <f>SUM(O22:O30)</f>
        <v>164764.9</v>
      </c>
      <c r="P31" s="1237"/>
      <c r="Q31" s="1239"/>
      <c r="R31" s="1240"/>
    </row>
    <row r="32" spans="2:18" ht="20.25" customHeight="1">
      <c r="B32" s="27"/>
      <c r="C32" s="27"/>
      <c r="D32" s="27"/>
      <c r="E32" s="27"/>
      <c r="F32" s="27"/>
      <c r="G32" s="27"/>
      <c r="H32" s="1218" t="s">
        <v>422</v>
      </c>
      <c r="I32" s="1218"/>
      <c r="J32" s="1219">
        <v>105.55</v>
      </c>
      <c r="K32" s="1219"/>
    </row>
    <row r="33" spans="2:11" ht="20.25" customHeight="1">
      <c r="B33" s="27"/>
      <c r="C33" s="27"/>
      <c r="D33" s="27"/>
      <c r="E33" s="27"/>
      <c r="F33" s="27"/>
      <c r="G33" s="27"/>
      <c r="H33" s="1218"/>
      <c r="I33" s="1218"/>
      <c r="J33" s="1219"/>
      <c r="K33" s="1219"/>
    </row>
    <row r="34" spans="2:11" ht="20.25" customHeight="1">
      <c r="B34" s="27"/>
      <c r="C34" s="27"/>
      <c r="D34" s="27"/>
      <c r="E34" s="27"/>
      <c r="F34" s="27"/>
      <c r="G34" s="27"/>
      <c r="H34" s="1218"/>
      <c r="I34" s="1218"/>
      <c r="J34" s="1219"/>
      <c r="K34" s="1219"/>
    </row>
    <row r="35" spans="2:11" ht="20.25" customHeight="1">
      <c r="B35" s="27"/>
      <c r="C35" s="27"/>
      <c r="D35" s="27"/>
      <c r="E35" s="27"/>
      <c r="F35" s="27"/>
      <c r="G35" s="27"/>
      <c r="H35" s="1218"/>
      <c r="I35" s="1218"/>
      <c r="J35" s="1219"/>
      <c r="K35" s="1219"/>
    </row>
    <row r="36" spans="2:11">
      <c r="B36" s="27"/>
      <c r="C36" s="27"/>
      <c r="D36" s="27"/>
      <c r="E36" s="27"/>
      <c r="F36" s="27"/>
      <c r="G36" s="27"/>
      <c r="H36" s="27"/>
      <c r="I36" s="27"/>
      <c r="J36" s="27"/>
      <c r="K36" s="27"/>
    </row>
    <row r="37" spans="2:11">
      <c r="B37" s="27"/>
      <c r="C37" s="27"/>
      <c r="D37" s="27"/>
      <c r="E37" s="27"/>
      <c r="F37" s="27"/>
      <c r="G37" s="27"/>
      <c r="H37" s="27"/>
      <c r="I37" s="27"/>
      <c r="J37" s="27"/>
      <c r="K37" s="27"/>
    </row>
    <row r="38" spans="2:11">
      <c r="B38" s="27"/>
      <c r="C38" s="27"/>
      <c r="D38" s="27"/>
      <c r="E38" s="27"/>
      <c r="F38" s="27"/>
      <c r="G38" s="27"/>
      <c r="H38" s="27"/>
      <c r="I38" s="27"/>
      <c r="J38" s="27"/>
      <c r="K38" s="27"/>
    </row>
    <row r="39" spans="2:11">
      <c r="B39" s="27"/>
      <c r="C39" s="27"/>
      <c r="D39" s="27"/>
      <c r="E39" s="27"/>
      <c r="F39" s="27"/>
      <c r="G39" s="27"/>
      <c r="H39" s="27"/>
      <c r="I39" s="27"/>
      <c r="J39" s="27"/>
      <c r="K39" s="27"/>
    </row>
    <row r="40" spans="2:11">
      <c r="B40" s="27"/>
      <c r="C40" s="27"/>
      <c r="D40" s="27"/>
      <c r="E40" s="27"/>
      <c r="F40" s="27"/>
      <c r="G40" s="27"/>
      <c r="H40" s="27"/>
      <c r="I40" s="27"/>
      <c r="J40" s="27"/>
      <c r="K40" s="27"/>
    </row>
    <row r="41" spans="2:11">
      <c r="B41" s="27"/>
      <c r="C41" s="27"/>
      <c r="D41" s="27"/>
      <c r="E41" s="27"/>
      <c r="F41" s="27"/>
      <c r="G41" s="27"/>
      <c r="H41" s="27"/>
      <c r="I41" s="27"/>
      <c r="J41" s="27"/>
      <c r="K41" s="27"/>
    </row>
    <row r="42" spans="2:11">
      <c r="B42" s="27"/>
      <c r="C42" s="27"/>
      <c r="D42" s="27"/>
      <c r="E42" s="27"/>
      <c r="F42" s="27"/>
      <c r="G42" s="27"/>
      <c r="H42" s="27"/>
      <c r="I42" s="27"/>
      <c r="J42" s="27"/>
      <c r="K42" s="27"/>
    </row>
    <row r="43" spans="2:11">
      <c r="B43" s="27"/>
      <c r="C43" s="27"/>
      <c r="D43" s="27"/>
      <c r="E43" s="27"/>
      <c r="F43" s="27"/>
      <c r="G43" s="27"/>
      <c r="H43" s="27"/>
      <c r="I43" s="27"/>
      <c r="J43" s="27"/>
      <c r="K43" s="27"/>
    </row>
    <row r="44" spans="2:11">
      <c r="B44" s="27"/>
      <c r="C44" s="27"/>
      <c r="D44" s="27"/>
      <c r="E44" s="27"/>
      <c r="F44" s="27"/>
      <c r="G44" s="27"/>
      <c r="H44" s="27"/>
      <c r="I44" s="27"/>
      <c r="J44" s="27"/>
      <c r="K44" s="27"/>
    </row>
    <row r="45" spans="2:11">
      <c r="B45" s="27"/>
      <c r="C45" s="27"/>
      <c r="D45" s="27"/>
      <c r="E45" s="27"/>
      <c r="F45" s="27"/>
      <c r="G45" s="27"/>
      <c r="H45" s="27"/>
      <c r="I45" s="27"/>
      <c r="J45" s="27"/>
      <c r="K45" s="27"/>
    </row>
    <row r="46" spans="2:11">
      <c r="B46" s="27"/>
      <c r="C46" s="27"/>
      <c r="D46" s="27"/>
      <c r="E46" s="27"/>
      <c r="F46" s="27"/>
      <c r="G46" s="27"/>
      <c r="H46" s="27"/>
      <c r="I46" s="27"/>
      <c r="J46" s="27"/>
      <c r="K46" s="27"/>
    </row>
    <row r="47" spans="2:11">
      <c r="B47" s="27"/>
      <c r="C47" s="27"/>
      <c r="D47" s="27"/>
      <c r="E47" s="27"/>
      <c r="F47" s="27"/>
      <c r="G47" s="27"/>
      <c r="H47" s="27"/>
      <c r="I47" s="27"/>
      <c r="J47" s="27"/>
      <c r="K47" s="27"/>
    </row>
    <row r="48" spans="2:11"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49" s="27" customFormat="1"/>
    <row r="50" s="27" customFormat="1"/>
    <row r="51" s="27" customFormat="1"/>
    <row r="52" s="27" customFormat="1"/>
    <row r="53" s="27" customFormat="1"/>
    <row r="54" s="27" customFormat="1"/>
    <row r="55" s="27" customFormat="1"/>
    <row r="56" s="27" customFormat="1"/>
    <row r="57" s="27" customFormat="1"/>
    <row r="58" s="27" customFormat="1"/>
    <row r="59" s="27" customFormat="1"/>
    <row r="60" s="27" customFormat="1"/>
    <row r="61" s="27" customFormat="1"/>
    <row r="62" s="27" customFormat="1"/>
    <row r="63" s="27" customFormat="1"/>
    <row r="64" s="27" customFormat="1"/>
    <row r="65" s="27" customFormat="1"/>
    <row r="66" s="27" customFormat="1"/>
  </sheetData>
  <sheetProtection selectLockedCells="1" selectUnlockedCells="1"/>
  <mergeCells count="143">
    <mergeCell ref="Q20:R21"/>
    <mergeCell ref="O20:P21"/>
    <mergeCell ref="M19:R19"/>
    <mergeCell ref="Q28:R28"/>
    <mergeCell ref="Q29:R29"/>
    <mergeCell ref="O28:P28"/>
    <mergeCell ref="O29:P29"/>
    <mergeCell ref="C29:C30"/>
    <mergeCell ref="D29:D30"/>
    <mergeCell ref="E29:E30"/>
    <mergeCell ref="F29:F30"/>
    <mergeCell ref="Q30:R30"/>
    <mergeCell ref="C25:C26"/>
    <mergeCell ref="D25:D26"/>
    <mergeCell ref="E25:E26"/>
    <mergeCell ref="F25:F26"/>
    <mergeCell ref="C27:C28"/>
    <mergeCell ref="D27:D28"/>
    <mergeCell ref="E27:E28"/>
    <mergeCell ref="O22:P22"/>
    <mergeCell ref="O23:P23"/>
    <mergeCell ref="M20:M21"/>
    <mergeCell ref="F27:F28"/>
    <mergeCell ref="N20:N21"/>
    <mergeCell ref="Q31:R31"/>
    <mergeCell ref="Q22:R22"/>
    <mergeCell ref="Q23:R23"/>
    <mergeCell ref="Q24:R24"/>
    <mergeCell ref="Q25:R25"/>
    <mergeCell ref="Q26:R26"/>
    <mergeCell ref="Q27:R27"/>
    <mergeCell ref="B19:B20"/>
    <mergeCell ref="B21:B22"/>
    <mergeCell ref="B23:B24"/>
    <mergeCell ref="B25:B26"/>
    <mergeCell ref="B27:B28"/>
    <mergeCell ref="B29:B30"/>
    <mergeCell ref="D19:D20"/>
    <mergeCell ref="E19:E20"/>
    <mergeCell ref="F19:F20"/>
    <mergeCell ref="C21:C22"/>
    <mergeCell ref="D21:D22"/>
    <mergeCell ref="E21:E22"/>
    <mergeCell ref="F21:F22"/>
    <mergeCell ref="C23:C24"/>
    <mergeCell ref="D23:D24"/>
    <mergeCell ref="E23:E24"/>
    <mergeCell ref="F23:F24"/>
    <mergeCell ref="H35:I35"/>
    <mergeCell ref="J35:K35"/>
    <mergeCell ref="O24:P24"/>
    <mergeCell ref="H32:I32"/>
    <mergeCell ref="J32:K32"/>
    <mergeCell ref="H33:I33"/>
    <mergeCell ref="J33:K33"/>
    <mergeCell ref="O30:P30"/>
    <mergeCell ref="O31:P31"/>
    <mergeCell ref="O25:P25"/>
    <mergeCell ref="H34:I34"/>
    <mergeCell ref="J34:K34"/>
    <mergeCell ref="J31:K31"/>
    <mergeCell ref="H28:I28"/>
    <mergeCell ref="J28:K28"/>
    <mergeCell ref="J30:K30"/>
    <mergeCell ref="H31:I31"/>
    <mergeCell ref="O26:P26"/>
    <mergeCell ref="O27:P27"/>
    <mergeCell ref="J27:K27"/>
    <mergeCell ref="M31:N31"/>
    <mergeCell ref="H29:I29"/>
    <mergeCell ref="J29:K29"/>
    <mergeCell ref="H30:I30"/>
    <mergeCell ref="H21:I21"/>
    <mergeCell ref="J21:K21"/>
    <mergeCell ref="J20:K20"/>
    <mergeCell ref="H23:I23"/>
    <mergeCell ref="J23:K23"/>
    <mergeCell ref="H24:I24"/>
    <mergeCell ref="J24:K24"/>
    <mergeCell ref="H25:I25"/>
    <mergeCell ref="J25:K25"/>
    <mergeCell ref="J26:K26"/>
    <mergeCell ref="H27:I27"/>
    <mergeCell ref="J22:K22"/>
    <mergeCell ref="H26:I26"/>
    <mergeCell ref="E12:F12"/>
    <mergeCell ref="C2:D2"/>
    <mergeCell ref="E2:I2"/>
    <mergeCell ref="H20:I20"/>
    <mergeCell ref="H17:I17"/>
    <mergeCell ref="H12:I12"/>
    <mergeCell ref="H19:I19"/>
    <mergeCell ref="H11:I11"/>
    <mergeCell ref="C14:D14"/>
    <mergeCell ref="C15:D15"/>
    <mergeCell ref="C19:C20"/>
    <mergeCell ref="C16:D16"/>
    <mergeCell ref="H16:I16"/>
    <mergeCell ref="J11:K11"/>
    <mergeCell ref="J12:K12"/>
    <mergeCell ref="E14:F14"/>
    <mergeCell ref="E15:F15"/>
    <mergeCell ref="E13:F13"/>
    <mergeCell ref="E11:F11"/>
    <mergeCell ref="J19:K19"/>
    <mergeCell ref="H4:K5"/>
    <mergeCell ref="J13:K13"/>
    <mergeCell ref="J10:K10"/>
    <mergeCell ref="E16:F16"/>
    <mergeCell ref="C4:F5"/>
    <mergeCell ref="E6:F6"/>
    <mergeCell ref="E7:F7"/>
    <mergeCell ref="H10:I10"/>
    <mergeCell ref="C11:D11"/>
    <mergeCell ref="C12:D12"/>
    <mergeCell ref="C13:D13"/>
    <mergeCell ref="H13:I13"/>
    <mergeCell ref="H15:I15"/>
    <mergeCell ref="J16:K16"/>
    <mergeCell ref="M4:P5"/>
    <mergeCell ref="H6:I6"/>
    <mergeCell ref="J6:K6"/>
    <mergeCell ref="H7:I7"/>
    <mergeCell ref="J7:K7"/>
    <mergeCell ref="H22:I22"/>
    <mergeCell ref="C6:D6"/>
    <mergeCell ref="C7:D7"/>
    <mergeCell ref="H18:I18"/>
    <mergeCell ref="J18:K18"/>
    <mergeCell ref="H8:I8"/>
    <mergeCell ref="J8:K8"/>
    <mergeCell ref="H9:I9"/>
    <mergeCell ref="H14:I14"/>
    <mergeCell ref="J14:K14"/>
    <mergeCell ref="J17:K17"/>
    <mergeCell ref="E8:F8"/>
    <mergeCell ref="E9:F9"/>
    <mergeCell ref="E10:F10"/>
    <mergeCell ref="C8:D8"/>
    <mergeCell ref="C9:D9"/>
    <mergeCell ref="C10:D10"/>
    <mergeCell ref="J15:K15"/>
    <mergeCell ref="J9:K9"/>
  </mergeCells>
  <phoneticPr fontId="29" type="noConversion"/>
  <pageMargins left="0.7" right="0.7" top="1.3149999999999999" bottom="0.75" header="0.3" footer="0.3"/>
  <pageSetup paperSize="9"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5"/>
  <dimension ref="B2:G105"/>
  <sheetViews>
    <sheetView showGridLines="0" showRowColHeaders="0" zoomScale="115" zoomScaleNormal="115" zoomScaleSheetLayoutView="100" workbookViewId="0">
      <pane ySplit="2" topLeftCell="A60" activePane="bottomLeft" state="frozen"/>
      <selection pane="bottomLeft" activeCell="G78" sqref="G78"/>
    </sheetView>
  </sheetViews>
  <sheetFormatPr defaultColWidth="9" defaultRowHeight="15.75"/>
  <cols>
    <col min="1" max="1" width="5.875" style="143" customWidth="1"/>
    <col min="2" max="2" width="8.375" style="157" customWidth="1"/>
    <col min="3" max="3" width="14.5" style="158" customWidth="1"/>
    <col min="4" max="4" width="14.5" style="157" customWidth="1"/>
    <col min="5" max="5" width="14.5" style="159" customWidth="1"/>
    <col min="6" max="6" width="14.5" style="157" customWidth="1"/>
    <col min="7" max="7" width="14.5" style="160" customWidth="1"/>
    <col min="8" max="16384" width="9" style="143"/>
  </cols>
  <sheetData>
    <row r="2" spans="2:7">
      <c r="B2" s="220" t="s">
        <v>25</v>
      </c>
      <c r="C2" s="221" t="s">
        <v>26</v>
      </c>
      <c r="D2" s="220" t="s">
        <v>27</v>
      </c>
      <c r="E2" s="222" t="s">
        <v>28</v>
      </c>
      <c r="F2" s="220" t="s">
        <v>54</v>
      </c>
      <c r="G2" s="222" t="s">
        <v>125</v>
      </c>
    </row>
    <row r="3" spans="2:7">
      <c r="B3" s="223">
        <v>6</v>
      </c>
      <c r="C3" s="144">
        <v>87474</v>
      </c>
      <c r="D3" s="144">
        <v>153.80000000000001</v>
      </c>
      <c r="E3" s="145">
        <v>-14.35</v>
      </c>
      <c r="F3" s="144">
        <v>2892</v>
      </c>
      <c r="G3" s="145">
        <v>-15.19</v>
      </c>
    </row>
    <row r="4" spans="2:7">
      <c r="B4" s="219">
        <v>6.2</v>
      </c>
      <c r="C4" s="144">
        <v>90554</v>
      </c>
      <c r="D4" s="144">
        <v>154.19999999999999</v>
      </c>
      <c r="E4" s="145">
        <v>-14.27</v>
      </c>
      <c r="F4" s="144">
        <v>2906</v>
      </c>
      <c r="G4" s="145">
        <v>-15.16</v>
      </c>
    </row>
    <row r="5" spans="2:7">
      <c r="B5" s="219">
        <v>6.4</v>
      </c>
      <c r="C5" s="144">
        <v>93640</v>
      </c>
      <c r="D5" s="144">
        <v>154.5</v>
      </c>
      <c r="E5" s="145">
        <v>-14.17</v>
      </c>
      <c r="F5" s="144">
        <v>2920.4</v>
      </c>
      <c r="G5" s="145">
        <v>-15.12</v>
      </c>
    </row>
    <row r="6" spans="2:7">
      <c r="B6" s="219">
        <v>6.6</v>
      </c>
      <c r="C6" s="144">
        <v>96732</v>
      </c>
      <c r="D6" s="144">
        <v>154.80000000000001</v>
      </c>
      <c r="E6" s="145">
        <v>-14.07</v>
      </c>
      <c r="F6" s="144">
        <v>2934.9</v>
      </c>
      <c r="G6" s="145">
        <v>-15.09</v>
      </c>
    </row>
    <row r="7" spans="2:7">
      <c r="B7" s="219">
        <v>6.8</v>
      </c>
      <c r="C7" s="144">
        <v>99830</v>
      </c>
      <c r="D7" s="144">
        <v>155.1</v>
      </c>
      <c r="E7" s="145">
        <v>-13.96</v>
      </c>
      <c r="F7" s="144">
        <v>2949.5</v>
      </c>
      <c r="G7" s="145">
        <v>-15.05</v>
      </c>
    </row>
    <row r="8" spans="2:7">
      <c r="B8" s="223">
        <v>7</v>
      </c>
      <c r="C8" s="144">
        <v>102934</v>
      </c>
      <c r="D8" s="144">
        <v>155.4</v>
      </c>
      <c r="E8" s="145">
        <v>-13.84</v>
      </c>
      <c r="F8" s="144">
        <v>2964</v>
      </c>
      <c r="G8" s="145">
        <v>-15.01</v>
      </c>
    </row>
    <row r="9" spans="2:7">
      <c r="B9" s="219">
        <v>7.2</v>
      </c>
      <c r="C9" s="144">
        <v>106044</v>
      </c>
      <c r="D9" s="144">
        <v>155.69999999999999</v>
      </c>
      <c r="E9" s="145">
        <v>-13.72</v>
      </c>
      <c r="F9" s="144">
        <v>2978.3</v>
      </c>
      <c r="G9" s="145">
        <v>-14.97</v>
      </c>
    </row>
    <row r="10" spans="2:7">
      <c r="B10" s="219">
        <v>7.4</v>
      </c>
      <c r="C10" s="144">
        <v>109160</v>
      </c>
      <c r="D10" s="144">
        <v>156</v>
      </c>
      <c r="E10" s="145">
        <v>-13.6</v>
      </c>
      <c r="F10" s="144">
        <v>2992.4</v>
      </c>
      <c r="G10" s="145">
        <v>-14.93</v>
      </c>
    </row>
    <row r="11" spans="2:7">
      <c r="B11" s="219">
        <v>7.6</v>
      </c>
      <c r="C11" s="144">
        <v>112282</v>
      </c>
      <c r="D11" s="144">
        <v>156.30000000000001</v>
      </c>
      <c r="E11" s="145">
        <v>-13.48</v>
      </c>
      <c r="F11" s="144">
        <v>3006.4</v>
      </c>
      <c r="G11" s="145">
        <v>-14.89</v>
      </c>
    </row>
    <row r="12" spans="2:7">
      <c r="B12" s="219">
        <v>7.8</v>
      </c>
      <c r="C12" s="144">
        <v>115410</v>
      </c>
      <c r="D12" s="144">
        <v>156.6</v>
      </c>
      <c r="E12" s="145">
        <v>-13.34</v>
      </c>
      <c r="F12" s="144">
        <v>3020.4</v>
      </c>
      <c r="G12" s="145">
        <v>-14.85</v>
      </c>
    </row>
    <row r="13" spans="2:7">
      <c r="B13" s="223">
        <v>8</v>
      </c>
      <c r="C13" s="144">
        <v>118544</v>
      </c>
      <c r="D13" s="144">
        <v>156.9</v>
      </c>
      <c r="E13" s="145">
        <v>-13.21</v>
      </c>
      <c r="F13" s="144">
        <v>3034.5</v>
      </c>
      <c r="G13" s="145">
        <v>-14.8</v>
      </c>
    </row>
    <row r="14" spans="2:7">
      <c r="B14" s="219">
        <v>8.1999999999999993</v>
      </c>
      <c r="C14" s="144">
        <v>121683</v>
      </c>
      <c r="D14" s="144">
        <v>157.1</v>
      </c>
      <c r="E14" s="145">
        <v>-13.06</v>
      </c>
      <c r="F14" s="144">
        <v>3048.8</v>
      </c>
      <c r="G14" s="145">
        <v>-14.76</v>
      </c>
    </row>
    <row r="15" spans="2:7">
      <c r="B15" s="219">
        <v>8.4</v>
      </c>
      <c r="C15" s="144">
        <v>124828</v>
      </c>
      <c r="D15" s="144">
        <v>157.4</v>
      </c>
      <c r="E15" s="145">
        <v>-12.91</v>
      </c>
      <c r="F15" s="144">
        <v>3063.3</v>
      </c>
      <c r="G15" s="145">
        <v>-14.71</v>
      </c>
    </row>
    <row r="16" spans="2:7">
      <c r="B16" s="219">
        <v>8.6</v>
      </c>
      <c r="C16" s="144">
        <v>127978</v>
      </c>
      <c r="D16" s="144">
        <v>157.69999999999999</v>
      </c>
      <c r="E16" s="145">
        <v>-12.75</v>
      </c>
      <c r="F16" s="144">
        <v>3078.2</v>
      </c>
      <c r="G16" s="145">
        <v>-14.66</v>
      </c>
    </row>
    <row r="17" spans="2:7">
      <c r="B17" s="219">
        <v>8.8000000000000007</v>
      </c>
      <c r="C17" s="144">
        <v>131135</v>
      </c>
      <c r="D17" s="144">
        <v>158</v>
      </c>
      <c r="E17" s="145">
        <v>-12.58</v>
      </c>
      <c r="F17" s="144">
        <v>3093.4</v>
      </c>
      <c r="G17" s="145">
        <v>-14.61</v>
      </c>
    </row>
    <row r="18" spans="2:7">
      <c r="B18" s="223">
        <v>9</v>
      </c>
      <c r="C18" s="144">
        <v>134298</v>
      </c>
      <c r="D18" s="144">
        <v>158.30000000000001</v>
      </c>
      <c r="E18" s="145">
        <v>-12.4</v>
      </c>
      <c r="F18" s="144">
        <v>3109.1</v>
      </c>
      <c r="G18" s="145">
        <v>-14.56</v>
      </c>
    </row>
    <row r="19" spans="2:7">
      <c r="B19" s="219">
        <v>9.1999999999999993</v>
      </c>
      <c r="C19" s="144">
        <v>137467</v>
      </c>
      <c r="D19" s="144">
        <v>158.6</v>
      </c>
      <c r="E19" s="145">
        <v>-12.21</v>
      </c>
      <c r="F19" s="144">
        <v>3125.4</v>
      </c>
      <c r="G19" s="145">
        <v>-14.51</v>
      </c>
    </row>
    <row r="20" spans="2:7">
      <c r="B20" s="219">
        <v>9.4</v>
      </c>
      <c r="C20" s="144">
        <v>140642</v>
      </c>
      <c r="D20" s="144">
        <v>158.9</v>
      </c>
      <c r="E20" s="145">
        <v>-12.01</v>
      </c>
      <c r="F20" s="144">
        <v>3142.2</v>
      </c>
      <c r="G20" s="145">
        <v>-14.45</v>
      </c>
    </row>
    <row r="21" spans="2:7">
      <c r="B21" s="219">
        <v>9.6</v>
      </c>
      <c r="C21" s="144">
        <v>143823</v>
      </c>
      <c r="D21" s="144">
        <v>159.19999999999999</v>
      </c>
      <c r="E21" s="145">
        <v>-11.8</v>
      </c>
      <c r="F21" s="144">
        <v>3159.5</v>
      </c>
      <c r="G21" s="145">
        <v>-14.39</v>
      </c>
    </row>
    <row r="22" spans="2:7">
      <c r="B22" s="219">
        <v>9.8000000000000007</v>
      </c>
      <c r="C22" s="144">
        <v>147011</v>
      </c>
      <c r="D22" s="144">
        <v>159.6</v>
      </c>
      <c r="E22" s="145">
        <v>-11.59</v>
      </c>
      <c r="F22" s="144">
        <v>3177.3</v>
      </c>
      <c r="G22" s="145">
        <v>-14.33</v>
      </c>
    </row>
    <row r="23" spans="2:7">
      <c r="B23" s="223">
        <v>10</v>
      </c>
      <c r="C23" s="144">
        <v>150205</v>
      </c>
      <c r="D23" s="144">
        <v>159.9</v>
      </c>
      <c r="E23" s="145">
        <v>-11.36</v>
      </c>
      <c r="F23" s="144">
        <v>3195.6</v>
      </c>
      <c r="G23" s="145">
        <v>-14.27</v>
      </c>
    </row>
    <row r="24" spans="2:7">
      <c r="B24" s="219">
        <v>10.199999999999999</v>
      </c>
      <c r="C24" s="144">
        <v>153405</v>
      </c>
      <c r="D24" s="144">
        <v>160.19999999999999</v>
      </c>
      <c r="E24" s="145">
        <v>-11.13</v>
      </c>
      <c r="F24" s="144">
        <v>3214.3</v>
      </c>
      <c r="G24" s="145">
        <v>-14.2</v>
      </c>
    </row>
    <row r="25" spans="2:7">
      <c r="B25" s="219">
        <v>10.4</v>
      </c>
      <c r="C25" s="144">
        <v>156612</v>
      </c>
      <c r="D25" s="144">
        <v>160.5</v>
      </c>
      <c r="E25" s="145">
        <v>-10.89</v>
      </c>
      <c r="F25" s="144">
        <v>3233.3</v>
      </c>
      <c r="G25" s="145">
        <v>-14.13</v>
      </c>
    </row>
    <row r="26" spans="2:7">
      <c r="B26" s="219">
        <v>10.6</v>
      </c>
      <c r="C26" s="144">
        <v>159826</v>
      </c>
      <c r="D26" s="144">
        <v>160.9</v>
      </c>
      <c r="E26" s="145">
        <v>-10.65</v>
      </c>
      <c r="F26" s="144">
        <v>3252.8</v>
      </c>
      <c r="G26" s="145">
        <v>-14.07</v>
      </c>
    </row>
    <row r="27" spans="2:7">
      <c r="B27" s="219">
        <v>10.8</v>
      </c>
      <c r="C27" s="144">
        <v>163047</v>
      </c>
      <c r="D27" s="144">
        <v>161.19999999999999</v>
      </c>
      <c r="E27" s="145">
        <v>-10.39</v>
      </c>
      <c r="F27" s="144">
        <v>3272.6</v>
      </c>
      <c r="G27" s="145">
        <v>-13.99</v>
      </c>
    </row>
    <row r="28" spans="2:7">
      <c r="B28" s="223">
        <v>11</v>
      </c>
      <c r="C28" s="144">
        <v>166274</v>
      </c>
      <c r="D28" s="144">
        <v>161.6</v>
      </c>
      <c r="E28" s="145">
        <v>-10.130000000000001</v>
      </c>
      <c r="F28" s="144">
        <v>3292.7</v>
      </c>
      <c r="G28" s="145">
        <v>-13.92</v>
      </c>
    </row>
    <row r="29" spans="2:7">
      <c r="B29" s="219">
        <v>11.2</v>
      </c>
      <c r="C29" s="144">
        <v>169508</v>
      </c>
      <c r="D29" s="144">
        <v>161.9</v>
      </c>
      <c r="E29" s="145">
        <v>-9.86</v>
      </c>
      <c r="F29" s="144">
        <v>3313.1</v>
      </c>
      <c r="G29" s="145">
        <v>-13.84</v>
      </c>
    </row>
    <row r="30" spans="2:7">
      <c r="B30" s="219">
        <v>11.4</v>
      </c>
      <c r="C30" s="144">
        <v>172750</v>
      </c>
      <c r="D30" s="144">
        <v>162.30000000000001</v>
      </c>
      <c r="E30" s="145">
        <v>-9.58</v>
      </c>
      <c r="F30" s="144">
        <v>3333.9</v>
      </c>
      <c r="G30" s="145">
        <v>-13.76</v>
      </c>
    </row>
    <row r="31" spans="2:7">
      <c r="B31" s="219">
        <v>11.6</v>
      </c>
      <c r="C31" s="144">
        <v>175999</v>
      </c>
      <c r="D31" s="144">
        <v>162.6</v>
      </c>
      <c r="E31" s="145">
        <v>-9.3000000000000007</v>
      </c>
      <c r="F31" s="144">
        <v>3354.8</v>
      </c>
      <c r="G31" s="145">
        <v>-13.68</v>
      </c>
    </row>
    <row r="32" spans="2:7">
      <c r="B32" s="219">
        <v>11.8</v>
      </c>
      <c r="C32" s="144">
        <v>179254</v>
      </c>
      <c r="D32" s="144">
        <v>163</v>
      </c>
      <c r="E32" s="145">
        <v>-9</v>
      </c>
      <c r="F32" s="144">
        <v>3376.1</v>
      </c>
      <c r="G32" s="145">
        <v>-13.6</v>
      </c>
    </row>
    <row r="33" spans="2:7">
      <c r="B33" s="223">
        <v>12</v>
      </c>
      <c r="C33" s="144">
        <v>182517</v>
      </c>
      <c r="D33" s="144">
        <v>163.30000000000001</v>
      </c>
      <c r="E33" s="145">
        <v>-8.7100000000000009</v>
      </c>
      <c r="F33" s="144">
        <v>3397.5</v>
      </c>
      <c r="G33" s="145">
        <v>-13.51</v>
      </c>
    </row>
    <row r="34" spans="2:7">
      <c r="B34" s="219">
        <v>12.2</v>
      </c>
      <c r="C34" s="144">
        <v>185787</v>
      </c>
      <c r="D34" s="144">
        <v>163.69999999999999</v>
      </c>
      <c r="E34" s="145">
        <v>-8.41</v>
      </c>
      <c r="F34" s="144">
        <v>3419.1</v>
      </c>
      <c r="G34" s="145">
        <v>-13.42</v>
      </c>
    </row>
    <row r="35" spans="2:7">
      <c r="B35" s="219">
        <v>12.4</v>
      </c>
      <c r="C35" s="144">
        <v>189065</v>
      </c>
      <c r="D35" s="144">
        <v>164.1</v>
      </c>
      <c r="E35" s="145">
        <v>-8.1</v>
      </c>
      <c r="F35" s="144">
        <v>3441</v>
      </c>
      <c r="G35" s="145">
        <v>-13.33</v>
      </c>
    </row>
    <row r="36" spans="2:7">
      <c r="B36" s="219">
        <v>12.6</v>
      </c>
      <c r="C36" s="144">
        <v>192349</v>
      </c>
      <c r="D36" s="144">
        <v>164.4</v>
      </c>
      <c r="E36" s="145">
        <v>-7.79</v>
      </c>
      <c r="F36" s="144">
        <v>3462.9</v>
      </c>
      <c r="G36" s="145">
        <v>-13.24</v>
      </c>
    </row>
    <row r="37" spans="2:7">
      <c r="B37" s="219">
        <v>12.8</v>
      </c>
      <c r="C37" s="144">
        <v>195641</v>
      </c>
      <c r="D37" s="144">
        <v>164.8</v>
      </c>
      <c r="E37" s="145">
        <v>-7.48</v>
      </c>
      <c r="F37" s="144">
        <v>3484.9</v>
      </c>
      <c r="G37" s="145">
        <v>-13.14</v>
      </c>
    </row>
    <row r="38" spans="2:7">
      <c r="B38" s="223">
        <v>13</v>
      </c>
      <c r="C38" s="144">
        <v>198940</v>
      </c>
      <c r="D38" s="144">
        <v>165.1</v>
      </c>
      <c r="E38" s="145">
        <v>-7.17</v>
      </c>
      <c r="F38" s="144">
        <v>3507</v>
      </c>
      <c r="G38" s="145">
        <v>-13.04</v>
      </c>
    </row>
    <row r="39" spans="2:7">
      <c r="B39" s="219">
        <v>13.2</v>
      </c>
      <c r="C39" s="144">
        <v>202245</v>
      </c>
      <c r="D39" s="144">
        <v>165.5</v>
      </c>
      <c r="E39" s="145">
        <v>-6.85</v>
      </c>
      <c r="F39" s="144">
        <v>3529.2</v>
      </c>
      <c r="G39" s="145">
        <v>-12.94</v>
      </c>
    </row>
    <row r="40" spans="2:7">
      <c r="B40" s="219">
        <v>13.4</v>
      </c>
      <c r="C40" s="144">
        <v>205559</v>
      </c>
      <c r="D40" s="144">
        <v>165.8</v>
      </c>
      <c r="E40" s="145">
        <v>-6.53</v>
      </c>
      <c r="F40" s="144">
        <v>3551.3</v>
      </c>
      <c r="G40" s="145">
        <v>-12.84</v>
      </c>
    </row>
    <row r="41" spans="2:7">
      <c r="B41" s="219">
        <v>13.6</v>
      </c>
      <c r="C41" s="144">
        <v>208879</v>
      </c>
      <c r="D41" s="144">
        <v>166.2</v>
      </c>
      <c r="E41" s="145">
        <v>-6.22</v>
      </c>
      <c r="F41" s="144">
        <v>3573.6</v>
      </c>
      <c r="G41" s="145">
        <v>-12.74</v>
      </c>
    </row>
    <row r="42" spans="2:7">
      <c r="B42" s="219">
        <v>13.8</v>
      </c>
      <c r="C42" s="144">
        <v>212206</v>
      </c>
      <c r="D42" s="144">
        <v>166.5</v>
      </c>
      <c r="E42" s="145">
        <v>-5.9</v>
      </c>
      <c r="F42" s="144">
        <v>3595.9</v>
      </c>
      <c r="G42" s="145">
        <v>-12.63</v>
      </c>
    </row>
    <row r="43" spans="2:7">
      <c r="B43" s="223">
        <v>14</v>
      </c>
      <c r="C43" s="144">
        <v>215540</v>
      </c>
      <c r="D43" s="144">
        <v>166.9</v>
      </c>
      <c r="E43" s="145">
        <v>-5.58</v>
      </c>
      <c r="F43" s="144">
        <v>3618.3</v>
      </c>
      <c r="G43" s="145">
        <v>-12.52</v>
      </c>
    </row>
    <row r="44" spans="2:7">
      <c r="B44" s="219">
        <v>14.2</v>
      </c>
      <c r="C44" s="144">
        <v>218882</v>
      </c>
      <c r="D44" s="144">
        <v>167.3</v>
      </c>
      <c r="E44" s="145">
        <v>-5.26</v>
      </c>
      <c r="F44" s="144">
        <v>3640.9</v>
      </c>
      <c r="G44" s="145">
        <v>-12.41</v>
      </c>
    </row>
    <row r="45" spans="2:7">
      <c r="B45" s="219">
        <v>14.4</v>
      </c>
      <c r="C45" s="144">
        <v>222230</v>
      </c>
      <c r="D45" s="144">
        <v>167.6</v>
      </c>
      <c r="E45" s="145">
        <v>-4.9400000000000004</v>
      </c>
      <c r="F45" s="144">
        <v>3663.5</v>
      </c>
      <c r="G45" s="145">
        <v>-12.3</v>
      </c>
    </row>
    <row r="46" spans="2:7">
      <c r="B46" s="219">
        <v>14.6</v>
      </c>
      <c r="C46" s="144">
        <v>225586</v>
      </c>
      <c r="D46" s="144">
        <v>167.9</v>
      </c>
      <c r="E46" s="145">
        <v>-4.63</v>
      </c>
      <c r="F46" s="144">
        <v>3686</v>
      </c>
      <c r="G46" s="145">
        <v>-12.18</v>
      </c>
    </row>
    <row r="47" spans="2:7">
      <c r="B47" s="219">
        <v>14.8</v>
      </c>
      <c r="C47" s="144">
        <v>228948</v>
      </c>
      <c r="D47" s="144">
        <v>168.3</v>
      </c>
      <c r="E47" s="145">
        <v>-4.32</v>
      </c>
      <c r="F47" s="144">
        <v>3708.2</v>
      </c>
      <c r="G47" s="145">
        <v>-12.07</v>
      </c>
    </row>
    <row r="48" spans="2:7">
      <c r="B48" s="223">
        <v>15</v>
      </c>
      <c r="C48" s="144">
        <v>232317</v>
      </c>
      <c r="D48" s="144">
        <v>168.6</v>
      </c>
      <c r="E48" s="145">
        <v>-4.03</v>
      </c>
      <c r="F48" s="144">
        <v>3730.1</v>
      </c>
      <c r="G48" s="145">
        <v>-11.95</v>
      </c>
    </row>
    <row r="49" spans="2:7">
      <c r="B49" s="219">
        <v>15.2</v>
      </c>
      <c r="C49" s="144">
        <v>235690</v>
      </c>
      <c r="D49" s="144">
        <v>168.9</v>
      </c>
      <c r="E49" s="145">
        <v>-3.73</v>
      </c>
      <c r="F49" s="144">
        <v>3751.6</v>
      </c>
      <c r="G49" s="145">
        <v>-11.84</v>
      </c>
    </row>
    <row r="50" spans="2:7">
      <c r="B50" s="219">
        <v>15.4</v>
      </c>
      <c r="C50" s="144">
        <v>239071</v>
      </c>
      <c r="D50" s="144">
        <v>169.2</v>
      </c>
      <c r="E50" s="145">
        <v>-3.45</v>
      </c>
      <c r="F50" s="144">
        <v>3772.6</v>
      </c>
      <c r="G50" s="145">
        <v>-11.72</v>
      </c>
    </row>
    <row r="51" spans="2:7">
      <c r="B51" s="219">
        <v>15.6</v>
      </c>
      <c r="C51" s="144">
        <v>242458</v>
      </c>
      <c r="D51" s="144">
        <v>169.5</v>
      </c>
      <c r="E51" s="145">
        <v>-3.17</v>
      </c>
      <c r="F51" s="144">
        <v>3793.5</v>
      </c>
      <c r="G51" s="145">
        <v>-11.6</v>
      </c>
    </row>
    <row r="52" spans="2:7">
      <c r="B52" s="219">
        <v>15.8</v>
      </c>
      <c r="C52" s="144">
        <v>245851</v>
      </c>
      <c r="D52" s="144">
        <v>169.9</v>
      </c>
      <c r="E52" s="145">
        <v>-2.9</v>
      </c>
      <c r="F52" s="144">
        <v>3814.4</v>
      </c>
      <c r="G52" s="145">
        <v>-11.49</v>
      </c>
    </row>
    <row r="53" spans="2:7">
      <c r="B53" s="223">
        <v>16</v>
      </c>
      <c r="C53" s="144">
        <v>249251</v>
      </c>
      <c r="D53" s="144">
        <v>170.2</v>
      </c>
      <c r="E53" s="145">
        <v>-2.63</v>
      </c>
      <c r="F53" s="144">
        <v>3835.5</v>
      </c>
      <c r="G53" s="145">
        <v>-11.37</v>
      </c>
    </row>
    <row r="54" spans="2:7">
      <c r="B54" s="219">
        <v>16.2</v>
      </c>
      <c r="C54" s="144">
        <v>252658</v>
      </c>
      <c r="D54" s="144">
        <v>170.5</v>
      </c>
      <c r="E54" s="145">
        <v>-2.35</v>
      </c>
      <c r="F54" s="144">
        <v>3856.9</v>
      </c>
      <c r="G54" s="145">
        <v>-11.25</v>
      </c>
    </row>
    <row r="55" spans="2:7">
      <c r="B55" s="219">
        <v>16.399999999999999</v>
      </c>
      <c r="C55" s="144">
        <v>256071</v>
      </c>
      <c r="D55" s="144">
        <v>170.8</v>
      </c>
      <c r="E55" s="145">
        <v>-2.08</v>
      </c>
      <c r="F55" s="144">
        <v>3878.6</v>
      </c>
      <c r="G55" s="145">
        <v>-11.13</v>
      </c>
    </row>
    <row r="56" spans="2:7">
      <c r="B56" s="219">
        <v>16.600000000000001</v>
      </c>
      <c r="C56" s="144">
        <v>259490</v>
      </c>
      <c r="D56" s="144">
        <v>171.2</v>
      </c>
      <c r="E56" s="145">
        <v>-1.8</v>
      </c>
      <c r="F56" s="144">
        <v>3900.7</v>
      </c>
      <c r="G56" s="145">
        <v>-11</v>
      </c>
    </row>
    <row r="57" spans="2:7">
      <c r="B57" s="219">
        <v>16.8</v>
      </c>
      <c r="C57" s="144">
        <v>262916</v>
      </c>
      <c r="D57" s="144">
        <v>171.5</v>
      </c>
      <c r="E57" s="145">
        <v>-1.53</v>
      </c>
      <c r="F57" s="144">
        <v>3923.2</v>
      </c>
      <c r="G57" s="145">
        <v>-10.88</v>
      </c>
    </row>
    <row r="58" spans="2:7">
      <c r="B58" s="223">
        <v>17</v>
      </c>
      <c r="C58" s="144">
        <v>266349</v>
      </c>
      <c r="D58" s="144">
        <v>171.8</v>
      </c>
      <c r="E58" s="145">
        <v>-1.25</v>
      </c>
      <c r="F58" s="144">
        <v>3946</v>
      </c>
      <c r="G58" s="145">
        <v>-10.76</v>
      </c>
    </row>
    <row r="59" spans="2:7">
      <c r="B59" s="219">
        <v>17.2</v>
      </c>
      <c r="C59" s="144">
        <v>269788</v>
      </c>
      <c r="D59" s="144">
        <v>172.1</v>
      </c>
      <c r="E59" s="145">
        <v>-0.97</v>
      </c>
      <c r="F59" s="144">
        <v>3969.1</v>
      </c>
      <c r="G59" s="145">
        <v>-10.64</v>
      </c>
    </row>
    <row r="60" spans="2:7">
      <c r="B60" s="219">
        <v>17.399999999999999</v>
      </c>
      <c r="C60" s="144">
        <v>273233</v>
      </c>
      <c r="D60" s="144">
        <v>172.4</v>
      </c>
      <c r="E60" s="145">
        <v>-0.69</v>
      </c>
      <c r="F60" s="144">
        <v>3992.3</v>
      </c>
      <c r="G60" s="145">
        <v>-10.51</v>
      </c>
    </row>
    <row r="61" spans="2:7">
      <c r="B61" s="219">
        <v>17.600000000000001</v>
      </c>
      <c r="C61" s="144">
        <v>276685</v>
      </c>
      <c r="D61" s="144">
        <v>172.7</v>
      </c>
      <c r="E61" s="145">
        <v>-0.42</v>
      </c>
      <c r="F61" s="144">
        <v>4015.1</v>
      </c>
      <c r="G61" s="145">
        <v>-10.39</v>
      </c>
    </row>
    <row r="62" spans="2:7">
      <c r="B62" s="219">
        <v>17.8</v>
      </c>
      <c r="C62" s="144">
        <v>280143</v>
      </c>
      <c r="D62" s="144">
        <v>173.1</v>
      </c>
      <c r="E62" s="145">
        <v>-0.16</v>
      </c>
      <c r="F62" s="144">
        <v>4037.2</v>
      </c>
      <c r="G62" s="145">
        <v>-10.26</v>
      </c>
    </row>
    <row r="63" spans="2:7">
      <c r="B63" s="223">
        <v>18</v>
      </c>
      <c r="C63" s="144">
        <v>283607</v>
      </c>
      <c r="D63" s="144">
        <v>173.4</v>
      </c>
      <c r="E63" s="145">
        <v>0.09</v>
      </c>
      <c r="F63" s="144">
        <v>4058.2</v>
      </c>
      <c r="G63" s="145">
        <v>-10.14</v>
      </c>
    </row>
    <row r="64" spans="2:7">
      <c r="B64" s="219">
        <v>18.2</v>
      </c>
      <c r="C64" s="144">
        <v>287077</v>
      </c>
      <c r="D64" s="144">
        <v>173.6</v>
      </c>
      <c r="E64" s="145">
        <v>0.32</v>
      </c>
      <c r="F64" s="144">
        <v>4077.9</v>
      </c>
      <c r="G64" s="145">
        <v>-10.01</v>
      </c>
    </row>
    <row r="65" spans="2:7">
      <c r="B65" s="219">
        <v>18.399999999999999</v>
      </c>
      <c r="C65" s="144">
        <v>290553</v>
      </c>
      <c r="D65" s="144">
        <v>174</v>
      </c>
      <c r="E65" s="145">
        <v>0.53</v>
      </c>
      <c r="F65" s="144">
        <v>4096.2</v>
      </c>
      <c r="G65" s="145">
        <v>-9.89</v>
      </c>
    </row>
    <row r="66" spans="2:7">
      <c r="B66" s="219">
        <v>18.600000000000001</v>
      </c>
      <c r="C66" s="144">
        <v>294034</v>
      </c>
      <c r="D66" s="144">
        <v>174.2</v>
      </c>
      <c r="E66" s="145">
        <v>0.73</v>
      </c>
      <c r="F66" s="144">
        <v>4113.1000000000004</v>
      </c>
      <c r="G66" s="145">
        <v>-9.76</v>
      </c>
    </row>
    <row r="67" spans="2:7">
      <c r="B67" s="219">
        <v>18.8</v>
      </c>
      <c r="C67" s="144">
        <v>297520</v>
      </c>
      <c r="D67" s="144">
        <v>174.4</v>
      </c>
      <c r="E67" s="145">
        <v>0.9</v>
      </c>
      <c r="F67" s="144">
        <v>4128.7</v>
      </c>
      <c r="G67" s="145">
        <v>-9.64</v>
      </c>
    </row>
    <row r="68" spans="2:7">
      <c r="B68" s="223">
        <v>19</v>
      </c>
      <c r="C68" s="144">
        <v>301011</v>
      </c>
      <c r="D68" s="144">
        <v>174.6</v>
      </c>
      <c r="E68" s="145">
        <v>1.06</v>
      </c>
      <c r="F68" s="144">
        <v>4142.8999999999996</v>
      </c>
      <c r="G68" s="145">
        <v>-9.52</v>
      </c>
    </row>
    <row r="69" spans="2:7">
      <c r="B69" s="219">
        <v>19.2</v>
      </c>
      <c r="C69" s="144">
        <v>304505</v>
      </c>
      <c r="D69" s="144">
        <v>174.8</v>
      </c>
      <c r="E69" s="145">
        <v>1.2</v>
      </c>
      <c r="F69" s="144">
        <v>4155.8999999999996</v>
      </c>
      <c r="G69" s="145">
        <v>-9.39</v>
      </c>
    </row>
    <row r="70" spans="2:7">
      <c r="B70" s="219">
        <v>19.399999999999999</v>
      </c>
      <c r="C70" s="144">
        <v>308003</v>
      </c>
      <c r="D70" s="144">
        <v>175</v>
      </c>
      <c r="E70" s="145">
        <v>1.33</v>
      </c>
      <c r="F70" s="144">
        <v>4167.8999999999996</v>
      </c>
      <c r="G70" s="145">
        <v>-9.27</v>
      </c>
    </row>
    <row r="71" spans="2:7">
      <c r="B71" s="219">
        <v>19.600000000000001</v>
      </c>
      <c r="C71" s="144">
        <v>311504</v>
      </c>
      <c r="D71" s="144">
        <v>175.2</v>
      </c>
      <c r="E71" s="145">
        <v>1.44</v>
      </c>
      <c r="F71" s="144">
        <v>4178.8999999999996</v>
      </c>
      <c r="G71" s="145">
        <v>-9.15</v>
      </c>
    </row>
    <row r="72" spans="2:7">
      <c r="B72" s="219">
        <v>19.8</v>
      </c>
      <c r="C72" s="144">
        <v>315008</v>
      </c>
      <c r="D72" s="144">
        <v>175.3</v>
      </c>
      <c r="E72" s="145">
        <v>1.54</v>
      </c>
      <c r="F72" s="144">
        <v>4189.3</v>
      </c>
      <c r="G72" s="145">
        <v>-9.0299999999999994</v>
      </c>
    </row>
    <row r="73" spans="2:7">
      <c r="B73" s="223">
        <v>20</v>
      </c>
      <c r="C73" s="144">
        <v>318516</v>
      </c>
      <c r="D73" s="144">
        <v>175.5</v>
      </c>
      <c r="E73" s="145">
        <v>1.63</v>
      </c>
      <c r="F73" s="144">
        <v>4199.2</v>
      </c>
      <c r="G73" s="145">
        <v>-8.92</v>
      </c>
    </row>
    <row r="74" spans="2:7">
      <c r="B74" s="219">
        <v>20.2</v>
      </c>
      <c r="C74" s="144">
        <v>322028</v>
      </c>
      <c r="D74" s="144">
        <v>175.7</v>
      </c>
      <c r="E74" s="145">
        <v>1.71</v>
      </c>
      <c r="F74" s="144">
        <v>4208.8999999999996</v>
      </c>
      <c r="G74" s="145">
        <v>-8.8000000000000007</v>
      </c>
    </row>
    <row r="75" spans="2:7">
      <c r="B75" s="219">
        <v>20.399999999999999</v>
      </c>
      <c r="C75" s="144">
        <v>325542</v>
      </c>
      <c r="D75" s="144">
        <v>175.8</v>
      </c>
      <c r="E75" s="145">
        <v>1.79</v>
      </c>
      <c r="F75" s="144">
        <v>4218.1000000000004</v>
      </c>
      <c r="G75" s="145">
        <v>-8.69</v>
      </c>
    </row>
    <row r="76" spans="2:7">
      <c r="B76" s="219">
        <v>20.6</v>
      </c>
      <c r="C76" s="144">
        <v>329058</v>
      </c>
      <c r="D76" s="144">
        <v>175.9</v>
      </c>
      <c r="E76" s="145">
        <v>1.87</v>
      </c>
      <c r="F76" s="144">
        <v>4226.8</v>
      </c>
      <c r="G76" s="145">
        <v>-8.57</v>
      </c>
    </row>
    <row r="77" spans="2:7">
      <c r="B77" s="219">
        <v>20.8</v>
      </c>
      <c r="C77" s="144">
        <v>332577</v>
      </c>
      <c r="D77" s="144">
        <v>176</v>
      </c>
      <c r="E77" s="145">
        <v>1.93</v>
      </c>
      <c r="F77" s="144">
        <v>4234.7</v>
      </c>
      <c r="G77" s="145">
        <v>-8.4600000000000009</v>
      </c>
    </row>
    <row r="78" spans="2:7">
      <c r="B78" s="223">
        <v>21</v>
      </c>
      <c r="C78" s="144"/>
      <c r="D78" s="144"/>
      <c r="E78" s="145"/>
      <c r="F78" s="144"/>
      <c r="G78" s="145"/>
    </row>
    <row r="83" spans="2:7" ht="14.25">
      <c r="B83" s="146"/>
      <c r="C83" s="146"/>
      <c r="D83" s="146"/>
      <c r="E83" s="147"/>
      <c r="F83" s="148"/>
      <c r="G83" s="149"/>
    </row>
    <row r="90" spans="2:7" ht="14.25">
      <c r="B90" s="146"/>
      <c r="C90" s="146"/>
      <c r="D90" s="146"/>
      <c r="E90" s="147"/>
      <c r="F90" s="146"/>
      <c r="G90" s="149"/>
    </row>
    <row r="97" spans="2:7" ht="14.25">
      <c r="B97" s="146"/>
      <c r="C97" s="146"/>
      <c r="D97" s="146"/>
      <c r="E97" s="147"/>
      <c r="F97" s="146"/>
      <c r="G97" s="149"/>
    </row>
    <row r="98" spans="2:7" ht="14.25">
      <c r="B98" s="146"/>
      <c r="C98" s="146"/>
      <c r="D98" s="146"/>
      <c r="E98" s="147"/>
      <c r="F98" s="146"/>
      <c r="G98" s="149"/>
    </row>
    <row r="99" spans="2:7" ht="14.25">
      <c r="B99" s="146"/>
      <c r="C99" s="146"/>
      <c r="D99" s="146"/>
      <c r="E99" s="147"/>
      <c r="F99" s="146"/>
      <c r="G99" s="149"/>
    </row>
    <row r="100" spans="2:7" ht="14.25">
      <c r="B100" s="150"/>
      <c r="C100" s="149"/>
      <c r="D100" s="151"/>
      <c r="E100" s="152"/>
      <c r="F100" s="149"/>
      <c r="G100" s="150"/>
    </row>
    <row r="101" spans="2:7" ht="14.25">
      <c r="B101" s="150"/>
      <c r="C101" s="149"/>
      <c r="D101" s="151"/>
      <c r="E101" s="152"/>
      <c r="F101" s="149"/>
      <c r="G101" s="150"/>
    </row>
    <row r="102" spans="2:7" ht="14.25">
      <c r="B102" s="153"/>
      <c r="C102" s="154"/>
      <c r="D102" s="153"/>
      <c r="E102" s="147"/>
      <c r="F102" s="154"/>
      <c r="G102" s="151"/>
    </row>
    <row r="103" spans="2:7" ht="14.25">
      <c r="B103" s="155"/>
      <c r="C103" s="156"/>
      <c r="D103" s="151"/>
      <c r="E103" s="152"/>
      <c r="F103" s="156"/>
      <c r="G103" s="151"/>
    </row>
    <row r="104" spans="2:7" ht="14.25">
      <c r="B104" s="146"/>
      <c r="C104" s="146"/>
      <c r="D104" s="146"/>
      <c r="E104" s="147"/>
      <c r="F104" s="146"/>
      <c r="G104" s="149"/>
    </row>
    <row r="105" spans="2:7" ht="14.25">
      <c r="B105" s="146"/>
      <c r="C105" s="146"/>
      <c r="D105" s="146"/>
      <c r="E105" s="147"/>
      <c r="F105" s="146"/>
      <c r="G105" s="149"/>
    </row>
  </sheetData>
  <sheetProtection sheet="1" objects="1" scenarios="1" selectLockedCells="1" selectUnlockedCells="1"/>
  <phoneticPr fontId="29" type="noConversion"/>
  <pageMargins left="0.7" right="0.7" top="0.75" bottom="0.75" header="0.3" footer="0.3"/>
  <pageSetup paperSize="9" scale="61" orientation="portrait" r:id="rId1"/>
  <rowBreaks count="1" manualBreakCount="1">
    <brk id="7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initial</vt:lpstr>
      <vt:lpstr>interim</vt:lpstr>
      <vt:lpstr>trimming</vt:lpstr>
      <vt:lpstr>final</vt:lpstr>
      <vt:lpstr>report</vt:lpstr>
      <vt:lpstr>Hatch</vt:lpstr>
      <vt:lpstr>STOW PLAN</vt:lpstr>
      <vt:lpstr>LIST</vt:lpstr>
      <vt:lpstr>density</vt:lpstr>
      <vt:lpstr>LOAD RATE</vt:lpstr>
      <vt:lpstr>calc</vt:lpstr>
      <vt:lpstr>data</vt:lpstr>
      <vt:lpstr>hydro</vt:lpstr>
      <vt:lpstr>calc!Print_Area</vt:lpstr>
      <vt:lpstr>data!Print_Area</vt:lpstr>
      <vt:lpstr>density!Print_Area</vt:lpstr>
      <vt:lpstr>final!Print_Area</vt:lpstr>
      <vt:lpstr>Hatch!Print_Area</vt:lpstr>
      <vt:lpstr>hydro!Print_Area</vt:lpstr>
      <vt:lpstr>initial!Print_Area</vt:lpstr>
      <vt:lpstr>interim!Print_Area</vt:lpstr>
      <vt:lpstr>'LOAD RATE'!Print_Area</vt:lpstr>
      <vt:lpstr>report!Print_Area</vt:lpstr>
      <vt:lpstr>'STOW PLAN'!Print_Area</vt:lpstr>
      <vt:lpstr>trimming!Print_Area</vt:lpstr>
      <vt:lpstr>calc!Print_Titles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Roderick Buquiz</dc:creator>
  <cp:lastModifiedBy>vessel</cp:lastModifiedBy>
  <cp:lastPrinted>2023-04-12T23:13:28Z</cp:lastPrinted>
  <dcterms:created xsi:type="dcterms:W3CDTF">2008-12-19T12:35:17Z</dcterms:created>
  <dcterms:modified xsi:type="dcterms:W3CDTF">2023-09-14T03:31:55Z</dcterms:modified>
</cp:coreProperties>
</file>