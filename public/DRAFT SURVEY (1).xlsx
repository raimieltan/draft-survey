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234.156.222\Users\shipnet\Desktop\2O\01 LATEST FILES\2ndOfficer\STUDY\"/>
    </mc:Choice>
  </mc:AlternateContent>
  <bookViews>
    <workbookView xWindow="0" yWindow="0" windowWidth="28800" windowHeight="12915" activeTab="1"/>
  </bookViews>
  <sheets>
    <sheet name="DATA" sheetId="1" r:id="rId1"/>
    <sheet name="DRAFT SURVEY" sheetId="3" r:id="rId2"/>
    <sheet name="TRIMMING" sheetId="4" r:id="rId3"/>
    <sheet name="WEIGHTS" sheetId="5" r:id="rId4"/>
    <sheet name="REPORT" sheetId="6" r:id="rId5"/>
    <sheet name="HYDRO" sheetId="2" r:id="rId6"/>
    <sheet name="COMPUTATION" sheetId="7" r:id="rId7"/>
  </sheets>
  <definedNames>
    <definedName name="_xlnm.Print_Area" localSheetId="4">REPORT!$A$1:$M$54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1" i="7" l="1"/>
  <c r="K19" i="7"/>
  <c r="F23" i="3"/>
  <c r="M14" i="7"/>
  <c r="D65" i="7"/>
  <c r="U61" i="7"/>
  <c r="D25" i="3"/>
  <c r="B61" i="7" l="1"/>
  <c r="R29" i="4" l="1"/>
  <c r="K34" i="4"/>
  <c r="K33" i="4"/>
  <c r="L34" i="4"/>
  <c r="L33" i="4"/>
  <c r="K29" i="4"/>
  <c r="L24" i="4"/>
  <c r="L22" i="4"/>
  <c r="L20" i="4" l="1"/>
  <c r="P21" i="4" l="1"/>
  <c r="P20" i="4"/>
  <c r="P19" i="4"/>
  <c r="S3" i="4" l="1"/>
  <c r="V2" i="4"/>
  <c r="L10" i="3" l="1"/>
  <c r="L9" i="3"/>
  <c r="J10" i="3"/>
  <c r="J9" i="3"/>
  <c r="H10" i="3"/>
  <c r="H9" i="3"/>
  <c r="F10" i="3"/>
  <c r="F9" i="3"/>
  <c r="B10" i="3"/>
  <c r="B9" i="3"/>
  <c r="D10" i="3"/>
  <c r="D9" i="3"/>
  <c r="B30" i="3" l="1"/>
  <c r="J42" i="6" l="1"/>
  <c r="E42" i="6"/>
  <c r="J37" i="6"/>
  <c r="J36" i="6"/>
  <c r="J35" i="6"/>
  <c r="E38" i="6"/>
  <c r="E37" i="6"/>
  <c r="E36" i="6"/>
  <c r="E35" i="6"/>
  <c r="J38" i="6"/>
  <c r="J27" i="6"/>
  <c r="E27" i="6"/>
  <c r="E7" i="6"/>
  <c r="E6" i="6"/>
  <c r="E5" i="6"/>
  <c r="E4" i="6"/>
  <c r="J39" i="6" l="1"/>
  <c r="J44" i="6" s="1"/>
  <c r="E39" i="6"/>
  <c r="E44" i="6" s="1"/>
  <c r="V8" i="7"/>
  <c r="V7" i="7"/>
  <c r="V6" i="7"/>
  <c r="V5" i="7"/>
  <c r="V4" i="7"/>
  <c r="V3" i="7"/>
  <c r="L8" i="7"/>
  <c r="L7" i="7"/>
  <c r="L6" i="7"/>
  <c r="L5" i="7"/>
  <c r="L4" i="7"/>
  <c r="L3" i="7"/>
  <c r="W3" i="7" l="1"/>
  <c r="X3" i="7" s="1"/>
  <c r="M7" i="7"/>
  <c r="N7" i="7" s="1"/>
  <c r="M5" i="7"/>
  <c r="N5" i="7" s="1"/>
  <c r="D3" i="4"/>
  <c r="M3" i="7"/>
  <c r="W7" i="7"/>
  <c r="X7" i="7" s="1"/>
  <c r="W5" i="7"/>
  <c r="D62" i="3"/>
  <c r="W9" i="7" l="1"/>
  <c r="W12" i="7" s="1"/>
  <c r="X12" i="7" s="1"/>
  <c r="D30" i="4"/>
  <c r="R28" i="4" s="1"/>
  <c r="R30" i="4" s="1"/>
  <c r="D18" i="4"/>
  <c r="Q2" i="4"/>
  <c r="N3" i="7"/>
  <c r="M9" i="7"/>
  <c r="N9" i="7" s="1"/>
  <c r="W14" i="7"/>
  <c r="X5" i="7"/>
  <c r="J23" i="6" s="1"/>
  <c r="X9" i="7"/>
  <c r="C8" i="7"/>
  <c r="C7" i="7"/>
  <c r="C6" i="7"/>
  <c r="C5" i="7"/>
  <c r="C4" i="7"/>
  <c r="C3" i="7"/>
  <c r="D3" i="7" l="1"/>
  <c r="E3" i="7" s="1"/>
  <c r="D7" i="7"/>
  <c r="E7" i="7" s="1"/>
  <c r="C3" i="4"/>
  <c r="M12" i="7"/>
  <c r="B3" i="4" s="1"/>
  <c r="D5" i="7"/>
  <c r="E5" i="7" s="1"/>
  <c r="E23" i="6" s="1"/>
  <c r="U19" i="7"/>
  <c r="J20" i="6" s="1"/>
  <c r="X14" i="7"/>
  <c r="U21" i="7"/>
  <c r="A7" i="2"/>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6" i="2"/>
  <c r="C31" i="1"/>
  <c r="H13" i="1"/>
  <c r="H8" i="1"/>
  <c r="M9" i="4" l="1"/>
  <c r="B30" i="4"/>
  <c r="M35" i="4" s="1"/>
  <c r="B18" i="4"/>
  <c r="N9" i="4"/>
  <c r="C30" i="4"/>
  <c r="C18" i="4"/>
  <c r="N14" i="7"/>
  <c r="N12" i="7"/>
  <c r="D9" i="7"/>
  <c r="E9" i="7" s="1"/>
  <c r="S2" i="4"/>
  <c r="S4" i="4" s="1"/>
  <c r="M19" i="7"/>
  <c r="M26" i="7"/>
  <c r="W19" i="7"/>
  <c r="X19" i="7" s="1"/>
  <c r="K22" i="3" s="1"/>
  <c r="J21" i="6"/>
  <c r="W26" i="7"/>
  <c r="N35" i="4" l="1"/>
  <c r="O35" i="4" s="1"/>
  <c r="K28" i="4"/>
  <c r="K30" i="4" s="1"/>
  <c r="O9" i="4"/>
  <c r="D14" i="7"/>
  <c r="B21" i="7" s="1"/>
  <c r="E21" i="6" s="1"/>
  <c r="D12" i="7"/>
  <c r="E12" i="7" s="1"/>
  <c r="F24" i="3"/>
  <c r="C4" i="4" s="1"/>
  <c r="B4" i="4"/>
  <c r="N19" i="7"/>
  <c r="J23" i="3"/>
  <c r="J24" i="3"/>
  <c r="W28" i="7"/>
  <c r="M28" i="7"/>
  <c r="N26" i="7"/>
  <c r="X26" i="7"/>
  <c r="J22" i="6" s="1"/>
  <c r="E14" i="7" l="1"/>
  <c r="B19" i="7"/>
  <c r="D19" i="7" s="1"/>
  <c r="C22" i="3" s="1"/>
  <c r="G22" i="3"/>
  <c r="E3" i="4"/>
  <c r="E30" i="4" s="1"/>
  <c r="M30" i="7"/>
  <c r="N28" i="7"/>
  <c r="W30" i="7"/>
  <c r="Y30" i="7" s="1"/>
  <c r="X28" i="7"/>
  <c r="J24" i="6" s="1"/>
  <c r="D26" i="7" l="1"/>
  <c r="B23" i="3" s="1"/>
  <c r="E20" i="6"/>
  <c r="E19" i="7"/>
  <c r="B24" i="3"/>
  <c r="O30" i="7"/>
  <c r="M33" i="7" s="1"/>
  <c r="N30" i="7"/>
  <c r="D28" i="7"/>
  <c r="W33" i="7"/>
  <c r="U42" i="7"/>
  <c r="U40" i="7"/>
  <c r="X30" i="7"/>
  <c r="J25" i="6" s="1"/>
  <c r="E26" i="7" l="1"/>
  <c r="E22" i="6" s="1"/>
  <c r="J54" i="7"/>
  <c r="K50" i="7"/>
  <c r="M50" i="7" s="1"/>
  <c r="K52" i="7"/>
  <c r="M52" i="7" s="1"/>
  <c r="K42" i="7"/>
  <c r="K40" i="7"/>
  <c r="P30" i="7"/>
  <c r="M35" i="7" s="1"/>
  <c r="D30" i="7"/>
  <c r="E28" i="7"/>
  <c r="E24" i="6" s="1"/>
  <c r="Z30" i="7"/>
  <c r="U52" i="7"/>
  <c r="U50" i="7"/>
  <c r="J55" i="7" l="1"/>
  <c r="N54" i="7"/>
  <c r="M54" i="7"/>
  <c r="K54" i="7"/>
  <c r="O54" i="7" s="1"/>
  <c r="L42" i="7"/>
  <c r="R32" i="4" s="1"/>
  <c r="L40" i="7"/>
  <c r="M40" i="7" s="1"/>
  <c r="M51" i="7"/>
  <c r="O50" i="7"/>
  <c r="N50" i="7"/>
  <c r="M53" i="7"/>
  <c r="N52" i="7"/>
  <c r="O52" i="7"/>
  <c r="F30" i="7"/>
  <c r="E30" i="7"/>
  <c r="V42" i="7"/>
  <c r="W42" i="7" s="1"/>
  <c r="V40" i="7"/>
  <c r="W40" i="7" s="1"/>
  <c r="W35" i="7"/>
  <c r="T35" i="7" s="1"/>
  <c r="X33" i="7" s="1"/>
  <c r="J30" i="6" s="1"/>
  <c r="W50" i="7"/>
  <c r="W52" i="7"/>
  <c r="J35" i="7" l="1"/>
  <c r="N33" i="7" s="1"/>
  <c r="W45" i="7"/>
  <c r="M42" i="7"/>
  <c r="M45" i="7" s="1"/>
  <c r="B8" i="4"/>
  <c r="Q3" i="4"/>
  <c r="Q4" i="4" s="1"/>
  <c r="N55" i="7"/>
  <c r="K55" i="7"/>
  <c r="O55" i="7" s="1"/>
  <c r="R33" i="4" s="1"/>
  <c r="M55" i="7"/>
  <c r="R34" i="4" s="1"/>
  <c r="O51" i="7"/>
  <c r="N51" i="7"/>
  <c r="N53" i="7"/>
  <c r="O53" i="7"/>
  <c r="E25" i="6"/>
  <c r="B50" i="7"/>
  <c r="D50" i="7" s="1"/>
  <c r="B52" i="7"/>
  <c r="D52" i="7" s="1"/>
  <c r="G30" i="7"/>
  <c r="B40" i="7"/>
  <c r="D33" i="7"/>
  <c r="B42" i="7"/>
  <c r="X52" i="7"/>
  <c r="Y52" i="7"/>
  <c r="X50" i="7"/>
  <c r="Y50" i="7"/>
  <c r="W53" i="7"/>
  <c r="W51" i="7"/>
  <c r="B36" i="4" l="1"/>
  <c r="N33" i="4"/>
  <c r="N34" i="4"/>
  <c r="M34" i="4"/>
  <c r="M33" i="4"/>
  <c r="N2" i="4"/>
  <c r="N4" i="4"/>
  <c r="N3" i="4"/>
  <c r="P52" i="7"/>
  <c r="P50" i="7"/>
  <c r="C40" i="7"/>
  <c r="D40" i="7" s="1"/>
  <c r="C42" i="7"/>
  <c r="D42" i="7" s="1"/>
  <c r="D35" i="7"/>
  <c r="A35" i="7" s="1"/>
  <c r="E33" i="7" s="1"/>
  <c r="E30" i="6" s="1"/>
  <c r="E52" i="7"/>
  <c r="F52" i="7"/>
  <c r="D53" i="7"/>
  <c r="F50" i="7"/>
  <c r="E50" i="7"/>
  <c r="D51" i="7"/>
  <c r="Y53" i="7"/>
  <c r="X53" i="7"/>
  <c r="Y51" i="7"/>
  <c r="X51" i="7"/>
  <c r="O29" i="4" l="1"/>
  <c r="D25" i="4"/>
  <c r="D24" i="4"/>
  <c r="M24" i="4"/>
  <c r="N24" i="4"/>
  <c r="M22" i="4"/>
  <c r="N22" i="4"/>
  <c r="D22" i="4"/>
  <c r="D20" i="4"/>
  <c r="N20" i="4"/>
  <c r="C20" i="4" s="1"/>
  <c r="M20" i="4"/>
  <c r="B20" i="4" s="1"/>
  <c r="O28" i="4"/>
  <c r="M28" i="4"/>
  <c r="N7" i="4"/>
  <c r="M7" i="4"/>
  <c r="N8" i="4"/>
  <c r="M8" i="4"/>
  <c r="P54" i="7"/>
  <c r="M56" i="7" s="1"/>
  <c r="M59" i="7" s="1"/>
  <c r="M62" i="7" s="1"/>
  <c r="D45" i="7"/>
  <c r="F53" i="7"/>
  <c r="E53" i="7"/>
  <c r="F51" i="7"/>
  <c r="E51" i="7"/>
  <c r="Z52" i="7"/>
  <c r="Z50" i="7"/>
  <c r="B22" i="4" l="1"/>
  <c r="B24" i="4" s="1"/>
  <c r="X3" i="4"/>
  <c r="L29" i="4"/>
  <c r="N29" i="4" s="1"/>
  <c r="L30" i="4"/>
  <c r="C22" i="4"/>
  <c r="E20" i="4"/>
  <c r="X2" i="4"/>
  <c r="U3" i="4" s="1"/>
  <c r="W3" i="4" s="1"/>
  <c r="Z54" i="7"/>
  <c r="G50" i="7"/>
  <c r="G52" i="7"/>
  <c r="U4" i="4" l="1"/>
  <c r="N30" i="4"/>
  <c r="E22" i="4"/>
  <c r="C24" i="4"/>
  <c r="W4" i="4"/>
  <c r="N62" i="7"/>
  <c r="N59" i="7"/>
  <c r="W56" i="7"/>
  <c r="W59" i="7" s="1"/>
  <c r="W62" i="7" s="1"/>
  <c r="G54" i="7"/>
  <c r="B12" i="4" l="1"/>
  <c r="M12" i="4"/>
  <c r="W5" i="4"/>
  <c r="N12" i="4"/>
  <c r="E24" i="4"/>
  <c r="C25" i="4"/>
  <c r="B25" i="4"/>
  <c r="C34" i="4"/>
  <c r="M36" i="4"/>
  <c r="M37" i="4" s="1"/>
  <c r="N36" i="4"/>
  <c r="N37" i="4" s="1"/>
  <c r="N31" i="4"/>
  <c r="X62" i="7"/>
  <c r="J32" i="6" s="1"/>
  <c r="J41" i="6" s="1"/>
  <c r="J43" i="6" s="1"/>
  <c r="X59" i="7"/>
  <c r="J31" i="6" s="1"/>
  <c r="D56" i="7"/>
  <c r="D59" i="7" s="1"/>
  <c r="C33" i="4" l="1"/>
  <c r="M38" i="4"/>
  <c r="M39" i="4" s="1"/>
  <c r="N38" i="4"/>
  <c r="N39" i="4" s="1"/>
  <c r="B10" i="4"/>
  <c r="M10" i="4"/>
  <c r="M11" i="4" s="1"/>
  <c r="N10" i="4"/>
  <c r="N11" i="4" s="1"/>
  <c r="N13" i="4" s="1"/>
  <c r="E25" i="4"/>
  <c r="O37" i="4"/>
  <c r="D62" i="7"/>
  <c r="E59" i="7"/>
  <c r="E31" i="6" s="1"/>
  <c r="N40" i="4" l="1"/>
  <c r="C35" i="4" s="1"/>
  <c r="C13" i="4"/>
  <c r="M40" i="4"/>
  <c r="B35" i="4" s="1"/>
  <c r="O39" i="4"/>
  <c r="O40" i="4" s="1"/>
  <c r="D35" i="4" s="1"/>
  <c r="B11" i="4"/>
  <c r="M13" i="4"/>
  <c r="O11" i="4"/>
  <c r="N1" i="3"/>
  <c r="E62" i="7"/>
  <c r="E32" i="6" s="1"/>
  <c r="E41" i="6" s="1"/>
  <c r="E43" i="6" s="1"/>
  <c r="E45" i="6" s="1"/>
  <c r="J45" i="6" s="1"/>
  <c r="J46" i="6" s="1"/>
  <c r="C51" i="6" s="1"/>
  <c r="I51" i="6" s="1"/>
  <c r="E65" i="7" l="1"/>
  <c r="D23" i="3"/>
  <c r="M65" i="7" s="1"/>
  <c r="E35" i="4"/>
  <c r="B13" i="4"/>
  <c r="M14" i="4"/>
  <c r="B14" i="4" s="1"/>
  <c r="O13" i="4"/>
  <c r="N14" i="4"/>
  <c r="W65" i="7" l="1"/>
  <c r="X65" i="7" s="1"/>
  <c r="L23" i="3" s="1"/>
  <c r="N65" i="7"/>
  <c r="H23" i="3" s="1"/>
  <c r="B5" i="4" s="1"/>
  <c r="D13" i="4"/>
  <c r="O14" i="4"/>
  <c r="D14" i="4" s="1"/>
  <c r="C14" i="4"/>
  <c r="M15" i="4"/>
  <c r="E14" i="4" s="1"/>
</calcChain>
</file>

<file path=xl/sharedStrings.xml><?xml version="1.0" encoding="utf-8"?>
<sst xmlns="http://schemas.openxmlformats.org/spreadsheetml/2006/main" count="322" uniqueCount="167">
  <si>
    <t>SHIP'S NAME</t>
  </si>
  <si>
    <t>REIHOU</t>
  </si>
  <si>
    <t>SHIP DATA</t>
  </si>
  <si>
    <t>DRAFT MARK DISTANCES TO PERPENDICULARS</t>
  </si>
  <si>
    <t>Port of Registry</t>
  </si>
  <si>
    <t>IWAKI</t>
  </si>
  <si>
    <t>Gross Tonage</t>
  </si>
  <si>
    <t xml:space="preserve">   Initial Survey</t>
  </si>
  <si>
    <t>Net Tonage</t>
  </si>
  <si>
    <t>For'd</t>
  </si>
  <si>
    <t>Summer Draught (m)</t>
  </si>
  <si>
    <t>Mid</t>
  </si>
  <si>
    <t>Summer Displacement</t>
  </si>
  <si>
    <t>Aft</t>
  </si>
  <si>
    <t>Summer Deadweight</t>
  </si>
  <si>
    <t>Light Ship</t>
  </si>
  <si>
    <t xml:space="preserve">   Final Survey</t>
  </si>
  <si>
    <t>LBP (m)</t>
  </si>
  <si>
    <t>BEAM (m)</t>
  </si>
  <si>
    <t>LOA (m)</t>
  </si>
  <si>
    <t>FWA (mm)</t>
  </si>
  <si>
    <t>HATCH DATA</t>
  </si>
  <si>
    <t>TANK DATA</t>
  </si>
  <si>
    <t>Hatch</t>
  </si>
  <si>
    <t>LCG</t>
  </si>
  <si>
    <t>Tanks</t>
  </si>
  <si>
    <t>DWT (S)</t>
  </si>
  <si>
    <t xml:space="preserve"> FWT (P)</t>
  </si>
  <si>
    <t xml:space="preserve"> FWT (S)</t>
  </si>
  <si>
    <t xml:space="preserve"> FO TANK 1(C)</t>
  </si>
  <si>
    <t xml:space="preserve"> FO TANK 2(C)</t>
  </si>
  <si>
    <t xml:space="preserve"> FO TANK 3(P)</t>
  </si>
  <si>
    <t xml:space="preserve"> FO TANK 3(S)</t>
  </si>
  <si>
    <t xml:space="preserve"> DO TANK 1(P)</t>
  </si>
  <si>
    <t xml:space="preserve"> DO TANK 1(S)</t>
  </si>
  <si>
    <t>TOTAL</t>
  </si>
  <si>
    <t xml:space="preserve"> FPT</t>
  </si>
  <si>
    <t xml:space="preserve"> APT</t>
  </si>
  <si>
    <r>
      <t>CAPACITY (m</t>
    </r>
    <r>
      <rPr>
        <b/>
        <vertAlign val="superscript"/>
        <sz val="14"/>
        <color theme="0"/>
        <rFont val="Arial"/>
        <family val="2"/>
      </rPr>
      <t>3</t>
    </r>
    <r>
      <rPr>
        <b/>
        <sz val="12"/>
        <color theme="0"/>
        <rFont val="Arial"/>
        <family val="2"/>
      </rPr>
      <t>)</t>
    </r>
  </si>
  <si>
    <t>Draft</t>
  </si>
  <si>
    <t>Disp</t>
  </si>
  <si>
    <t>TPC</t>
  </si>
  <si>
    <t>LCF</t>
  </si>
  <si>
    <t>MTC</t>
  </si>
  <si>
    <t>LCB</t>
  </si>
  <si>
    <t>INITIAL</t>
  </si>
  <si>
    <t>DENSITY</t>
  </si>
  <si>
    <t>F.O</t>
  </si>
  <si>
    <t>D.O</t>
  </si>
  <si>
    <t>BW</t>
  </si>
  <si>
    <t>OTHERS</t>
  </si>
  <si>
    <t>TRIM</t>
  </si>
  <si>
    <t>CONSTANT</t>
  </si>
  <si>
    <t>REQ CONSTANT</t>
  </si>
  <si>
    <t>REQ BALLAST</t>
  </si>
  <si>
    <t>INTERMEDIATE</t>
  </si>
  <si>
    <t>FINAL</t>
  </si>
  <si>
    <t>CARGO</t>
  </si>
  <si>
    <t>TRIMMING BY BALANCE CARGO</t>
  </si>
  <si>
    <t>FWD</t>
  </si>
  <si>
    <t>AFT</t>
  </si>
  <si>
    <t>MID</t>
  </si>
  <si>
    <t>INITIAL DRAFT SURVEY</t>
  </si>
  <si>
    <t>MEAN DRAFTS</t>
  </si>
  <si>
    <t>P</t>
  </si>
  <si>
    <t>S</t>
  </si>
  <si>
    <t>APPARENT TRIM</t>
  </si>
  <si>
    <t>FORWARD CORRECTION FACTOR</t>
  </si>
  <si>
    <t>AFT CORRECTION FACTOR</t>
  </si>
  <si>
    <t>CORRECTED DRAFTS</t>
  </si>
  <si>
    <t>ACTUAL TRIM</t>
  </si>
  <si>
    <t>QUARTER MEAN</t>
  </si>
  <si>
    <t>dF/A MEAN</t>
  </si>
  <si>
    <t>MEAN OF MEAN</t>
  </si>
  <si>
    <t>1ST APPARENT DISPLACEMENT</t>
  </si>
  <si>
    <t>1ST TRIM CORRECTION</t>
  </si>
  <si>
    <t>2ND TRIM CORRECTION</t>
  </si>
  <si>
    <t>DIFFERENCE MTC</t>
  </si>
  <si>
    <t>2ND APPARENT DISPLACEMENT</t>
  </si>
  <si>
    <t>DENSITY CORRECTION</t>
  </si>
  <si>
    <t>FW</t>
  </si>
  <si>
    <t>MTC1</t>
  </si>
  <si>
    <t>MTC2</t>
  </si>
  <si>
    <t>INTERMEDIATE DRAFT SURVEY</t>
  </si>
  <si>
    <t>FINAL DRAFT SURVEY</t>
  </si>
  <si>
    <t>SORFL2024</t>
  </si>
  <si>
    <t>DRAFT SURVEY REPORT</t>
  </si>
  <si>
    <t>GROSS TONNAGE</t>
  </si>
  <si>
    <t>PORT OF REGISTRY</t>
  </si>
  <si>
    <t>SUMMER DRAFT</t>
  </si>
  <si>
    <t>VOYAGE NUMBER</t>
  </si>
  <si>
    <t>LOAD PORT</t>
  </si>
  <si>
    <t>DISCHARGE PORT</t>
  </si>
  <si>
    <t>INITIAL DRAFT SURVEY:</t>
  </si>
  <si>
    <t>FINAL DRAFT SURVEY:</t>
  </si>
  <si>
    <t>-</t>
  </si>
  <si>
    <t>ONAHAMA, JAPAN</t>
  </si>
  <si>
    <t>NEWCASTLE, AUSTRALIA</t>
  </si>
  <si>
    <t>V68A</t>
  </si>
  <si>
    <t>COAL</t>
  </si>
  <si>
    <t>LOADING COMMENCED</t>
  </si>
  <si>
    <t>LOADING COMPLETED</t>
  </si>
  <si>
    <t>FORWARD MEAN</t>
  </si>
  <si>
    <t>AFT MEAN</t>
  </si>
  <si>
    <t>FORWARD AND AFT MEAN</t>
  </si>
  <si>
    <t>MEAN MIDSHIPS</t>
  </si>
  <si>
    <t>MEAN OF MEANS</t>
  </si>
  <si>
    <t>DENSITY (kg/l)</t>
  </si>
  <si>
    <t>DISPLACEMENTS (tonnes)</t>
  </si>
  <si>
    <t>DRAFTS (meters)</t>
  </si>
  <si>
    <t>FROM SHIP'S SCALE</t>
  </si>
  <si>
    <t>CORRECTED FOR TRIM</t>
  </si>
  <si>
    <t>CORRECTED FOR DENSITY</t>
  </si>
  <si>
    <t>KNOWN WEIGHTS</t>
  </si>
  <si>
    <t>BUNKERS</t>
  </si>
  <si>
    <t>FRESH WATER</t>
  </si>
  <si>
    <t>BALLAST</t>
  </si>
  <si>
    <t>TOTAL KNOWN WEIGHTS</t>
  </si>
  <si>
    <t>CORRECTED DISPLACEMENT</t>
  </si>
  <si>
    <t>LIGHTSHIP</t>
  </si>
  <si>
    <t>DEADWEIGHT</t>
  </si>
  <si>
    <t>From the figures obtained by means of the draught marks checked at the initial and final surveys, we hereby certify the weight of the cargo which was loaded on the above vessel.</t>
  </si>
  <si>
    <t>CARGO LOADED</t>
  </si>
  <si>
    <t>Equivalent to</t>
  </si>
  <si>
    <t>Master/Chief Officer</t>
  </si>
  <si>
    <t>Length bw marks "A"</t>
  </si>
  <si>
    <t>Length bw marks "B"</t>
  </si>
  <si>
    <t>INTERMEDIATE DRAFT</t>
  </si>
  <si>
    <t>DEFLECTION</t>
  </si>
  <si>
    <t>CARGO ONBOARD</t>
  </si>
  <si>
    <t>REQUIRED CARGO</t>
  </si>
  <si>
    <t>MT</t>
  </si>
  <si>
    <t>REMAINING TO LOAD</t>
  </si>
  <si>
    <t>FINAL MID DRAFT</t>
  </si>
  <si>
    <t>M</t>
  </si>
  <si>
    <t>REQUIRED TRIM</t>
  </si>
  <si>
    <t>LOAD / HATCH</t>
  </si>
  <si>
    <t>FINAL DRAFT</t>
  </si>
  <si>
    <t>DRAFT AT MARKS</t>
  </si>
  <si>
    <t>MCTC</t>
  </si>
  <si>
    <t>PRESENT MID DRAFT</t>
  </si>
  <si>
    <t>HALF MID DRAFT</t>
  </si>
  <si>
    <t>TRIM NOW</t>
  </si>
  <si>
    <t>cms</t>
  </si>
  <si>
    <t>x+y</t>
  </si>
  <si>
    <t>TRIM RQRD</t>
  </si>
  <si>
    <t>COT</t>
  </si>
  <si>
    <t>HOLD</t>
  </si>
  <si>
    <t>D-FWD</t>
  </si>
  <si>
    <t>D-AFT</t>
  </si>
  <si>
    <t>DRAFT PRESENT</t>
  </si>
  <si>
    <t>DRAFT AFTER</t>
  </si>
  <si>
    <t>DRAFT @ MARKS</t>
  </si>
  <si>
    <t>TRIM @ MARKS</t>
  </si>
  <si>
    <t>COT-FWD</t>
  </si>
  <si>
    <t>COT-AFT</t>
  </si>
  <si>
    <t>PRESENT DRAFT</t>
  </si>
  <si>
    <t>DRAFT POUR TO GO</t>
  </si>
  <si>
    <t>DRAFT LIMITATION</t>
  </si>
  <si>
    <t>REQUIRED DRAFT</t>
  </si>
  <si>
    <t>HOLD NO.</t>
  </si>
  <si>
    <t>BAL CARGO</t>
  </si>
  <si>
    <t>cm by Astern</t>
  </si>
  <si>
    <t>Trim now</t>
  </si>
  <si>
    <t>Trim Reqrd</t>
  </si>
  <si>
    <t>x + y =</t>
  </si>
  <si>
    <t>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</si>
</sst>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4" formatCode="_(&quot;$&quot;* #,##0.00_);_(&quot;$&quot;* \(#,##0.00\);_(&quot;$&quot;* &quot;-&quot;??_);_(@_)"/>
    <numFmt numFmtId="164" formatCode="00000"/>
    <numFmt numFmtId="165" formatCode="0.0"/>
    <numFmt numFmtId="166" formatCode="0.000"/>
    <numFmt numFmtId="167" formatCode="0.00_)"/>
    <numFmt numFmtId="168" formatCode="00000\ &quot;MT&quot;"/>
    <numFmt numFmtId="169" formatCode="0.00\ &quot;M&quot;"/>
    <numFmt numFmtId="170" formatCode="0.0000000000"/>
    <numFmt numFmtId="171" formatCode="0.000000000"/>
    <numFmt numFmtId="172" formatCode="0.0000000"/>
    <numFmt numFmtId="173" formatCode="0.0\ &quot;MT&quot;"/>
    <numFmt numFmtId="174" formatCode="0\ &quot;MT&quot;"/>
    <numFmt numFmtId="175" formatCode="0.000\ &quot;M&quot;"/>
    <numFmt numFmtId="176" formatCode="hh:mm&quot;H&quot;"/>
    <numFmt numFmtId="177" formatCode="&quot;/&quot;dd/mmm/yyyy"/>
    <numFmt numFmtId="178" formatCode="0.0000"/>
    <numFmt numFmtId="179" formatCode="#,##0\ &quot;long tons&quot;"/>
    <numFmt numFmtId="180" formatCode="#,##0\ &quot;metric tonnes&quot;"/>
    <numFmt numFmtId="181" formatCode="0.00\ &quot;Deg&quot;"/>
    <numFmt numFmtId="182" formatCode="0.000000000000000"/>
    <numFmt numFmtId="183" formatCode="0.00000000000000"/>
    <numFmt numFmtId="184" formatCode="0.000_)"/>
    <numFmt numFmtId="185" formatCode="0.00000000"/>
  </numFmts>
  <fonts count="36" x14ac:knownFonts="1">
    <font>
      <sz val="11"/>
      <color theme="1"/>
      <name val="Calibri"/>
      <family val="2"/>
      <scheme val="minor"/>
    </font>
    <font>
      <sz val="11"/>
      <color theme="1"/>
      <name val="Calibri"/>
      <family val="2"/>
      <scheme val="minor"/>
    </font>
    <font>
      <sz val="10"/>
      <name val="Arial"/>
      <family val="2"/>
    </font>
    <font>
      <b/>
      <sz val="12"/>
      <name val="Arial"/>
      <family val="2"/>
    </font>
    <font>
      <sz val="12"/>
      <name val="Arial"/>
      <family val="2"/>
    </font>
    <font>
      <sz val="8"/>
      <color indexed="9"/>
      <name val="Arial"/>
      <family val="2"/>
    </font>
    <font>
      <sz val="10"/>
      <name val="Tahoma"/>
      <family val="2"/>
    </font>
    <font>
      <sz val="14"/>
      <name val="Arial"/>
      <family val="2"/>
    </font>
    <font>
      <b/>
      <sz val="12"/>
      <color theme="0"/>
      <name val="Arial"/>
      <family val="2"/>
    </font>
    <font>
      <sz val="12"/>
      <color theme="0"/>
      <name val="Arial"/>
      <family val="2"/>
    </font>
    <font>
      <b/>
      <sz val="22"/>
      <color theme="0"/>
      <name val="Arial"/>
      <family val="2"/>
    </font>
    <font>
      <b/>
      <vertAlign val="superscript"/>
      <sz val="14"/>
      <color theme="0"/>
      <name val="Arial"/>
      <family val="2"/>
    </font>
    <font>
      <b/>
      <sz val="12"/>
      <color indexed="9"/>
      <name val="Arial"/>
      <family val="2"/>
    </font>
    <font>
      <b/>
      <sz val="12"/>
      <color indexed="12"/>
      <name val="Arial"/>
      <family val="2"/>
    </font>
    <font>
      <sz val="11"/>
      <color theme="1"/>
      <name val="Arial"/>
      <family val="2"/>
    </font>
    <font>
      <sz val="12"/>
      <color theme="1"/>
      <name val="Arial"/>
      <family val="2"/>
    </font>
    <font>
      <sz val="18"/>
      <color theme="1"/>
      <name val="Arial"/>
      <family val="2"/>
    </font>
    <font>
      <sz val="10"/>
      <color theme="1"/>
      <name val="Arial"/>
      <family val="2"/>
    </font>
    <font>
      <b/>
      <sz val="16"/>
      <color theme="0"/>
      <name val="Arial"/>
      <family val="2"/>
    </font>
    <font>
      <b/>
      <sz val="11"/>
      <color theme="1"/>
      <name val="Arial"/>
      <family val="2"/>
    </font>
    <font>
      <b/>
      <sz val="12"/>
      <color theme="1"/>
      <name val="Arial"/>
      <family val="2"/>
    </font>
    <font>
      <b/>
      <sz val="18"/>
      <color theme="1"/>
      <name val="Arial"/>
      <family val="2"/>
    </font>
    <font>
      <b/>
      <sz val="36"/>
      <color theme="0"/>
      <name val="Arial"/>
      <family val="2"/>
    </font>
    <font>
      <sz val="11"/>
      <color theme="0"/>
      <name val="Arial"/>
      <family val="2"/>
    </font>
    <font>
      <b/>
      <i/>
      <sz val="10"/>
      <color theme="0"/>
      <name val="Arial"/>
      <family val="2"/>
    </font>
    <font>
      <b/>
      <sz val="26"/>
      <color theme="1"/>
      <name val="Arial"/>
      <family val="2"/>
    </font>
    <font>
      <b/>
      <sz val="11"/>
      <color rgb="FF0070C0"/>
      <name val="Arial"/>
      <family val="2"/>
    </font>
    <font>
      <b/>
      <sz val="10.5"/>
      <color theme="1"/>
      <name val="Arial"/>
      <family val="2"/>
    </font>
    <font>
      <b/>
      <sz val="18"/>
      <color theme="0"/>
      <name val="Arial"/>
      <family val="2"/>
    </font>
    <font>
      <b/>
      <sz val="8"/>
      <color theme="0"/>
      <name val="Arial"/>
      <family val="2"/>
    </font>
    <font>
      <sz val="10"/>
      <color theme="0"/>
      <name val="Arial"/>
      <family val="2"/>
    </font>
    <font>
      <sz val="11"/>
      <color rgb="FFFF0000"/>
      <name val="Arial"/>
      <family val="2"/>
    </font>
    <font>
      <sz val="11"/>
      <name val="Arial"/>
      <family val="2"/>
    </font>
    <font>
      <sz val="12"/>
      <color indexed="8"/>
      <name val="Arial"/>
      <family val="2"/>
    </font>
    <font>
      <b/>
      <sz val="11"/>
      <color theme="0"/>
      <name val="Arial"/>
      <family val="2"/>
    </font>
    <font>
      <sz val="12"/>
      <color indexed="8"/>
      <name val="Tahoma"/>
      <family val="2"/>
    </font>
  </fonts>
  <fills count="30">
    <fill>
      <patternFill patternType="none"/>
    </fill>
    <fill>
      <patternFill patternType="gray125"/>
    </fill>
    <fill>
      <patternFill patternType="solid">
        <fgColor indexed="9"/>
        <bgColor indexed="64"/>
      </patternFill>
    </fill>
    <fill>
      <patternFill patternType="solid">
        <fgColor rgb="FFFF0000"/>
        <bgColor indexed="64"/>
      </patternFill>
    </fill>
    <fill>
      <patternFill patternType="solid">
        <fgColor theme="4" tint="0.79998168889431442"/>
        <bgColor indexed="64"/>
      </patternFill>
    </fill>
    <fill>
      <patternFill patternType="solid">
        <fgColor rgb="FF66CCFF"/>
        <bgColor indexed="64"/>
      </patternFill>
    </fill>
    <fill>
      <patternFill patternType="solid">
        <fgColor theme="1" tint="0.499984740745262"/>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2" tint="-0.499984740745262"/>
        <bgColor indexed="64"/>
      </patternFill>
    </fill>
    <fill>
      <patternFill patternType="gray0625">
        <bgColor theme="4" tint="0.79995117038483843"/>
      </patternFill>
    </fill>
    <fill>
      <patternFill patternType="solid">
        <fgColor theme="1" tint="4.9989318521683403E-2"/>
        <bgColor indexed="64"/>
      </patternFill>
    </fill>
    <fill>
      <patternFill patternType="solid">
        <fgColor rgb="FF00B0F0"/>
        <bgColor indexed="64"/>
      </patternFill>
    </fill>
    <fill>
      <patternFill patternType="darkGray">
        <bgColor theme="0" tint="-0.34998626667073579"/>
      </patternFill>
    </fill>
    <fill>
      <patternFill patternType="solid">
        <fgColor theme="1"/>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2"/>
        <bgColor indexed="64"/>
      </patternFill>
    </fill>
    <fill>
      <patternFill patternType="solid">
        <fgColor theme="3" tint="0.39997558519241921"/>
        <bgColor indexed="64"/>
      </patternFill>
    </fill>
    <fill>
      <patternFill patternType="darkTrellis">
        <bgColor theme="0" tint="-0.34998626667073579"/>
      </patternFill>
    </fill>
    <fill>
      <patternFill patternType="solid">
        <fgColor rgb="FF0070C0"/>
        <bgColor indexed="64"/>
      </patternFill>
    </fill>
  </fills>
  <borders count="52">
    <border>
      <left/>
      <right/>
      <top/>
      <bottom/>
      <diagonal/>
    </border>
    <border>
      <left/>
      <right style="double">
        <color indexed="64"/>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top/>
      <bottom style="thin">
        <color indexed="64"/>
      </bottom>
      <diagonal/>
    </border>
    <border>
      <left/>
      <right style="thin">
        <color indexed="64"/>
      </right>
      <top/>
      <bottom style="thin">
        <color indexed="64"/>
      </bottom>
      <diagonal/>
    </border>
    <border>
      <left style="thin">
        <color indexed="64"/>
      </left>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ashed">
        <color indexed="64"/>
      </bottom>
      <diagonal/>
    </border>
    <border>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8">
    <xf numFmtId="0" fontId="0" fillId="0" borderId="0"/>
    <xf numFmtId="44" fontId="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cellStyleXfs>
  <cellXfs count="274">
    <xf numFmtId="0" fontId="0" fillId="0" borderId="0" xfId="0"/>
    <xf numFmtId="164" fontId="2" fillId="2" borderId="0" xfId="0" quotePrefix="1" applyNumberFormat="1" applyFont="1" applyFill="1" applyBorder="1" applyAlignment="1" applyProtection="1">
      <alignment horizontal="left"/>
    </xf>
    <xf numFmtId="0" fontId="2" fillId="2" borderId="0" xfId="0" applyFont="1" applyFill="1" applyBorder="1" applyAlignment="1" applyProtection="1">
      <alignment horizontal="left"/>
    </xf>
    <xf numFmtId="0" fontId="2" fillId="2" borderId="0" xfId="0" applyFont="1" applyFill="1" applyBorder="1" applyProtection="1"/>
    <xf numFmtId="0" fontId="2" fillId="2" borderId="0" xfId="0" applyFont="1" applyFill="1" applyProtection="1"/>
    <xf numFmtId="44" fontId="2" fillId="2" borderId="0" xfId="1" applyFont="1" applyFill="1" applyProtection="1"/>
    <xf numFmtId="164" fontId="2" fillId="2" borderId="0" xfId="0" applyNumberFormat="1" applyFont="1" applyFill="1" applyBorder="1" applyAlignment="1" applyProtection="1">
      <alignment horizontal="left"/>
    </xf>
    <xf numFmtId="0" fontId="2" fillId="2" borderId="0" xfId="0" applyFont="1" applyFill="1" applyBorder="1" applyAlignment="1" applyProtection="1">
      <alignment horizontal="right"/>
    </xf>
    <xf numFmtId="0" fontId="4" fillId="2" borderId="0" xfId="0" applyFont="1" applyFill="1" applyBorder="1" applyProtection="1"/>
    <xf numFmtId="0" fontId="4" fillId="2" borderId="0" xfId="0" applyFont="1" applyFill="1" applyBorder="1" applyAlignment="1" applyProtection="1">
      <alignment vertical="center"/>
    </xf>
    <xf numFmtId="0" fontId="2" fillId="2" borderId="7" xfId="0" applyFont="1" applyFill="1" applyBorder="1" applyAlignment="1" applyProtection="1">
      <alignment vertical="center"/>
    </xf>
    <xf numFmtId="0" fontId="2" fillId="2" borderId="17" xfId="0" applyFont="1" applyFill="1" applyBorder="1" applyAlignment="1" applyProtection="1">
      <alignment vertical="center"/>
    </xf>
    <xf numFmtId="0" fontId="2" fillId="2" borderId="0" xfId="0" applyFont="1" applyFill="1" applyBorder="1" applyAlignment="1" applyProtection="1">
      <alignment vertical="center"/>
    </xf>
    <xf numFmtId="0" fontId="2" fillId="2" borderId="1" xfId="0" applyFont="1" applyFill="1" applyBorder="1" applyAlignment="1" applyProtection="1">
      <alignment vertical="center"/>
    </xf>
    <xf numFmtId="0" fontId="2" fillId="2" borderId="0" xfId="0" applyFont="1" applyFill="1" applyBorder="1" applyAlignment="1" applyProtection="1">
      <alignment horizontal="center" vertical="center"/>
    </xf>
    <xf numFmtId="0" fontId="5" fillId="2" borderId="1" xfId="0" applyFont="1" applyFill="1" applyBorder="1" applyAlignment="1" applyProtection="1">
      <alignment horizontal="center" vertical="center"/>
    </xf>
    <xf numFmtId="0" fontId="2" fillId="2" borderId="1" xfId="0" applyFont="1" applyFill="1" applyBorder="1" applyAlignment="1" applyProtection="1">
      <alignment horizontal="center" vertical="center"/>
    </xf>
    <xf numFmtId="0" fontId="4" fillId="2" borderId="0" xfId="0" applyFont="1" applyFill="1" applyAlignment="1" applyProtection="1">
      <alignment vertical="center"/>
    </xf>
    <xf numFmtId="0" fontId="2" fillId="2" borderId="0" xfId="0" applyFont="1" applyFill="1" applyBorder="1" applyAlignment="1" applyProtection="1">
      <alignment horizontal="right" vertical="center"/>
    </xf>
    <xf numFmtId="0" fontId="2" fillId="2" borderId="17" xfId="0" applyFont="1" applyFill="1" applyBorder="1" applyAlignment="1" applyProtection="1">
      <alignment horizontal="center" vertical="center"/>
    </xf>
    <xf numFmtId="0" fontId="2" fillId="2" borderId="8" xfId="0" applyFont="1" applyFill="1" applyBorder="1" applyAlignment="1" applyProtection="1">
      <alignment horizontal="center" vertical="center"/>
    </xf>
    <xf numFmtId="0" fontId="2" fillId="2" borderId="9" xfId="0" applyFont="1" applyFill="1" applyBorder="1" applyAlignment="1" applyProtection="1">
      <alignment horizontal="center" vertical="center"/>
    </xf>
    <xf numFmtId="0" fontId="2" fillId="2" borderId="10" xfId="0" applyFont="1" applyFill="1" applyBorder="1" applyAlignment="1" applyProtection="1">
      <alignment vertical="center"/>
    </xf>
    <xf numFmtId="0" fontId="2" fillId="2" borderId="0" xfId="0" applyFont="1" applyFill="1" applyAlignment="1" applyProtection="1">
      <alignment horizontal="left"/>
    </xf>
    <xf numFmtId="0" fontId="2" fillId="2" borderId="0" xfId="0" applyFont="1" applyFill="1" applyBorder="1" applyAlignment="1" applyProtection="1">
      <alignment horizontal="center"/>
    </xf>
    <xf numFmtId="0" fontId="12" fillId="12" borderId="0" xfId="0" applyFont="1" applyFill="1" applyAlignment="1" applyProtection="1">
      <alignment horizontal="center"/>
      <protection hidden="1"/>
    </xf>
    <xf numFmtId="167" fontId="12" fillId="12" borderId="0" xfId="0" applyNumberFormat="1" applyFont="1" applyFill="1" applyProtection="1">
      <protection hidden="1"/>
    </xf>
    <xf numFmtId="0" fontId="0" fillId="12" borderId="0" xfId="0" applyFill="1"/>
    <xf numFmtId="167" fontId="13" fillId="7" borderId="0" xfId="0" applyNumberFormat="1" applyFont="1" applyFill="1" applyProtection="1">
      <protection hidden="1"/>
    </xf>
    <xf numFmtId="1" fontId="12" fillId="10" borderId="0" xfId="0" applyNumberFormat="1" applyFont="1" applyFill="1" applyAlignment="1" applyProtection="1">
      <alignment horizontal="center"/>
      <protection hidden="1"/>
    </xf>
    <xf numFmtId="0" fontId="12" fillId="10" borderId="0" xfId="0" applyFont="1" applyFill="1" applyAlignment="1" applyProtection="1">
      <alignment horizontal="center"/>
      <protection hidden="1"/>
    </xf>
    <xf numFmtId="166" fontId="12" fillId="10" borderId="0" xfId="0" applyNumberFormat="1" applyFont="1" applyFill="1" applyAlignment="1" applyProtection="1">
      <alignment horizontal="center"/>
      <protection hidden="1"/>
    </xf>
    <xf numFmtId="2" fontId="13" fillId="9" borderId="0" xfId="0" applyNumberFormat="1" applyFont="1" applyFill="1" applyProtection="1">
      <protection hidden="1"/>
    </xf>
    <xf numFmtId="166" fontId="13" fillId="9" borderId="0" xfId="0" applyNumberFormat="1" applyFont="1" applyFill="1" applyProtection="1">
      <protection hidden="1"/>
    </xf>
    <xf numFmtId="0" fontId="4" fillId="9" borderId="0" xfId="4" applyFont="1" applyFill="1" applyBorder="1" applyProtection="1">
      <protection locked="0"/>
    </xf>
    <xf numFmtId="0" fontId="4" fillId="9" borderId="0" xfId="5" applyFont="1" applyFill="1" applyBorder="1" applyProtection="1">
      <protection locked="0"/>
    </xf>
    <xf numFmtId="0" fontId="4" fillId="9" borderId="0" xfId="6" applyFont="1" applyFill="1" applyBorder="1" applyProtection="1">
      <protection locked="0"/>
    </xf>
    <xf numFmtId="0" fontId="4" fillId="9" borderId="0" xfId="7" applyFont="1" applyFill="1" applyBorder="1" applyProtection="1">
      <protection locked="0"/>
    </xf>
    <xf numFmtId="0" fontId="14" fillId="0" borderId="0" xfId="0" applyFont="1" applyAlignment="1">
      <alignment horizontal="center" vertical="center"/>
    </xf>
    <xf numFmtId="0" fontId="15" fillId="5" borderId="0" xfId="0" applyFont="1" applyFill="1" applyAlignment="1">
      <alignment horizontal="center" vertical="center"/>
    </xf>
    <xf numFmtId="0" fontId="14" fillId="11" borderId="0" xfId="0" applyFont="1" applyFill="1" applyAlignment="1">
      <alignment horizontal="center" vertical="center"/>
    </xf>
    <xf numFmtId="0" fontId="14" fillId="14" borderId="0" xfId="0" applyFont="1" applyFill="1" applyAlignment="1">
      <alignment horizontal="center" vertical="center"/>
    </xf>
    <xf numFmtId="0" fontId="15" fillId="14" borderId="0" xfId="0" applyFont="1" applyFill="1" applyAlignment="1">
      <alignment horizontal="center" vertical="center"/>
    </xf>
    <xf numFmtId="168" fontId="14" fillId="4" borderId="0" xfId="0" applyNumberFormat="1" applyFont="1" applyFill="1" applyAlignment="1">
      <alignment horizontal="center" vertical="center"/>
    </xf>
    <xf numFmtId="0" fontId="14" fillId="17" borderId="0" xfId="0" applyFont="1" applyFill="1" applyAlignment="1">
      <alignment horizontal="center" vertical="center"/>
    </xf>
    <xf numFmtId="0" fontId="14" fillId="0" borderId="0" xfId="0" applyFont="1" applyAlignment="1">
      <alignment vertical="center"/>
    </xf>
    <xf numFmtId="4" fontId="18" fillId="8" borderId="47" xfId="0" applyNumberFormat="1" applyFont="1" applyFill="1" applyBorder="1" applyAlignment="1">
      <alignment horizontal="center" vertical="center"/>
    </xf>
    <xf numFmtId="4" fontId="18" fillId="3" borderId="46" xfId="0" applyNumberFormat="1" applyFont="1" applyFill="1" applyBorder="1" applyAlignment="1">
      <alignment horizontal="center" vertical="center"/>
    </xf>
    <xf numFmtId="2" fontId="14" fillId="0" borderId="0" xfId="0" applyNumberFormat="1" applyFont="1" applyAlignment="1">
      <alignment horizontal="center" vertical="center"/>
    </xf>
    <xf numFmtId="0" fontId="16" fillId="14" borderId="0" xfId="0" applyFont="1" applyFill="1" applyAlignment="1">
      <alignment vertical="center"/>
    </xf>
    <xf numFmtId="2" fontId="23" fillId="18" borderId="0" xfId="0" applyNumberFormat="1" applyFont="1" applyFill="1" applyAlignment="1">
      <alignment horizontal="center" vertical="center"/>
    </xf>
    <xf numFmtId="2" fontId="14" fillId="0" borderId="0" xfId="0" applyNumberFormat="1" applyFont="1" applyAlignment="1">
      <alignment horizontal="center" vertical="center"/>
    </xf>
    <xf numFmtId="174" fontId="14" fillId="4" borderId="0" xfId="0" applyNumberFormat="1" applyFont="1" applyFill="1" applyAlignment="1">
      <alignment horizontal="center" vertical="center"/>
    </xf>
    <xf numFmtId="2" fontId="23" fillId="18" borderId="0" xfId="0" applyNumberFormat="1" applyFont="1" applyFill="1" applyAlignment="1">
      <alignment horizontal="center" vertical="center"/>
    </xf>
    <xf numFmtId="2" fontId="14" fillId="0" borderId="0" xfId="0" applyNumberFormat="1" applyFont="1" applyAlignment="1">
      <alignment horizontal="center" vertical="center"/>
    </xf>
    <xf numFmtId="2" fontId="14" fillId="19" borderId="0" xfId="0" applyNumberFormat="1" applyFont="1" applyFill="1" applyAlignment="1">
      <alignment horizontal="center" vertical="center"/>
    </xf>
    <xf numFmtId="0" fontId="14" fillId="0" borderId="0" xfId="0" applyFont="1" applyAlignment="1">
      <alignment horizontal="center" vertical="center"/>
    </xf>
    <xf numFmtId="2" fontId="14" fillId="17" borderId="0" xfId="0" applyNumberFormat="1" applyFont="1" applyFill="1" applyAlignment="1">
      <alignment horizontal="center" vertical="center"/>
    </xf>
    <xf numFmtId="2" fontId="14" fillId="21" borderId="0" xfId="0" applyNumberFormat="1" applyFont="1" applyFill="1" applyAlignment="1">
      <alignment horizontal="center" vertical="center"/>
    </xf>
    <xf numFmtId="170" fontId="14" fillId="21" borderId="0" xfId="0" applyNumberFormat="1" applyFont="1" applyFill="1" applyAlignment="1">
      <alignment horizontal="center" vertical="center"/>
    </xf>
    <xf numFmtId="165" fontId="14" fillId="21" borderId="0" xfId="0" applyNumberFormat="1" applyFont="1" applyFill="1" applyAlignment="1">
      <alignment vertical="center"/>
    </xf>
    <xf numFmtId="171" fontId="14" fillId="21" borderId="0" xfId="0" applyNumberFormat="1" applyFont="1" applyFill="1" applyAlignment="1">
      <alignment vertical="center"/>
    </xf>
    <xf numFmtId="2" fontId="14" fillId="21" borderId="0" xfId="0" applyNumberFormat="1" applyFont="1" applyFill="1" applyAlignment="1">
      <alignment vertical="center"/>
    </xf>
    <xf numFmtId="0" fontId="25" fillId="0" borderId="0" xfId="0" applyFont="1" applyAlignment="1">
      <alignment vertical="center"/>
    </xf>
    <xf numFmtId="0" fontId="14" fillId="23" borderId="0" xfId="0" applyFont="1" applyFill="1" applyAlignment="1">
      <alignment horizontal="center" vertical="center"/>
    </xf>
    <xf numFmtId="0" fontId="14" fillId="0" borderId="0" xfId="0" quotePrefix="1" applyFont="1" applyAlignment="1">
      <alignment horizontal="center" vertical="center"/>
    </xf>
    <xf numFmtId="176" fontId="14" fillId="0" borderId="0" xfId="0" applyNumberFormat="1" applyFont="1" applyAlignment="1">
      <alignment horizontal="center" vertical="center"/>
    </xf>
    <xf numFmtId="0" fontId="19" fillId="0" borderId="0" xfId="0" applyFont="1" applyAlignment="1">
      <alignment vertical="center"/>
    </xf>
    <xf numFmtId="175" fontId="19" fillId="0" borderId="0" xfId="0" applyNumberFormat="1" applyFont="1" applyAlignment="1">
      <alignment vertical="center"/>
    </xf>
    <xf numFmtId="177" fontId="14" fillId="0" borderId="0" xfId="0" quotePrefix="1" applyNumberFormat="1" applyFont="1" applyAlignment="1">
      <alignment horizontal="left" vertical="center"/>
    </xf>
    <xf numFmtId="0" fontId="26" fillId="0" borderId="0" xfId="0" applyFont="1" applyAlignment="1">
      <alignment vertical="center"/>
    </xf>
    <xf numFmtId="0" fontId="14" fillId="0" borderId="0" xfId="0" applyFont="1" applyAlignment="1">
      <alignment horizontal="left" vertical="center"/>
    </xf>
    <xf numFmtId="0" fontId="14" fillId="0" borderId="0" xfId="0" applyFont="1" applyAlignment="1">
      <alignment vertical="top" wrapText="1"/>
    </xf>
    <xf numFmtId="0" fontId="23" fillId="0" borderId="0" xfId="0" applyFont="1" applyFill="1" applyAlignment="1">
      <alignment vertical="center"/>
    </xf>
    <xf numFmtId="0" fontId="8" fillId="19" borderId="11" xfId="0" applyFont="1" applyFill="1" applyBorder="1" applyAlignment="1" applyProtection="1">
      <alignment horizontal="left" vertical="center"/>
    </xf>
    <xf numFmtId="0" fontId="8" fillId="19" borderId="12" xfId="0" applyFont="1" applyFill="1" applyBorder="1" applyAlignment="1" applyProtection="1">
      <alignment vertical="center"/>
    </xf>
    <xf numFmtId="0" fontId="8" fillId="19" borderId="14" xfId="0" applyFont="1" applyFill="1" applyBorder="1" applyAlignment="1" applyProtection="1">
      <alignment horizontal="left" vertical="center"/>
    </xf>
    <xf numFmtId="0" fontId="8" fillId="19" borderId="15" xfId="0" applyFont="1" applyFill="1" applyBorder="1" applyAlignment="1" applyProtection="1">
      <alignment vertical="center"/>
    </xf>
    <xf numFmtId="0" fontId="8" fillId="19" borderId="15" xfId="0" applyFont="1" applyFill="1" applyBorder="1" applyAlignment="1" applyProtection="1">
      <alignment horizontal="left" vertical="center"/>
    </xf>
    <xf numFmtId="0" fontId="8" fillId="19" borderId="19" xfId="0" applyFont="1" applyFill="1" applyBorder="1" applyAlignment="1" applyProtection="1">
      <alignment horizontal="left" vertical="center"/>
    </xf>
    <xf numFmtId="0" fontId="8" fillId="19" borderId="20" xfId="0" applyFont="1" applyFill="1" applyBorder="1" applyAlignment="1" applyProtection="1">
      <alignment vertical="center"/>
    </xf>
    <xf numFmtId="0" fontId="7" fillId="4" borderId="13" xfId="0" applyFont="1" applyFill="1" applyBorder="1" applyAlignment="1" applyProtection="1">
      <alignment horizontal="center" vertical="center"/>
    </xf>
    <xf numFmtId="0" fontId="7" fillId="4" borderId="16" xfId="0" applyFont="1" applyFill="1" applyBorder="1" applyAlignment="1" applyProtection="1">
      <alignment horizontal="center" vertical="center" wrapText="1"/>
    </xf>
    <xf numFmtId="0" fontId="7" fillId="4" borderId="16" xfId="0" applyFont="1" applyFill="1" applyBorder="1" applyAlignment="1" applyProtection="1">
      <alignment horizontal="center" vertical="center"/>
    </xf>
    <xf numFmtId="0" fontId="7" fillId="4" borderId="21" xfId="0" applyFont="1" applyFill="1" applyBorder="1" applyAlignment="1" applyProtection="1">
      <alignment horizontal="center" vertical="center"/>
    </xf>
    <xf numFmtId="2" fontId="7" fillId="4" borderId="18" xfId="0" applyNumberFormat="1" applyFont="1" applyFill="1" applyBorder="1" applyAlignment="1" applyProtection="1">
      <alignment vertical="center"/>
    </xf>
    <xf numFmtId="0" fontId="8" fillId="19" borderId="22" xfId="0" applyFont="1" applyFill="1" applyBorder="1" applyAlignment="1" applyProtection="1">
      <alignment horizontal="center" vertical="center"/>
    </xf>
    <xf numFmtId="0" fontId="8" fillId="19" borderId="23" xfId="0" applyFont="1" applyFill="1" applyBorder="1" applyAlignment="1" applyProtection="1">
      <alignment horizontal="center" vertical="center"/>
    </xf>
    <xf numFmtId="0" fontId="8" fillId="19" borderId="24" xfId="0" applyFont="1" applyFill="1" applyBorder="1" applyAlignment="1" applyProtection="1">
      <alignment horizontal="center" vertical="center"/>
    </xf>
    <xf numFmtId="0" fontId="9" fillId="19" borderId="28" xfId="0" applyFont="1" applyFill="1" applyBorder="1" applyAlignment="1" applyProtection="1">
      <alignment horizontal="center" vertical="center"/>
    </xf>
    <xf numFmtId="0" fontId="9" fillId="19" borderId="33" xfId="0" applyFont="1" applyFill="1" applyBorder="1" applyAlignment="1" applyProtection="1">
      <alignment horizontal="center" vertical="center"/>
    </xf>
    <xf numFmtId="0" fontId="9" fillId="19" borderId="37" xfId="0" applyFont="1" applyFill="1" applyBorder="1" applyAlignment="1" applyProtection="1">
      <alignment horizontal="center" vertical="center"/>
    </xf>
    <xf numFmtId="2" fontId="3" fillId="4" borderId="29" xfId="2" applyNumberFormat="1" applyFont="1" applyFill="1" applyBorder="1" applyAlignment="1" applyProtection="1">
      <alignment horizontal="center"/>
      <protection locked="0"/>
    </xf>
    <xf numFmtId="1" fontId="3" fillId="4" borderId="29" xfId="3" applyNumberFormat="1" applyFont="1" applyFill="1" applyBorder="1" applyAlignment="1" applyProtection="1">
      <alignment horizontal="center"/>
      <protection locked="0"/>
    </xf>
    <xf numFmtId="2" fontId="3" fillId="4" borderId="34" xfId="2" applyNumberFormat="1" applyFont="1" applyFill="1" applyBorder="1" applyAlignment="1" applyProtection="1">
      <alignment horizontal="center"/>
      <protection locked="0"/>
    </xf>
    <xf numFmtId="1" fontId="3" fillId="4" borderId="34" xfId="3" applyNumberFormat="1" applyFont="1" applyFill="1" applyBorder="1" applyAlignment="1" applyProtection="1">
      <alignment horizontal="center"/>
      <protection locked="0"/>
    </xf>
    <xf numFmtId="2" fontId="7" fillId="4" borderId="18" xfId="0" applyNumberFormat="1" applyFont="1" applyFill="1" applyBorder="1" applyAlignment="1" applyProtection="1">
      <alignment horizontal="center" vertical="center"/>
    </xf>
    <xf numFmtId="165" fontId="7" fillId="4" borderId="16" xfId="0" applyNumberFormat="1" applyFont="1" applyFill="1" applyBorder="1" applyAlignment="1" applyProtection="1">
      <alignment horizontal="center" vertical="center"/>
    </xf>
    <xf numFmtId="2" fontId="7" fillId="4" borderId="38" xfId="0" applyNumberFormat="1" applyFont="1" applyFill="1" applyBorder="1" applyAlignment="1" applyProtection="1">
      <alignment horizontal="center" vertical="center"/>
    </xf>
    <xf numFmtId="165" fontId="7" fillId="4" borderId="21" xfId="0" applyNumberFormat="1" applyFont="1" applyFill="1" applyBorder="1" applyAlignment="1" applyProtection="1">
      <alignment horizontal="center" vertical="center"/>
    </xf>
    <xf numFmtId="165" fontId="8" fillId="24" borderId="40" xfId="0" applyNumberFormat="1" applyFont="1" applyFill="1" applyBorder="1" applyAlignment="1" applyProtection="1">
      <alignment horizontal="center" vertical="center"/>
    </xf>
    <xf numFmtId="0" fontId="30" fillId="24" borderId="6" xfId="0" applyFont="1" applyFill="1" applyBorder="1" applyAlignment="1" applyProtection="1">
      <alignment horizontal="center" vertical="center"/>
    </xf>
    <xf numFmtId="0" fontId="30" fillId="24" borderId="0" xfId="0" applyFont="1" applyFill="1" applyBorder="1" applyAlignment="1" applyProtection="1">
      <alignment horizontal="center" vertical="center"/>
    </xf>
    <xf numFmtId="0" fontId="14" fillId="19" borderId="0" xfId="0" applyFont="1" applyFill="1" applyAlignment="1">
      <alignment horizontal="center" vertical="center"/>
    </xf>
    <xf numFmtId="0" fontId="23" fillId="6" borderId="0" xfId="0" applyFont="1" applyFill="1" applyAlignment="1">
      <alignment horizontal="center" vertical="center"/>
    </xf>
    <xf numFmtId="2" fontId="23" fillId="6" borderId="0" xfId="0" applyNumberFormat="1" applyFont="1" applyFill="1" applyAlignment="1">
      <alignment horizontal="center" vertical="center"/>
    </xf>
    <xf numFmtId="181" fontId="14" fillId="10" borderId="46" xfId="0" applyNumberFormat="1" applyFont="1" applyFill="1" applyBorder="1" applyAlignment="1">
      <alignment horizontal="center"/>
    </xf>
    <xf numFmtId="0" fontId="14" fillId="25" borderId="0" xfId="0" applyFont="1" applyFill="1" applyAlignment="1">
      <alignment horizontal="center" vertical="center"/>
    </xf>
    <xf numFmtId="0" fontId="14" fillId="4" borderId="0" xfId="0" applyFont="1" applyFill="1" applyAlignment="1">
      <alignment horizontal="center" vertical="center"/>
    </xf>
    <xf numFmtId="0" fontId="14" fillId="26" borderId="0" xfId="0" applyFont="1" applyFill="1" applyAlignment="1">
      <alignment horizontal="center" vertical="center"/>
    </xf>
    <xf numFmtId="165" fontId="14" fillId="4" borderId="0" xfId="0" applyNumberFormat="1" applyFont="1" applyFill="1" applyAlignment="1">
      <alignment horizontal="center" vertical="center"/>
    </xf>
    <xf numFmtId="1" fontId="14" fillId="4" borderId="0" xfId="0" applyNumberFormat="1" applyFont="1" applyFill="1" applyAlignment="1">
      <alignment horizontal="center" vertical="center"/>
    </xf>
    <xf numFmtId="166" fontId="14" fillId="4" borderId="0" xfId="0" applyNumberFormat="1" applyFont="1" applyFill="1" applyAlignment="1">
      <alignment horizontal="center" vertical="center"/>
    </xf>
    <xf numFmtId="0" fontId="20" fillId="0" borderId="0" xfId="0" applyFont="1" applyAlignment="1">
      <alignment horizontal="center" vertical="center"/>
    </xf>
    <xf numFmtId="0" fontId="14" fillId="27" borderId="0" xfId="0" applyFont="1" applyFill="1" applyAlignment="1">
      <alignment horizontal="center" vertical="center"/>
    </xf>
    <xf numFmtId="0" fontId="8" fillId="27" borderId="0" xfId="0" applyFont="1" applyFill="1" applyAlignment="1">
      <alignment horizontal="center" vertical="center"/>
    </xf>
    <xf numFmtId="0" fontId="14" fillId="28" borderId="46" xfId="0" applyFont="1" applyFill="1" applyBorder="1" applyAlignment="1">
      <alignment horizontal="center" vertical="center"/>
    </xf>
    <xf numFmtId="0" fontId="14" fillId="28" borderId="47" xfId="0" applyFont="1" applyFill="1" applyBorder="1" applyAlignment="1">
      <alignment horizontal="center" vertical="center"/>
    </xf>
    <xf numFmtId="0" fontId="14" fillId="0" borderId="0" xfId="0" applyFont="1" applyAlignment="1">
      <alignment horizontal="center" vertical="center"/>
    </xf>
    <xf numFmtId="0" fontId="14" fillId="23" borderId="0" xfId="0" applyFont="1" applyFill="1" applyAlignment="1">
      <alignment horizontal="center" vertical="center"/>
    </xf>
    <xf numFmtId="175" fontId="14" fillId="4" borderId="0" xfId="0" applyNumberFormat="1" applyFont="1" applyFill="1" applyAlignment="1">
      <alignment horizontal="center" vertical="center"/>
    </xf>
    <xf numFmtId="2" fontId="14" fillId="25" borderId="0" xfId="0" applyNumberFormat="1" applyFont="1" applyFill="1" applyAlignment="1">
      <alignment horizontal="center" vertical="center"/>
    </xf>
    <xf numFmtId="2" fontId="14" fillId="25" borderId="0" xfId="0" applyNumberFormat="1" applyFont="1" applyFill="1" applyAlignment="1">
      <alignment vertical="center"/>
    </xf>
    <xf numFmtId="166" fontId="14" fillId="0" borderId="0" xfId="0" applyNumberFormat="1" applyFont="1" applyAlignment="1">
      <alignment horizontal="center" vertical="center"/>
    </xf>
    <xf numFmtId="0" fontId="14" fillId="0" borderId="0" xfId="0" applyFont="1" applyAlignment="1">
      <alignment horizontal="center" vertical="center"/>
    </xf>
    <xf numFmtId="175" fontId="14" fillId="4" borderId="0" xfId="0" applyNumberFormat="1" applyFont="1" applyFill="1" applyAlignment="1">
      <alignment horizontal="center" vertical="center"/>
    </xf>
    <xf numFmtId="0" fontId="33" fillId="0" borderId="0" xfId="0" applyFont="1" applyAlignment="1">
      <alignment vertical="center"/>
    </xf>
    <xf numFmtId="0" fontId="14" fillId="0" borderId="0" xfId="0" applyFont="1" applyAlignment="1">
      <alignment horizontal="center" vertical="center"/>
    </xf>
    <xf numFmtId="2" fontId="14" fillId="19" borderId="0" xfId="0" applyNumberFormat="1" applyFont="1" applyFill="1" applyAlignment="1">
      <alignment horizontal="center" vertical="center"/>
    </xf>
    <xf numFmtId="2" fontId="14" fillId="4" borderId="0" xfId="0" applyNumberFormat="1" applyFont="1" applyFill="1" applyAlignment="1">
      <alignment horizontal="center" vertical="center"/>
    </xf>
    <xf numFmtId="175" fontId="14" fillId="4" borderId="0" xfId="0" applyNumberFormat="1" applyFont="1" applyFill="1" applyAlignment="1">
      <alignment horizontal="center" vertical="center"/>
    </xf>
    <xf numFmtId="0" fontId="23" fillId="27" borderId="0" xfId="0" applyFont="1" applyFill="1" applyAlignment="1">
      <alignment horizontal="center" vertical="center"/>
    </xf>
    <xf numFmtId="0" fontId="23" fillId="0" borderId="0" xfId="0" applyFont="1" applyAlignment="1">
      <alignment horizontal="center" vertical="center"/>
    </xf>
    <xf numFmtId="0" fontId="23" fillId="18" borderId="0" xfId="0" applyFont="1" applyFill="1" applyAlignment="1">
      <alignment horizontal="center" vertical="center"/>
    </xf>
    <xf numFmtId="0" fontId="23" fillId="29" borderId="0" xfId="0" applyFont="1" applyFill="1" applyAlignment="1">
      <alignment horizontal="center" vertical="center"/>
    </xf>
    <xf numFmtId="0" fontId="32" fillId="25" borderId="0" xfId="0" applyFont="1" applyFill="1" applyAlignment="1">
      <alignment horizontal="center" vertical="center"/>
    </xf>
    <xf numFmtId="0" fontId="34" fillId="27" borderId="0" xfId="0" applyFont="1" applyFill="1" applyAlignment="1">
      <alignment horizontal="center" vertical="center"/>
    </xf>
    <xf numFmtId="0" fontId="34" fillId="19" borderId="0" xfId="0" applyFont="1" applyFill="1" applyAlignment="1">
      <alignment horizontal="center" vertical="center"/>
    </xf>
    <xf numFmtId="182" fontId="14" fillId="4" borderId="0" xfId="0" applyNumberFormat="1" applyFont="1" applyFill="1" applyAlignment="1">
      <alignment horizontal="center" vertical="center"/>
    </xf>
    <xf numFmtId="183" fontId="14" fillId="4" borderId="0" xfId="0" applyNumberFormat="1" applyFont="1" applyFill="1" applyAlignment="1">
      <alignment horizontal="center" vertical="center"/>
    </xf>
    <xf numFmtId="0" fontId="32" fillId="19" borderId="0" xfId="0" applyFont="1" applyFill="1" applyAlignment="1">
      <alignment horizontal="center" vertical="center"/>
    </xf>
    <xf numFmtId="166" fontId="14" fillId="4" borderId="0" xfId="0" applyNumberFormat="1" applyFont="1" applyFill="1" applyAlignment="1">
      <alignment vertical="center"/>
    </xf>
    <xf numFmtId="166" fontId="32" fillId="4" borderId="0" xfId="0" applyNumberFormat="1" applyFont="1" applyFill="1" applyBorder="1" applyAlignment="1">
      <alignment horizontal="center" vertical="center"/>
    </xf>
    <xf numFmtId="0" fontId="14" fillId="4" borderId="0" xfId="0" applyFont="1" applyFill="1" applyBorder="1" applyAlignment="1">
      <alignment horizontal="center" vertical="center"/>
    </xf>
    <xf numFmtId="184" fontId="14" fillId="4" borderId="0" xfId="0" applyNumberFormat="1" applyFont="1" applyFill="1" applyBorder="1" applyAlignment="1">
      <alignment horizontal="center" vertical="center"/>
    </xf>
    <xf numFmtId="0" fontId="33" fillId="4" borderId="0" xfId="0" applyFont="1" applyFill="1" applyAlignment="1">
      <alignment vertical="center"/>
    </xf>
    <xf numFmtId="0" fontId="23" fillId="0" borderId="0" xfId="0" applyFont="1" applyFill="1" applyAlignment="1">
      <alignment horizontal="center" vertical="center"/>
    </xf>
    <xf numFmtId="0" fontId="8" fillId="19" borderId="0" xfId="0" applyFont="1" applyFill="1" applyAlignment="1">
      <alignment horizontal="center" vertical="center"/>
    </xf>
    <xf numFmtId="0" fontId="14" fillId="0" borderId="0" xfId="0" applyFont="1" applyFill="1" applyAlignment="1">
      <alignment horizontal="center" vertical="center"/>
    </xf>
    <xf numFmtId="185" fontId="14" fillId="0" borderId="0" xfId="0" applyNumberFormat="1" applyFont="1" applyAlignment="1">
      <alignment horizontal="center" vertical="center"/>
    </xf>
    <xf numFmtId="0" fontId="4" fillId="0" borderId="0" xfId="0" applyFont="1"/>
    <xf numFmtId="0" fontId="35" fillId="0" borderId="0" xfId="0" applyFont="1"/>
    <xf numFmtId="175" fontId="35" fillId="0" borderId="0" xfId="0" applyNumberFormat="1" applyFont="1"/>
    <xf numFmtId="175" fontId="23" fillId="29" borderId="0" xfId="0" applyNumberFormat="1" applyFont="1" applyFill="1" applyAlignment="1">
      <alignment horizontal="center" vertical="center"/>
    </xf>
    <xf numFmtId="0" fontId="32" fillId="4" borderId="0" xfId="0" applyFont="1" applyFill="1" applyAlignment="1">
      <alignment horizontal="center" vertical="center"/>
    </xf>
    <xf numFmtId="175" fontId="14" fillId="20" borderId="0" xfId="0" applyNumberFormat="1" applyFont="1" applyFill="1" applyAlignment="1">
      <alignment horizontal="center" vertical="center"/>
    </xf>
    <xf numFmtId="169" fontId="14" fillId="20" borderId="0" xfId="0" applyNumberFormat="1" applyFont="1" applyFill="1" applyAlignment="1">
      <alignment horizontal="center" vertical="center"/>
    </xf>
    <xf numFmtId="164" fontId="28" fillId="24" borderId="0" xfId="0" applyNumberFormat="1" applyFont="1" applyFill="1" applyBorder="1" applyAlignment="1" applyProtection="1">
      <alignment horizontal="center" vertical="center"/>
    </xf>
    <xf numFmtId="164" fontId="28" fillId="24" borderId="1" xfId="0" applyNumberFormat="1" applyFont="1" applyFill="1" applyBorder="1" applyAlignment="1" applyProtection="1">
      <alignment horizontal="center" vertical="center"/>
    </xf>
    <xf numFmtId="44" fontId="22" fillId="24" borderId="2" xfId="1" applyFont="1" applyFill="1" applyBorder="1" applyAlignment="1" applyProtection="1">
      <alignment horizontal="left" vertical="center"/>
    </xf>
    <xf numFmtId="44" fontId="22" fillId="24" borderId="3" xfId="1" applyFont="1" applyFill="1" applyBorder="1" applyAlignment="1" applyProtection="1">
      <alignment horizontal="left" vertical="center"/>
    </xf>
    <xf numFmtId="44" fontId="22" fillId="24" borderId="4" xfId="1" applyFont="1" applyFill="1" applyBorder="1" applyAlignment="1" applyProtection="1">
      <alignment horizontal="left" vertical="center"/>
    </xf>
    <xf numFmtId="0" fontId="10" fillId="24" borderId="5" xfId="0" applyFont="1" applyFill="1" applyBorder="1" applyAlignment="1" applyProtection="1">
      <alignment horizontal="center" vertical="center"/>
    </xf>
    <xf numFmtId="0" fontId="10" fillId="24" borderId="6" xfId="0" applyFont="1" applyFill="1" applyBorder="1" applyAlignment="1" applyProtection="1">
      <alignment horizontal="center" vertical="center"/>
    </xf>
    <xf numFmtId="0" fontId="10" fillId="24" borderId="7" xfId="0" applyFont="1" applyFill="1" applyBorder="1" applyAlignment="1" applyProtection="1">
      <alignment horizontal="center" vertical="center"/>
    </xf>
    <xf numFmtId="0" fontId="10" fillId="24" borderId="8" xfId="0" applyFont="1" applyFill="1" applyBorder="1" applyAlignment="1" applyProtection="1">
      <alignment horizontal="center" vertical="center"/>
    </xf>
    <xf numFmtId="0" fontId="10" fillId="24" borderId="9" xfId="0" applyFont="1" applyFill="1" applyBorder="1" applyAlignment="1" applyProtection="1">
      <alignment horizontal="center" vertical="center"/>
    </xf>
    <xf numFmtId="0" fontId="10" fillId="24" borderId="10" xfId="0" applyFont="1" applyFill="1" applyBorder="1" applyAlignment="1" applyProtection="1">
      <alignment horizontal="center" vertical="center"/>
    </xf>
    <xf numFmtId="0" fontId="8" fillId="24" borderId="5" xfId="0" applyFont="1" applyFill="1" applyBorder="1" applyAlignment="1" applyProtection="1">
      <alignment horizontal="center" vertical="center" wrapText="1"/>
    </xf>
    <xf numFmtId="0" fontId="8" fillId="24" borderId="6" xfId="0" applyFont="1" applyFill="1" applyBorder="1" applyAlignment="1" applyProtection="1">
      <alignment horizontal="center" vertical="center" wrapText="1"/>
    </xf>
    <xf numFmtId="0" fontId="8" fillId="24" borderId="7" xfId="0" applyFont="1" applyFill="1" applyBorder="1" applyAlignment="1" applyProtection="1">
      <alignment horizontal="center" vertical="center" wrapText="1"/>
    </xf>
    <xf numFmtId="0" fontId="8" fillId="24" borderId="8" xfId="0" applyFont="1" applyFill="1" applyBorder="1" applyAlignment="1" applyProtection="1">
      <alignment horizontal="center" vertical="center" wrapText="1"/>
    </xf>
    <xf numFmtId="0" fontId="8" fillId="24" borderId="9" xfId="0" applyFont="1" applyFill="1" applyBorder="1" applyAlignment="1" applyProtection="1">
      <alignment horizontal="center" vertical="center" wrapText="1"/>
    </xf>
    <xf numFmtId="0" fontId="8" fillId="24" borderId="10" xfId="0" applyFont="1" applyFill="1" applyBorder="1" applyAlignment="1" applyProtection="1">
      <alignment horizontal="center" vertical="center" wrapText="1"/>
    </xf>
    <xf numFmtId="0" fontId="8" fillId="24" borderId="5" xfId="0" applyFont="1" applyFill="1" applyBorder="1" applyAlignment="1" applyProtection="1">
      <alignment horizontal="center" vertical="center"/>
    </xf>
    <xf numFmtId="0" fontId="8" fillId="24" borderId="6" xfId="0" applyFont="1" applyFill="1" applyBorder="1" applyAlignment="1" applyProtection="1">
      <alignment horizontal="center" vertical="center"/>
    </xf>
    <xf numFmtId="0" fontId="8" fillId="24" borderId="7" xfId="0" applyFont="1" applyFill="1" applyBorder="1" applyAlignment="1" applyProtection="1">
      <alignment horizontal="center" vertical="center"/>
    </xf>
    <xf numFmtId="0" fontId="8" fillId="24" borderId="8" xfId="0" applyFont="1" applyFill="1" applyBorder="1" applyAlignment="1" applyProtection="1">
      <alignment horizontal="center" vertical="center"/>
    </xf>
    <xf numFmtId="0" fontId="8" fillId="24" borderId="9" xfId="0" applyFont="1" applyFill="1" applyBorder="1" applyAlignment="1" applyProtection="1">
      <alignment horizontal="center" vertical="center"/>
    </xf>
    <xf numFmtId="0" fontId="8" fillId="24" borderId="10" xfId="0" applyFont="1" applyFill="1" applyBorder="1" applyAlignment="1" applyProtection="1">
      <alignment horizontal="center" vertical="center"/>
    </xf>
    <xf numFmtId="0" fontId="29" fillId="19" borderId="5" xfId="0" applyFont="1" applyFill="1" applyBorder="1" applyAlignment="1" applyProtection="1">
      <alignment horizontal="center" vertical="center"/>
    </xf>
    <xf numFmtId="0" fontId="29" fillId="19" borderId="6" xfId="0" applyFont="1" applyFill="1" applyBorder="1" applyAlignment="1" applyProtection="1">
      <alignment horizontal="center" vertical="center"/>
    </xf>
    <xf numFmtId="0" fontId="29" fillId="19" borderId="17" xfId="0" applyFont="1" applyFill="1" applyBorder="1" applyAlignment="1" applyProtection="1">
      <alignment horizontal="center" vertical="center"/>
    </xf>
    <xf numFmtId="0" fontId="29" fillId="19" borderId="0" xfId="0" applyFont="1" applyFill="1" applyBorder="1" applyAlignment="1" applyProtection="1">
      <alignment horizontal="center" vertical="center"/>
    </xf>
    <xf numFmtId="0" fontId="8" fillId="19" borderId="25" xfId="0" applyFont="1" applyFill="1" applyBorder="1" applyAlignment="1" applyProtection="1">
      <alignment horizontal="center" vertical="center"/>
    </xf>
    <xf numFmtId="0" fontId="8" fillId="19" borderId="26" xfId="0" applyFont="1" applyFill="1" applyBorder="1" applyAlignment="1" applyProtection="1">
      <alignment horizontal="center" vertical="center"/>
    </xf>
    <xf numFmtId="0" fontId="8" fillId="19" borderId="27" xfId="0" applyFont="1" applyFill="1" applyBorder="1" applyAlignment="1" applyProtection="1">
      <alignment horizontal="center" vertical="center"/>
    </xf>
    <xf numFmtId="0" fontId="8" fillId="19" borderId="4" xfId="0" applyFont="1" applyFill="1" applyBorder="1" applyAlignment="1" applyProtection="1">
      <alignment horizontal="center" vertical="center"/>
    </xf>
    <xf numFmtId="0" fontId="9" fillId="19" borderId="14" xfId="0" applyFont="1" applyFill="1" applyBorder="1" applyAlignment="1" applyProtection="1">
      <alignment horizontal="left" vertical="center"/>
    </xf>
    <xf numFmtId="0" fontId="9" fillId="19" borderId="30" xfId="0" applyFont="1" applyFill="1" applyBorder="1" applyAlignment="1" applyProtection="1">
      <alignment horizontal="left" vertical="center"/>
    </xf>
    <xf numFmtId="2" fontId="7" fillId="4" borderId="31" xfId="0" applyNumberFormat="1" applyFont="1" applyFill="1" applyBorder="1" applyAlignment="1" applyProtection="1">
      <alignment horizontal="center" vertical="center"/>
    </xf>
    <xf numFmtId="2" fontId="7" fillId="4" borderId="32" xfId="0" applyNumberFormat="1" applyFont="1" applyFill="1" applyBorder="1" applyAlignment="1" applyProtection="1">
      <alignment horizontal="center" vertical="center"/>
    </xf>
    <xf numFmtId="2" fontId="7" fillId="4" borderId="35" xfId="0" applyNumberFormat="1" applyFont="1" applyFill="1" applyBorder="1" applyAlignment="1" applyProtection="1">
      <alignment horizontal="center" vertical="center"/>
    </xf>
    <xf numFmtId="2" fontId="7" fillId="4" borderId="36" xfId="0" applyNumberFormat="1" applyFont="1" applyFill="1" applyBorder="1" applyAlignment="1" applyProtection="1">
      <alignment horizontal="center" vertical="center"/>
    </xf>
    <xf numFmtId="0" fontId="8" fillId="24" borderId="2" xfId="0" applyFont="1" applyFill="1" applyBorder="1" applyAlignment="1" applyProtection="1">
      <alignment horizontal="center" vertical="center"/>
    </xf>
    <xf numFmtId="0" fontId="8" fillId="24" borderId="39" xfId="0" applyFont="1" applyFill="1" applyBorder="1" applyAlignment="1" applyProtection="1">
      <alignment horizontal="center" vertical="center"/>
    </xf>
    <xf numFmtId="0" fontId="9" fillId="19" borderId="8" xfId="0" applyFont="1" applyFill="1" applyBorder="1" applyAlignment="1" applyProtection="1">
      <alignment horizontal="left" vertical="center"/>
    </xf>
    <xf numFmtId="0" fontId="9" fillId="19" borderId="41" xfId="0" applyFont="1" applyFill="1" applyBorder="1" applyAlignment="1" applyProtection="1">
      <alignment horizontal="left" vertical="center"/>
    </xf>
    <xf numFmtId="2" fontId="7" fillId="4" borderId="42" xfId="0" applyNumberFormat="1" applyFont="1" applyFill="1" applyBorder="1" applyAlignment="1" applyProtection="1">
      <alignment horizontal="center" vertical="center"/>
    </xf>
    <xf numFmtId="2" fontId="7" fillId="4" borderId="10" xfId="0" applyNumberFormat="1" applyFont="1" applyFill="1" applyBorder="1" applyAlignment="1" applyProtection="1">
      <alignment horizontal="center" vertical="center"/>
    </xf>
    <xf numFmtId="0" fontId="16" fillId="14" borderId="0" xfId="0" applyFont="1" applyFill="1" applyAlignment="1">
      <alignment horizontal="center" vertical="center"/>
    </xf>
    <xf numFmtId="168" fontId="15" fillId="4" borderId="0" xfId="0" applyNumberFormat="1" applyFont="1" applyFill="1" applyAlignment="1">
      <alignment horizontal="center" vertical="center"/>
    </xf>
    <xf numFmtId="0" fontId="21" fillId="15" borderId="43" xfId="0" applyFont="1" applyFill="1" applyBorder="1" applyAlignment="1">
      <alignment horizontal="center" vertical="center"/>
    </xf>
    <xf numFmtId="0" fontId="21" fillId="15" borderId="44" xfId="0" applyFont="1" applyFill="1" applyBorder="1" applyAlignment="1">
      <alignment horizontal="center" vertical="center"/>
    </xf>
    <xf numFmtId="0" fontId="21" fillId="15" borderId="45" xfId="0" applyFont="1" applyFill="1" applyBorder="1" applyAlignment="1">
      <alignment horizontal="center" vertical="center"/>
    </xf>
    <xf numFmtId="0" fontId="14" fillId="10" borderId="46" xfId="0" applyFont="1" applyFill="1" applyBorder="1" applyAlignment="1">
      <alignment horizontal="center" vertical="center"/>
    </xf>
    <xf numFmtId="0" fontId="14" fillId="10" borderId="47" xfId="0" applyFont="1" applyFill="1" applyBorder="1" applyAlignment="1">
      <alignment horizontal="center" vertical="center"/>
    </xf>
    <xf numFmtId="0" fontId="14" fillId="16" borderId="46" xfId="0" applyFont="1" applyFill="1" applyBorder="1" applyAlignment="1">
      <alignment horizontal="center" vertical="center"/>
    </xf>
    <xf numFmtId="0" fontId="14" fillId="16" borderId="48" xfId="0" applyFont="1" applyFill="1" applyBorder="1" applyAlignment="1">
      <alignment horizontal="center" vertical="center"/>
    </xf>
    <xf numFmtId="0" fontId="14" fillId="16" borderId="47" xfId="0" applyFont="1" applyFill="1" applyBorder="1" applyAlignment="1">
      <alignment horizontal="center" vertical="center"/>
    </xf>
    <xf numFmtId="0" fontId="14" fillId="16" borderId="50" xfId="0" applyFont="1" applyFill="1" applyBorder="1" applyAlignment="1">
      <alignment horizontal="center" vertical="center"/>
    </xf>
    <xf numFmtId="0" fontId="14" fillId="13" borderId="0" xfId="0" applyFont="1" applyFill="1" applyBorder="1" applyAlignment="1">
      <alignment horizontal="center" vertical="center"/>
    </xf>
    <xf numFmtId="0" fontId="14" fillId="13" borderId="49" xfId="0" applyFont="1" applyFill="1" applyBorder="1" applyAlignment="1">
      <alignment horizontal="center" vertical="center"/>
    </xf>
    <xf numFmtId="0" fontId="15" fillId="4" borderId="0" xfId="0" applyFont="1" applyFill="1" applyAlignment="1">
      <alignment horizontal="center" vertical="center"/>
    </xf>
    <xf numFmtId="173" fontId="15" fillId="4" borderId="0" xfId="0" applyNumberFormat="1" applyFont="1" applyFill="1" applyAlignment="1">
      <alignment horizontal="center" vertical="center"/>
    </xf>
    <xf numFmtId="169" fontId="14" fillId="4" borderId="0" xfId="0" applyNumberFormat="1" applyFont="1" applyFill="1" applyAlignment="1">
      <alignment horizontal="center" vertical="center"/>
    </xf>
    <xf numFmtId="0" fontId="23" fillId="10" borderId="46" xfId="0" applyFont="1" applyFill="1" applyBorder="1" applyAlignment="1">
      <alignment horizontal="center" vertical="top"/>
    </xf>
    <xf numFmtId="4" fontId="14" fillId="10" borderId="47" xfId="0" applyNumberFormat="1" applyFont="1" applyFill="1" applyBorder="1" applyAlignment="1">
      <alignment horizontal="center" vertical="center"/>
    </xf>
    <xf numFmtId="0" fontId="17" fillId="14" borderId="0" xfId="0" applyFont="1" applyFill="1" applyAlignment="1">
      <alignment horizontal="center" vertical="center"/>
    </xf>
    <xf numFmtId="0" fontId="19" fillId="11" borderId="0" xfId="0" applyFont="1" applyFill="1" applyAlignment="1">
      <alignment horizontal="center" vertical="center"/>
    </xf>
    <xf numFmtId="168" fontId="20" fillId="4" borderId="0" xfId="0" applyNumberFormat="1" applyFont="1" applyFill="1" applyAlignment="1">
      <alignment horizontal="center" vertical="center"/>
    </xf>
    <xf numFmtId="174" fontId="20" fillId="4" borderId="0" xfId="0" applyNumberFormat="1" applyFont="1" applyFill="1" applyAlignment="1">
      <alignment horizontal="center" vertical="center"/>
    </xf>
    <xf numFmtId="0" fontId="17" fillId="11" borderId="0" xfId="0" applyFont="1" applyFill="1" applyAlignment="1">
      <alignment horizontal="center" vertical="center"/>
    </xf>
    <xf numFmtId="0" fontId="17" fillId="11" borderId="0" xfId="0" applyFont="1" applyFill="1" applyAlignment="1">
      <alignment horizontal="center" vertical="center" wrapText="1"/>
    </xf>
    <xf numFmtId="0" fontId="14" fillId="0" borderId="46" xfId="0" applyFont="1" applyFill="1" applyBorder="1" applyAlignment="1">
      <alignment horizontal="center" vertical="center"/>
    </xf>
    <xf numFmtId="0" fontId="24" fillId="14" borderId="0" xfId="0" applyFont="1" applyFill="1" applyAlignment="1">
      <alignment horizontal="center" vertical="center" wrapText="1"/>
    </xf>
    <xf numFmtId="0" fontId="8" fillId="24" borderId="0" xfId="0" applyFont="1" applyFill="1" applyAlignment="1">
      <alignment horizontal="center" vertical="center"/>
    </xf>
    <xf numFmtId="0" fontId="23" fillId="29" borderId="0" xfId="0" applyFont="1" applyFill="1" applyAlignment="1">
      <alignment horizontal="center" vertical="center"/>
    </xf>
    <xf numFmtId="0" fontId="10" fillId="24" borderId="0" xfId="0" applyFont="1" applyFill="1" applyAlignment="1">
      <alignment horizontal="center" vertical="center"/>
    </xf>
    <xf numFmtId="0" fontId="23" fillId="18" borderId="0" xfId="0" applyFont="1" applyFill="1" applyAlignment="1">
      <alignment horizontal="center" vertical="center"/>
    </xf>
    <xf numFmtId="0" fontId="19" fillId="0" borderId="0" xfId="0" applyFont="1" applyAlignment="1">
      <alignment horizontal="center" vertical="center"/>
    </xf>
    <xf numFmtId="180" fontId="19" fillId="0" borderId="0" xfId="0" applyNumberFormat="1" applyFont="1" applyAlignment="1">
      <alignment horizontal="center" vertical="center"/>
    </xf>
    <xf numFmtId="179" fontId="19" fillId="0" borderId="0" xfId="0" applyNumberFormat="1" applyFont="1" applyAlignment="1">
      <alignment horizontal="center" vertical="center"/>
    </xf>
    <xf numFmtId="0" fontId="14" fillId="0" borderId="51"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top" wrapText="1"/>
    </xf>
    <xf numFmtId="0" fontId="14" fillId="0" borderId="0" xfId="0" applyFont="1" applyAlignment="1">
      <alignment horizontal="left" vertical="center"/>
    </xf>
    <xf numFmtId="174" fontId="14" fillId="0" borderId="0" xfId="0" applyNumberFormat="1" applyFont="1" applyAlignment="1">
      <alignment horizontal="center" vertical="center"/>
    </xf>
    <xf numFmtId="0" fontId="19" fillId="0" borderId="0" xfId="0" applyFont="1" applyAlignment="1">
      <alignment horizontal="left" vertical="center"/>
    </xf>
    <xf numFmtId="174" fontId="19" fillId="0" borderId="0" xfId="0" applyNumberFormat="1" applyFont="1" applyAlignment="1">
      <alignment horizontal="center"/>
    </xf>
    <xf numFmtId="0" fontId="19" fillId="0" borderId="0" xfId="0" applyFont="1" applyAlignment="1">
      <alignment horizontal="center"/>
    </xf>
    <xf numFmtId="0" fontId="26" fillId="0" borderId="0" xfId="0" applyFont="1" applyAlignment="1">
      <alignment horizontal="center" vertical="center"/>
    </xf>
    <xf numFmtId="175" fontId="14" fillId="0" borderId="0" xfId="0" applyNumberFormat="1" applyFont="1" applyAlignment="1">
      <alignment horizontal="center" vertical="center"/>
    </xf>
    <xf numFmtId="178" fontId="14" fillId="0" borderId="0" xfId="0" applyNumberFormat="1" applyFont="1" applyAlignment="1">
      <alignment horizontal="center" vertical="center"/>
    </xf>
    <xf numFmtId="0" fontId="27" fillId="0" borderId="0" xfId="0" applyFont="1" applyAlignment="1">
      <alignment horizontal="left" vertical="center"/>
    </xf>
    <xf numFmtId="0" fontId="26" fillId="0" borderId="0" xfId="0" applyFont="1" applyAlignment="1">
      <alignment horizontal="left" vertical="center"/>
    </xf>
    <xf numFmtId="177" fontId="14" fillId="0" borderId="0" xfId="0" quotePrefix="1" applyNumberFormat="1" applyFont="1" applyAlignment="1">
      <alignment horizontal="left" vertical="center"/>
    </xf>
    <xf numFmtId="0" fontId="14" fillId="23" borderId="0" xfId="0" applyFont="1" applyFill="1" applyAlignment="1">
      <alignment horizontal="center" vertical="center"/>
    </xf>
    <xf numFmtId="0" fontId="19" fillId="23" borderId="0" xfId="0" applyFont="1" applyFill="1" applyAlignment="1">
      <alignment horizontal="left" vertical="center"/>
    </xf>
    <xf numFmtId="0" fontId="25" fillId="9" borderId="0" xfId="0" applyFont="1" applyFill="1" applyAlignment="1">
      <alignment horizontal="center" vertical="center"/>
    </xf>
    <xf numFmtId="44" fontId="14" fillId="23" borderId="0" xfId="0" applyNumberFormat="1" applyFont="1" applyFill="1" applyAlignment="1">
      <alignment horizontal="center" vertical="center"/>
    </xf>
    <xf numFmtId="2" fontId="23" fillId="18" borderId="0" xfId="0" applyNumberFormat="1" applyFont="1" applyFill="1" applyAlignment="1">
      <alignment horizontal="center" vertical="center"/>
    </xf>
    <xf numFmtId="170" fontId="14" fillId="19" borderId="0" xfId="0" applyNumberFormat="1" applyFont="1" applyFill="1" applyAlignment="1">
      <alignment horizontal="center" vertical="center"/>
    </xf>
    <xf numFmtId="175" fontId="14" fillId="4" borderId="0" xfId="0" applyNumberFormat="1" applyFont="1" applyFill="1" applyAlignment="1">
      <alignment horizontal="center" vertical="center"/>
    </xf>
    <xf numFmtId="2" fontId="14" fillId="21" borderId="0" xfId="0" applyNumberFormat="1" applyFont="1" applyFill="1" applyAlignment="1">
      <alignment horizontal="center" vertical="center"/>
    </xf>
    <xf numFmtId="2" fontId="19" fillId="21" borderId="0" xfId="0" applyNumberFormat="1" applyFont="1" applyFill="1" applyAlignment="1">
      <alignment horizontal="center" vertical="center"/>
    </xf>
    <xf numFmtId="174" fontId="14" fillId="4" borderId="0" xfId="0" applyNumberFormat="1" applyFont="1" applyFill="1" applyAlignment="1">
      <alignment horizontal="center" vertical="center"/>
    </xf>
    <xf numFmtId="170" fontId="14" fillId="20" borderId="0" xfId="0" applyNumberFormat="1" applyFont="1" applyFill="1" applyAlignment="1">
      <alignment horizontal="center" vertical="center"/>
    </xf>
    <xf numFmtId="170" fontId="14" fillId="4" borderId="0" xfId="0" applyNumberFormat="1" applyFont="1" applyFill="1" applyAlignment="1">
      <alignment horizontal="center" vertical="center"/>
    </xf>
    <xf numFmtId="2" fontId="14" fillId="19" borderId="0" xfId="0" applyNumberFormat="1" applyFont="1" applyFill="1" applyAlignment="1">
      <alignment horizontal="center" vertical="center"/>
    </xf>
    <xf numFmtId="169" fontId="19" fillId="4" borderId="0" xfId="0" applyNumberFormat="1" applyFont="1" applyFill="1" applyAlignment="1">
      <alignment horizontal="center" vertical="center"/>
    </xf>
    <xf numFmtId="2" fontId="14" fillId="22" borderId="0" xfId="0" applyNumberFormat="1" applyFont="1" applyFill="1" applyAlignment="1">
      <alignment horizontal="center" vertical="center"/>
    </xf>
    <xf numFmtId="2" fontId="23" fillId="18" borderId="0" xfId="0" applyNumberFormat="1" applyFont="1" applyFill="1" applyAlignment="1">
      <alignment horizontal="center" vertical="center" wrapText="1"/>
    </xf>
    <xf numFmtId="2" fontId="19" fillId="4" borderId="0" xfId="0" applyNumberFormat="1" applyFont="1" applyFill="1" applyAlignment="1">
      <alignment horizontal="center" vertical="center"/>
    </xf>
    <xf numFmtId="2" fontId="18" fillId="18" borderId="0" xfId="0" applyNumberFormat="1" applyFont="1" applyFill="1" applyAlignment="1">
      <alignment horizontal="center" vertical="center"/>
    </xf>
    <xf numFmtId="2" fontId="14" fillId="4" borderId="0" xfId="0" applyNumberFormat="1" applyFont="1" applyFill="1" applyAlignment="1">
      <alignment horizontal="center" vertical="center"/>
    </xf>
    <xf numFmtId="166" fontId="14" fillId="19" borderId="0" xfId="0" applyNumberFormat="1" applyFont="1" applyFill="1" applyAlignment="1">
      <alignment horizontal="center" vertical="center"/>
    </xf>
    <xf numFmtId="168" fontId="14" fillId="4" borderId="0" xfId="0" applyNumberFormat="1" applyFont="1" applyFill="1" applyAlignment="1">
      <alignment horizontal="center" vertical="center"/>
    </xf>
    <xf numFmtId="172" fontId="14" fillId="19" borderId="0" xfId="0" applyNumberFormat="1" applyFont="1" applyFill="1" applyAlignment="1">
      <alignment horizontal="center" vertical="center"/>
    </xf>
    <xf numFmtId="174" fontId="14" fillId="22" borderId="0" xfId="0" applyNumberFormat="1" applyFont="1" applyFill="1" applyAlignment="1">
      <alignment horizontal="center" vertical="center"/>
    </xf>
    <xf numFmtId="2" fontId="14" fillId="20" borderId="0" xfId="0" applyNumberFormat="1" applyFont="1" applyFill="1" applyAlignment="1">
      <alignment horizontal="center" vertical="center"/>
    </xf>
    <xf numFmtId="2" fontId="14" fillId="25" borderId="0" xfId="0" applyNumberFormat="1" applyFont="1" applyFill="1" applyAlignment="1">
      <alignment horizontal="center" vertical="center"/>
    </xf>
    <xf numFmtId="170" fontId="32" fillId="19" borderId="0" xfId="0" applyNumberFormat="1" applyFont="1" applyFill="1" applyAlignment="1">
      <alignment horizontal="center" vertical="center"/>
    </xf>
    <xf numFmtId="170" fontId="31" fillId="4" borderId="0" xfId="0" applyNumberFormat="1" applyFont="1" applyFill="1" applyAlignment="1">
      <alignment horizontal="center" vertical="center"/>
    </xf>
  </cellXfs>
  <cellStyles count="8">
    <cellStyle name="Currency" xfId="1" builtinId="4"/>
    <cellStyle name="Normal" xfId="0" builtinId="0"/>
    <cellStyle name="Normal 3" xfId="4"/>
    <cellStyle name="Normal 4" xfId="5"/>
    <cellStyle name="Normal 5" xfId="6"/>
    <cellStyle name="Normal 6" xfId="7"/>
    <cellStyle name="Normal 7" xfId="2"/>
    <cellStyle name="Normal 8" xfId="3"/>
  </cellStyles>
  <dxfs count="0"/>
  <tableStyles count="0" defaultTableStyle="TableStyleMedium2" defaultPivotStyle="PivotStyleLight16"/>
  <colors>
    <mruColors>
      <color rgb="FF66CCFF"/>
      <color rgb="FFCCFF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35756</xdr:colOff>
      <xdr:row>2</xdr:row>
      <xdr:rowOff>257179</xdr:rowOff>
    </xdr:from>
    <xdr:to>
      <xdr:col>2</xdr:col>
      <xdr:colOff>819149</xdr:colOff>
      <xdr:row>13</xdr:row>
      <xdr:rowOff>140456</xdr:rowOff>
    </xdr:to>
    <xdr:sp macro="" textlink="">
      <xdr:nvSpPr>
        <xdr:cNvPr id="2" name="Flowchart: Stored Data 1"/>
        <xdr:cNvSpPr/>
      </xdr:nvSpPr>
      <xdr:spPr>
        <a:xfrm rot="5400000">
          <a:off x="-219036" y="1664496"/>
          <a:ext cx="3026527" cy="783393"/>
        </a:xfrm>
        <a:custGeom>
          <a:avLst/>
          <a:gdLst>
            <a:gd name="connsiteX0" fmla="*/ 1667 w 10000"/>
            <a:gd name="connsiteY0" fmla="*/ 0 h 10000"/>
            <a:gd name="connsiteX1" fmla="*/ 10000 w 10000"/>
            <a:gd name="connsiteY1" fmla="*/ 0 h 10000"/>
            <a:gd name="connsiteX2" fmla="*/ 8333 w 10000"/>
            <a:gd name="connsiteY2" fmla="*/ 5000 h 10000"/>
            <a:gd name="connsiteX3" fmla="*/ 10000 w 10000"/>
            <a:gd name="connsiteY3" fmla="*/ 10000 h 10000"/>
            <a:gd name="connsiteX4" fmla="*/ 1667 w 10000"/>
            <a:gd name="connsiteY4" fmla="*/ 10000 h 10000"/>
            <a:gd name="connsiteX5" fmla="*/ 0 w 10000"/>
            <a:gd name="connsiteY5" fmla="*/ 5000 h 10000"/>
            <a:gd name="connsiteX6" fmla="*/ 1667 w 10000"/>
            <a:gd name="connsiteY6" fmla="*/ 0 h 10000"/>
            <a:gd name="connsiteX0" fmla="*/ 1667 w 11041"/>
            <a:gd name="connsiteY0" fmla="*/ 0 h 10000"/>
            <a:gd name="connsiteX1" fmla="*/ 10000 w 11041"/>
            <a:gd name="connsiteY1" fmla="*/ 0 h 10000"/>
            <a:gd name="connsiteX2" fmla="*/ 10000 w 11041"/>
            <a:gd name="connsiteY2" fmla="*/ 10000 h 10000"/>
            <a:gd name="connsiteX3" fmla="*/ 1667 w 11041"/>
            <a:gd name="connsiteY3" fmla="*/ 10000 h 10000"/>
            <a:gd name="connsiteX4" fmla="*/ 0 w 11041"/>
            <a:gd name="connsiteY4" fmla="*/ 5000 h 10000"/>
            <a:gd name="connsiteX5" fmla="*/ 1667 w 11041"/>
            <a:gd name="connsiteY5" fmla="*/ 0 h 10000"/>
            <a:gd name="connsiteX0" fmla="*/ 1667 w 10000"/>
            <a:gd name="connsiteY0" fmla="*/ 0 h 10000"/>
            <a:gd name="connsiteX1" fmla="*/ 10000 w 10000"/>
            <a:gd name="connsiteY1" fmla="*/ 0 h 10000"/>
            <a:gd name="connsiteX2" fmla="*/ 10000 w 10000"/>
            <a:gd name="connsiteY2" fmla="*/ 10000 h 10000"/>
            <a:gd name="connsiteX3" fmla="*/ 1667 w 10000"/>
            <a:gd name="connsiteY3" fmla="*/ 10000 h 10000"/>
            <a:gd name="connsiteX4" fmla="*/ 0 w 10000"/>
            <a:gd name="connsiteY4" fmla="*/ 5000 h 10000"/>
            <a:gd name="connsiteX5" fmla="*/ 1667 w 10000"/>
            <a:gd name="connsiteY5" fmla="*/ 0 h 10000"/>
            <a:gd name="connsiteX0" fmla="*/ 1667 w 10000"/>
            <a:gd name="connsiteY0" fmla="*/ 0 h 10000"/>
            <a:gd name="connsiteX1" fmla="*/ 10000 w 10000"/>
            <a:gd name="connsiteY1" fmla="*/ 0 h 10000"/>
            <a:gd name="connsiteX2" fmla="*/ 9992 w 10000"/>
            <a:gd name="connsiteY2" fmla="*/ 8598 h 10000"/>
            <a:gd name="connsiteX3" fmla="*/ 10000 w 10000"/>
            <a:gd name="connsiteY3" fmla="*/ 10000 h 10000"/>
            <a:gd name="connsiteX4" fmla="*/ 1667 w 10000"/>
            <a:gd name="connsiteY4" fmla="*/ 10000 h 10000"/>
            <a:gd name="connsiteX5" fmla="*/ 0 w 10000"/>
            <a:gd name="connsiteY5" fmla="*/ 5000 h 10000"/>
            <a:gd name="connsiteX6" fmla="*/ 1667 w 10000"/>
            <a:gd name="connsiteY6" fmla="*/ 0 h 10000"/>
            <a:gd name="connsiteX0" fmla="*/ 1667 w 10612"/>
            <a:gd name="connsiteY0" fmla="*/ 0 h 10000"/>
            <a:gd name="connsiteX1" fmla="*/ 10000 w 10612"/>
            <a:gd name="connsiteY1" fmla="*/ 0 h 10000"/>
            <a:gd name="connsiteX2" fmla="*/ 9984 w 10612"/>
            <a:gd name="connsiteY2" fmla="*/ 1555 h 10000"/>
            <a:gd name="connsiteX3" fmla="*/ 9992 w 10612"/>
            <a:gd name="connsiteY3" fmla="*/ 8598 h 10000"/>
            <a:gd name="connsiteX4" fmla="*/ 10000 w 10612"/>
            <a:gd name="connsiteY4" fmla="*/ 10000 h 10000"/>
            <a:gd name="connsiteX5" fmla="*/ 1667 w 10612"/>
            <a:gd name="connsiteY5" fmla="*/ 10000 h 10000"/>
            <a:gd name="connsiteX6" fmla="*/ 0 w 10612"/>
            <a:gd name="connsiteY6" fmla="*/ 5000 h 10000"/>
            <a:gd name="connsiteX7" fmla="*/ 1667 w 10612"/>
            <a:gd name="connsiteY7" fmla="*/ 0 h 10000"/>
            <a:gd name="connsiteX0" fmla="*/ 1667 w 10612"/>
            <a:gd name="connsiteY0" fmla="*/ 0 h 10000"/>
            <a:gd name="connsiteX1" fmla="*/ 9662 w 10612"/>
            <a:gd name="connsiteY1" fmla="*/ 30 h 10000"/>
            <a:gd name="connsiteX2" fmla="*/ 10000 w 10612"/>
            <a:gd name="connsiteY2" fmla="*/ 0 h 10000"/>
            <a:gd name="connsiteX3" fmla="*/ 9984 w 10612"/>
            <a:gd name="connsiteY3" fmla="*/ 1555 h 10000"/>
            <a:gd name="connsiteX4" fmla="*/ 9992 w 10612"/>
            <a:gd name="connsiteY4" fmla="*/ 8598 h 10000"/>
            <a:gd name="connsiteX5" fmla="*/ 10000 w 10612"/>
            <a:gd name="connsiteY5" fmla="*/ 10000 h 10000"/>
            <a:gd name="connsiteX6" fmla="*/ 1667 w 10612"/>
            <a:gd name="connsiteY6" fmla="*/ 10000 h 10000"/>
            <a:gd name="connsiteX7" fmla="*/ 0 w 10612"/>
            <a:gd name="connsiteY7" fmla="*/ 5000 h 10000"/>
            <a:gd name="connsiteX8" fmla="*/ 1667 w 10612"/>
            <a:gd name="connsiteY8" fmla="*/ 0 h 10000"/>
            <a:gd name="connsiteX0" fmla="*/ 1667 w 10000"/>
            <a:gd name="connsiteY0" fmla="*/ 0 h 10000"/>
            <a:gd name="connsiteX1" fmla="*/ 9662 w 10000"/>
            <a:gd name="connsiteY1" fmla="*/ 30 h 10000"/>
            <a:gd name="connsiteX2" fmla="*/ 9984 w 10000"/>
            <a:gd name="connsiteY2" fmla="*/ 1555 h 10000"/>
            <a:gd name="connsiteX3" fmla="*/ 9992 w 10000"/>
            <a:gd name="connsiteY3" fmla="*/ 8598 h 10000"/>
            <a:gd name="connsiteX4" fmla="*/ 10000 w 10000"/>
            <a:gd name="connsiteY4" fmla="*/ 10000 h 10000"/>
            <a:gd name="connsiteX5" fmla="*/ 1667 w 10000"/>
            <a:gd name="connsiteY5" fmla="*/ 10000 h 10000"/>
            <a:gd name="connsiteX6" fmla="*/ 0 w 10000"/>
            <a:gd name="connsiteY6" fmla="*/ 5000 h 10000"/>
            <a:gd name="connsiteX7" fmla="*/ 1667 w 10000"/>
            <a:gd name="connsiteY7" fmla="*/ 0 h 10000"/>
            <a:gd name="connsiteX0" fmla="*/ 1667 w 10000"/>
            <a:gd name="connsiteY0" fmla="*/ 0 h 10030"/>
            <a:gd name="connsiteX1" fmla="*/ 9662 w 10000"/>
            <a:gd name="connsiteY1" fmla="*/ 30 h 10030"/>
            <a:gd name="connsiteX2" fmla="*/ 9984 w 10000"/>
            <a:gd name="connsiteY2" fmla="*/ 1555 h 10030"/>
            <a:gd name="connsiteX3" fmla="*/ 9992 w 10000"/>
            <a:gd name="connsiteY3" fmla="*/ 8598 h 10030"/>
            <a:gd name="connsiteX4" fmla="*/ 10000 w 10000"/>
            <a:gd name="connsiteY4" fmla="*/ 10000 h 10030"/>
            <a:gd name="connsiteX5" fmla="*/ 9528 w 10000"/>
            <a:gd name="connsiteY5" fmla="*/ 10030 h 10030"/>
            <a:gd name="connsiteX6" fmla="*/ 1667 w 10000"/>
            <a:gd name="connsiteY6" fmla="*/ 10000 h 10030"/>
            <a:gd name="connsiteX7" fmla="*/ 0 w 10000"/>
            <a:gd name="connsiteY7" fmla="*/ 5000 h 10030"/>
            <a:gd name="connsiteX8" fmla="*/ 1667 w 10000"/>
            <a:gd name="connsiteY8" fmla="*/ 0 h 10030"/>
            <a:gd name="connsiteX0" fmla="*/ 1667 w 10000"/>
            <a:gd name="connsiteY0" fmla="*/ 0 h 10030"/>
            <a:gd name="connsiteX1" fmla="*/ 9520 w 10000"/>
            <a:gd name="connsiteY1" fmla="*/ 0 h 10030"/>
            <a:gd name="connsiteX2" fmla="*/ 9662 w 10000"/>
            <a:gd name="connsiteY2" fmla="*/ 30 h 10030"/>
            <a:gd name="connsiteX3" fmla="*/ 9984 w 10000"/>
            <a:gd name="connsiteY3" fmla="*/ 1555 h 10030"/>
            <a:gd name="connsiteX4" fmla="*/ 9992 w 10000"/>
            <a:gd name="connsiteY4" fmla="*/ 8598 h 10030"/>
            <a:gd name="connsiteX5" fmla="*/ 10000 w 10000"/>
            <a:gd name="connsiteY5" fmla="*/ 10000 h 10030"/>
            <a:gd name="connsiteX6" fmla="*/ 9528 w 10000"/>
            <a:gd name="connsiteY6" fmla="*/ 10030 h 10030"/>
            <a:gd name="connsiteX7" fmla="*/ 1667 w 10000"/>
            <a:gd name="connsiteY7" fmla="*/ 10000 h 10030"/>
            <a:gd name="connsiteX8" fmla="*/ 0 w 10000"/>
            <a:gd name="connsiteY8" fmla="*/ 5000 h 10030"/>
            <a:gd name="connsiteX9" fmla="*/ 1667 w 10000"/>
            <a:gd name="connsiteY9" fmla="*/ 0 h 10030"/>
            <a:gd name="connsiteX0" fmla="*/ 1667 w 10000"/>
            <a:gd name="connsiteY0" fmla="*/ 0 h 10030"/>
            <a:gd name="connsiteX1" fmla="*/ 9520 w 10000"/>
            <a:gd name="connsiteY1" fmla="*/ 0 h 10030"/>
            <a:gd name="connsiteX2" fmla="*/ 9984 w 10000"/>
            <a:gd name="connsiteY2" fmla="*/ 1555 h 10030"/>
            <a:gd name="connsiteX3" fmla="*/ 9992 w 10000"/>
            <a:gd name="connsiteY3" fmla="*/ 8598 h 10030"/>
            <a:gd name="connsiteX4" fmla="*/ 10000 w 10000"/>
            <a:gd name="connsiteY4" fmla="*/ 10000 h 10030"/>
            <a:gd name="connsiteX5" fmla="*/ 9528 w 10000"/>
            <a:gd name="connsiteY5" fmla="*/ 10030 h 10030"/>
            <a:gd name="connsiteX6" fmla="*/ 1667 w 10000"/>
            <a:gd name="connsiteY6" fmla="*/ 10000 h 10030"/>
            <a:gd name="connsiteX7" fmla="*/ 0 w 10000"/>
            <a:gd name="connsiteY7" fmla="*/ 5000 h 10030"/>
            <a:gd name="connsiteX8" fmla="*/ 1667 w 10000"/>
            <a:gd name="connsiteY8" fmla="*/ 0 h 10030"/>
            <a:gd name="connsiteX0" fmla="*/ 1667 w 10269"/>
            <a:gd name="connsiteY0" fmla="*/ 0 h 10030"/>
            <a:gd name="connsiteX1" fmla="*/ 9520 w 10269"/>
            <a:gd name="connsiteY1" fmla="*/ 0 h 10030"/>
            <a:gd name="connsiteX2" fmla="*/ 9984 w 10269"/>
            <a:gd name="connsiteY2" fmla="*/ 1555 h 10030"/>
            <a:gd name="connsiteX3" fmla="*/ 9992 w 10269"/>
            <a:gd name="connsiteY3" fmla="*/ 8598 h 10030"/>
            <a:gd name="connsiteX4" fmla="*/ 9528 w 10269"/>
            <a:gd name="connsiteY4" fmla="*/ 10030 h 10030"/>
            <a:gd name="connsiteX5" fmla="*/ 1667 w 10269"/>
            <a:gd name="connsiteY5" fmla="*/ 10000 h 10030"/>
            <a:gd name="connsiteX6" fmla="*/ 0 w 10269"/>
            <a:gd name="connsiteY6" fmla="*/ 5000 h 10030"/>
            <a:gd name="connsiteX7" fmla="*/ 1667 w 10269"/>
            <a:gd name="connsiteY7" fmla="*/ 0 h 10030"/>
            <a:gd name="connsiteX0" fmla="*/ 1667 w 9992"/>
            <a:gd name="connsiteY0" fmla="*/ 0 h 10030"/>
            <a:gd name="connsiteX1" fmla="*/ 9520 w 9992"/>
            <a:gd name="connsiteY1" fmla="*/ 0 h 10030"/>
            <a:gd name="connsiteX2" fmla="*/ 9984 w 9992"/>
            <a:gd name="connsiteY2" fmla="*/ 1555 h 10030"/>
            <a:gd name="connsiteX3" fmla="*/ 9992 w 9992"/>
            <a:gd name="connsiteY3" fmla="*/ 8598 h 10030"/>
            <a:gd name="connsiteX4" fmla="*/ 9528 w 9992"/>
            <a:gd name="connsiteY4" fmla="*/ 10030 h 10030"/>
            <a:gd name="connsiteX5" fmla="*/ 1667 w 9992"/>
            <a:gd name="connsiteY5" fmla="*/ 10000 h 10030"/>
            <a:gd name="connsiteX6" fmla="*/ 0 w 9992"/>
            <a:gd name="connsiteY6" fmla="*/ 5000 h 10030"/>
            <a:gd name="connsiteX7" fmla="*/ 1667 w 9992"/>
            <a:gd name="connsiteY7" fmla="*/ 0 h 10030"/>
            <a:gd name="connsiteX0" fmla="*/ 1668 w 10034"/>
            <a:gd name="connsiteY0" fmla="*/ 0 h 10000"/>
            <a:gd name="connsiteX1" fmla="*/ 9528 w 10034"/>
            <a:gd name="connsiteY1" fmla="*/ 0 h 10000"/>
            <a:gd name="connsiteX2" fmla="*/ 9992 w 10034"/>
            <a:gd name="connsiteY2" fmla="*/ 1550 h 10000"/>
            <a:gd name="connsiteX3" fmla="*/ 10000 w 10034"/>
            <a:gd name="connsiteY3" fmla="*/ 8268 h 10000"/>
            <a:gd name="connsiteX4" fmla="*/ 10000 w 10034"/>
            <a:gd name="connsiteY4" fmla="*/ 8572 h 10000"/>
            <a:gd name="connsiteX5" fmla="*/ 9536 w 10034"/>
            <a:gd name="connsiteY5" fmla="*/ 10000 h 10000"/>
            <a:gd name="connsiteX6" fmla="*/ 1668 w 10034"/>
            <a:gd name="connsiteY6" fmla="*/ 9970 h 10000"/>
            <a:gd name="connsiteX7" fmla="*/ 0 w 10034"/>
            <a:gd name="connsiteY7" fmla="*/ 4985 h 10000"/>
            <a:gd name="connsiteX8" fmla="*/ 1668 w 10034"/>
            <a:gd name="connsiteY8" fmla="*/ 0 h 10000"/>
            <a:gd name="connsiteX0" fmla="*/ 1668 w 10278"/>
            <a:gd name="connsiteY0" fmla="*/ 0 h 10000"/>
            <a:gd name="connsiteX1" fmla="*/ 9528 w 10278"/>
            <a:gd name="connsiteY1" fmla="*/ 0 h 10000"/>
            <a:gd name="connsiteX2" fmla="*/ 9992 w 10278"/>
            <a:gd name="connsiteY2" fmla="*/ 1550 h 10000"/>
            <a:gd name="connsiteX3" fmla="*/ 10000 w 10278"/>
            <a:gd name="connsiteY3" fmla="*/ 8268 h 10000"/>
            <a:gd name="connsiteX4" fmla="*/ 9536 w 10278"/>
            <a:gd name="connsiteY4" fmla="*/ 10000 h 10000"/>
            <a:gd name="connsiteX5" fmla="*/ 1668 w 10278"/>
            <a:gd name="connsiteY5" fmla="*/ 9970 h 10000"/>
            <a:gd name="connsiteX6" fmla="*/ 0 w 10278"/>
            <a:gd name="connsiteY6" fmla="*/ 4985 h 10000"/>
            <a:gd name="connsiteX7" fmla="*/ 1668 w 10278"/>
            <a:gd name="connsiteY7" fmla="*/ 0 h 10000"/>
            <a:gd name="connsiteX0" fmla="*/ 1668 w 10054"/>
            <a:gd name="connsiteY0" fmla="*/ 0 h 10000"/>
            <a:gd name="connsiteX1" fmla="*/ 9528 w 10054"/>
            <a:gd name="connsiteY1" fmla="*/ 0 h 10000"/>
            <a:gd name="connsiteX2" fmla="*/ 9992 w 10054"/>
            <a:gd name="connsiteY2" fmla="*/ 1550 h 10000"/>
            <a:gd name="connsiteX3" fmla="*/ 10000 w 10054"/>
            <a:gd name="connsiteY3" fmla="*/ 8268 h 10000"/>
            <a:gd name="connsiteX4" fmla="*/ 9536 w 10054"/>
            <a:gd name="connsiteY4" fmla="*/ 10000 h 10000"/>
            <a:gd name="connsiteX5" fmla="*/ 1668 w 10054"/>
            <a:gd name="connsiteY5" fmla="*/ 9970 h 10000"/>
            <a:gd name="connsiteX6" fmla="*/ 0 w 10054"/>
            <a:gd name="connsiteY6" fmla="*/ 4985 h 10000"/>
            <a:gd name="connsiteX7" fmla="*/ 1668 w 10054"/>
            <a:gd name="connsiteY7" fmla="*/ 0 h 10000"/>
            <a:gd name="connsiteX0" fmla="*/ 1668 w 10000"/>
            <a:gd name="connsiteY0" fmla="*/ 0 h 10000"/>
            <a:gd name="connsiteX1" fmla="*/ 9528 w 10000"/>
            <a:gd name="connsiteY1" fmla="*/ 0 h 10000"/>
            <a:gd name="connsiteX2" fmla="*/ 9992 w 10000"/>
            <a:gd name="connsiteY2" fmla="*/ 1550 h 10000"/>
            <a:gd name="connsiteX3" fmla="*/ 10000 w 10000"/>
            <a:gd name="connsiteY3" fmla="*/ 8268 h 10000"/>
            <a:gd name="connsiteX4" fmla="*/ 9536 w 10000"/>
            <a:gd name="connsiteY4" fmla="*/ 10000 h 10000"/>
            <a:gd name="connsiteX5" fmla="*/ 1668 w 10000"/>
            <a:gd name="connsiteY5" fmla="*/ 9970 h 10000"/>
            <a:gd name="connsiteX6" fmla="*/ 0 w 10000"/>
            <a:gd name="connsiteY6" fmla="*/ 4985 h 10000"/>
            <a:gd name="connsiteX7" fmla="*/ 1668 w 10000"/>
            <a:gd name="connsiteY7" fmla="*/ 0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10000">
              <a:moveTo>
                <a:pt x="1668" y="0"/>
              </a:moveTo>
              <a:lnTo>
                <a:pt x="9528" y="0"/>
              </a:lnTo>
              <a:lnTo>
                <a:pt x="9992" y="1550"/>
              </a:lnTo>
              <a:cubicBezTo>
                <a:pt x="9995" y="3789"/>
                <a:pt x="9997" y="6029"/>
                <a:pt x="10000" y="8268"/>
              </a:cubicBezTo>
              <a:cubicBezTo>
                <a:pt x="9845" y="8845"/>
                <a:pt x="9691" y="9423"/>
                <a:pt x="9536" y="10000"/>
              </a:cubicBezTo>
              <a:lnTo>
                <a:pt x="1668" y="9970"/>
              </a:lnTo>
              <a:cubicBezTo>
                <a:pt x="747" y="9970"/>
                <a:pt x="0" y="7738"/>
                <a:pt x="0" y="4985"/>
              </a:cubicBezTo>
              <a:cubicBezTo>
                <a:pt x="0" y="2232"/>
                <a:pt x="747" y="0"/>
                <a:pt x="1668" y="0"/>
              </a:cubicBezTo>
              <a:close/>
            </a:path>
          </a:pathLst>
        </a:custGeom>
        <a:solidFill>
          <a:schemeClr val="bg2">
            <a:lumMod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147387</xdr:colOff>
      <xdr:row>4</xdr:row>
      <xdr:rowOff>106781</xdr:rowOff>
    </xdr:from>
    <xdr:to>
      <xdr:col>2</xdr:col>
      <xdr:colOff>709362</xdr:colOff>
      <xdr:row>5</xdr:row>
      <xdr:rowOff>182982</xdr:rowOff>
    </xdr:to>
    <xdr:sp macro="" textlink="">
      <xdr:nvSpPr>
        <xdr:cNvPr id="3" name="Rectangle 2"/>
        <xdr:cNvSpPr/>
      </xdr:nvSpPr>
      <xdr:spPr>
        <a:xfrm>
          <a:off x="1014162" y="96403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147387</xdr:colOff>
      <xdr:row>5</xdr:row>
      <xdr:rowOff>221081</xdr:rowOff>
    </xdr:from>
    <xdr:to>
      <xdr:col>2</xdr:col>
      <xdr:colOff>709362</xdr:colOff>
      <xdr:row>7</xdr:row>
      <xdr:rowOff>11532</xdr:rowOff>
    </xdr:to>
    <xdr:sp macro="" textlink="">
      <xdr:nvSpPr>
        <xdr:cNvPr id="4" name="Rectangle 3"/>
        <xdr:cNvSpPr/>
      </xdr:nvSpPr>
      <xdr:spPr>
        <a:xfrm>
          <a:off x="1014162" y="136408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147387</xdr:colOff>
      <xdr:row>7</xdr:row>
      <xdr:rowOff>49631</xdr:rowOff>
    </xdr:from>
    <xdr:to>
      <xdr:col>2</xdr:col>
      <xdr:colOff>709362</xdr:colOff>
      <xdr:row>8</xdr:row>
      <xdr:rowOff>125832</xdr:rowOff>
    </xdr:to>
    <xdr:sp macro="" textlink="">
      <xdr:nvSpPr>
        <xdr:cNvPr id="5" name="Rectangle 4"/>
        <xdr:cNvSpPr/>
      </xdr:nvSpPr>
      <xdr:spPr>
        <a:xfrm>
          <a:off x="1014162" y="176413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148390</xdr:colOff>
      <xdr:row>8</xdr:row>
      <xdr:rowOff>225082</xdr:rowOff>
    </xdr:from>
    <xdr:to>
      <xdr:col>2</xdr:col>
      <xdr:colOff>710365</xdr:colOff>
      <xdr:row>10</xdr:row>
      <xdr:rowOff>15533</xdr:rowOff>
    </xdr:to>
    <xdr:sp macro="" textlink="">
      <xdr:nvSpPr>
        <xdr:cNvPr id="6" name="Rectangle 5"/>
        <xdr:cNvSpPr/>
      </xdr:nvSpPr>
      <xdr:spPr>
        <a:xfrm>
          <a:off x="1015165" y="2225332"/>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154907</xdr:colOff>
      <xdr:row>10</xdr:row>
      <xdr:rowOff>56640</xdr:rowOff>
    </xdr:from>
    <xdr:to>
      <xdr:col>2</xdr:col>
      <xdr:colOff>716882</xdr:colOff>
      <xdr:row>11</xdr:row>
      <xdr:rowOff>132841</xdr:rowOff>
    </xdr:to>
    <xdr:sp macro="" textlink="">
      <xdr:nvSpPr>
        <xdr:cNvPr id="7" name="Rectangle 6"/>
        <xdr:cNvSpPr/>
      </xdr:nvSpPr>
      <xdr:spPr>
        <a:xfrm>
          <a:off x="1193132" y="2628390"/>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42112</xdr:colOff>
      <xdr:row>11</xdr:row>
      <xdr:rowOff>190503</xdr:rowOff>
    </xdr:from>
    <xdr:to>
      <xdr:col>2</xdr:col>
      <xdr:colOff>809124</xdr:colOff>
      <xdr:row>12</xdr:row>
      <xdr:rowOff>124824</xdr:rowOff>
    </xdr:to>
    <xdr:sp macro="" textlink="">
      <xdr:nvSpPr>
        <xdr:cNvPr id="8" name="Rectangle 7"/>
        <xdr:cNvSpPr/>
      </xdr:nvSpPr>
      <xdr:spPr>
        <a:xfrm>
          <a:off x="908887" y="3048003"/>
          <a:ext cx="767012" cy="2200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205604</xdr:colOff>
      <xdr:row>12</xdr:row>
      <xdr:rowOff>128831</xdr:rowOff>
    </xdr:from>
    <xdr:to>
      <xdr:col>2</xdr:col>
      <xdr:colOff>641750</xdr:colOff>
      <xdr:row>13</xdr:row>
      <xdr:rowOff>85225</xdr:rowOff>
    </xdr:to>
    <xdr:sp macro="" textlink="">
      <xdr:nvSpPr>
        <xdr:cNvPr id="9" name="Rectangle 8"/>
        <xdr:cNvSpPr/>
      </xdr:nvSpPr>
      <xdr:spPr>
        <a:xfrm>
          <a:off x="1072379" y="3272081"/>
          <a:ext cx="436146" cy="2421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357939</xdr:colOff>
      <xdr:row>8</xdr:row>
      <xdr:rowOff>146878</xdr:rowOff>
    </xdr:from>
    <xdr:to>
      <xdr:col>2</xdr:col>
      <xdr:colOff>471738</xdr:colOff>
      <xdr:row>8</xdr:row>
      <xdr:rowOff>210554</xdr:rowOff>
    </xdr:to>
    <xdr:sp macro="" textlink="">
      <xdr:nvSpPr>
        <xdr:cNvPr id="10" name="Rectangle 9"/>
        <xdr:cNvSpPr/>
      </xdr:nvSpPr>
      <xdr:spPr>
        <a:xfrm>
          <a:off x="1224714" y="2147128"/>
          <a:ext cx="113799" cy="6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35756</xdr:colOff>
      <xdr:row>2</xdr:row>
      <xdr:rowOff>257179</xdr:rowOff>
    </xdr:from>
    <xdr:to>
      <xdr:col>6</xdr:col>
      <xdr:colOff>819149</xdr:colOff>
      <xdr:row>13</xdr:row>
      <xdr:rowOff>140456</xdr:rowOff>
    </xdr:to>
    <xdr:sp macro="" textlink="">
      <xdr:nvSpPr>
        <xdr:cNvPr id="12" name="Flowchart: Stored Data 1"/>
        <xdr:cNvSpPr/>
      </xdr:nvSpPr>
      <xdr:spPr>
        <a:xfrm rot="5400000">
          <a:off x="2552739" y="1664496"/>
          <a:ext cx="3026527" cy="783393"/>
        </a:xfrm>
        <a:custGeom>
          <a:avLst/>
          <a:gdLst>
            <a:gd name="connsiteX0" fmla="*/ 1667 w 10000"/>
            <a:gd name="connsiteY0" fmla="*/ 0 h 10000"/>
            <a:gd name="connsiteX1" fmla="*/ 10000 w 10000"/>
            <a:gd name="connsiteY1" fmla="*/ 0 h 10000"/>
            <a:gd name="connsiteX2" fmla="*/ 8333 w 10000"/>
            <a:gd name="connsiteY2" fmla="*/ 5000 h 10000"/>
            <a:gd name="connsiteX3" fmla="*/ 10000 w 10000"/>
            <a:gd name="connsiteY3" fmla="*/ 10000 h 10000"/>
            <a:gd name="connsiteX4" fmla="*/ 1667 w 10000"/>
            <a:gd name="connsiteY4" fmla="*/ 10000 h 10000"/>
            <a:gd name="connsiteX5" fmla="*/ 0 w 10000"/>
            <a:gd name="connsiteY5" fmla="*/ 5000 h 10000"/>
            <a:gd name="connsiteX6" fmla="*/ 1667 w 10000"/>
            <a:gd name="connsiteY6" fmla="*/ 0 h 10000"/>
            <a:gd name="connsiteX0" fmla="*/ 1667 w 11041"/>
            <a:gd name="connsiteY0" fmla="*/ 0 h 10000"/>
            <a:gd name="connsiteX1" fmla="*/ 10000 w 11041"/>
            <a:gd name="connsiteY1" fmla="*/ 0 h 10000"/>
            <a:gd name="connsiteX2" fmla="*/ 10000 w 11041"/>
            <a:gd name="connsiteY2" fmla="*/ 10000 h 10000"/>
            <a:gd name="connsiteX3" fmla="*/ 1667 w 11041"/>
            <a:gd name="connsiteY3" fmla="*/ 10000 h 10000"/>
            <a:gd name="connsiteX4" fmla="*/ 0 w 11041"/>
            <a:gd name="connsiteY4" fmla="*/ 5000 h 10000"/>
            <a:gd name="connsiteX5" fmla="*/ 1667 w 11041"/>
            <a:gd name="connsiteY5" fmla="*/ 0 h 10000"/>
            <a:gd name="connsiteX0" fmla="*/ 1667 w 10000"/>
            <a:gd name="connsiteY0" fmla="*/ 0 h 10000"/>
            <a:gd name="connsiteX1" fmla="*/ 10000 w 10000"/>
            <a:gd name="connsiteY1" fmla="*/ 0 h 10000"/>
            <a:gd name="connsiteX2" fmla="*/ 10000 w 10000"/>
            <a:gd name="connsiteY2" fmla="*/ 10000 h 10000"/>
            <a:gd name="connsiteX3" fmla="*/ 1667 w 10000"/>
            <a:gd name="connsiteY3" fmla="*/ 10000 h 10000"/>
            <a:gd name="connsiteX4" fmla="*/ 0 w 10000"/>
            <a:gd name="connsiteY4" fmla="*/ 5000 h 10000"/>
            <a:gd name="connsiteX5" fmla="*/ 1667 w 10000"/>
            <a:gd name="connsiteY5" fmla="*/ 0 h 10000"/>
            <a:gd name="connsiteX0" fmla="*/ 1667 w 10000"/>
            <a:gd name="connsiteY0" fmla="*/ 0 h 10000"/>
            <a:gd name="connsiteX1" fmla="*/ 10000 w 10000"/>
            <a:gd name="connsiteY1" fmla="*/ 0 h 10000"/>
            <a:gd name="connsiteX2" fmla="*/ 9992 w 10000"/>
            <a:gd name="connsiteY2" fmla="*/ 8598 h 10000"/>
            <a:gd name="connsiteX3" fmla="*/ 10000 w 10000"/>
            <a:gd name="connsiteY3" fmla="*/ 10000 h 10000"/>
            <a:gd name="connsiteX4" fmla="*/ 1667 w 10000"/>
            <a:gd name="connsiteY4" fmla="*/ 10000 h 10000"/>
            <a:gd name="connsiteX5" fmla="*/ 0 w 10000"/>
            <a:gd name="connsiteY5" fmla="*/ 5000 h 10000"/>
            <a:gd name="connsiteX6" fmla="*/ 1667 w 10000"/>
            <a:gd name="connsiteY6" fmla="*/ 0 h 10000"/>
            <a:gd name="connsiteX0" fmla="*/ 1667 w 10612"/>
            <a:gd name="connsiteY0" fmla="*/ 0 h 10000"/>
            <a:gd name="connsiteX1" fmla="*/ 10000 w 10612"/>
            <a:gd name="connsiteY1" fmla="*/ 0 h 10000"/>
            <a:gd name="connsiteX2" fmla="*/ 9984 w 10612"/>
            <a:gd name="connsiteY2" fmla="*/ 1555 h 10000"/>
            <a:gd name="connsiteX3" fmla="*/ 9992 w 10612"/>
            <a:gd name="connsiteY3" fmla="*/ 8598 h 10000"/>
            <a:gd name="connsiteX4" fmla="*/ 10000 w 10612"/>
            <a:gd name="connsiteY4" fmla="*/ 10000 h 10000"/>
            <a:gd name="connsiteX5" fmla="*/ 1667 w 10612"/>
            <a:gd name="connsiteY5" fmla="*/ 10000 h 10000"/>
            <a:gd name="connsiteX6" fmla="*/ 0 w 10612"/>
            <a:gd name="connsiteY6" fmla="*/ 5000 h 10000"/>
            <a:gd name="connsiteX7" fmla="*/ 1667 w 10612"/>
            <a:gd name="connsiteY7" fmla="*/ 0 h 10000"/>
            <a:gd name="connsiteX0" fmla="*/ 1667 w 10612"/>
            <a:gd name="connsiteY0" fmla="*/ 0 h 10000"/>
            <a:gd name="connsiteX1" fmla="*/ 9662 w 10612"/>
            <a:gd name="connsiteY1" fmla="*/ 30 h 10000"/>
            <a:gd name="connsiteX2" fmla="*/ 10000 w 10612"/>
            <a:gd name="connsiteY2" fmla="*/ 0 h 10000"/>
            <a:gd name="connsiteX3" fmla="*/ 9984 w 10612"/>
            <a:gd name="connsiteY3" fmla="*/ 1555 h 10000"/>
            <a:gd name="connsiteX4" fmla="*/ 9992 w 10612"/>
            <a:gd name="connsiteY4" fmla="*/ 8598 h 10000"/>
            <a:gd name="connsiteX5" fmla="*/ 10000 w 10612"/>
            <a:gd name="connsiteY5" fmla="*/ 10000 h 10000"/>
            <a:gd name="connsiteX6" fmla="*/ 1667 w 10612"/>
            <a:gd name="connsiteY6" fmla="*/ 10000 h 10000"/>
            <a:gd name="connsiteX7" fmla="*/ 0 w 10612"/>
            <a:gd name="connsiteY7" fmla="*/ 5000 h 10000"/>
            <a:gd name="connsiteX8" fmla="*/ 1667 w 10612"/>
            <a:gd name="connsiteY8" fmla="*/ 0 h 10000"/>
            <a:gd name="connsiteX0" fmla="*/ 1667 w 10000"/>
            <a:gd name="connsiteY0" fmla="*/ 0 h 10000"/>
            <a:gd name="connsiteX1" fmla="*/ 9662 w 10000"/>
            <a:gd name="connsiteY1" fmla="*/ 30 h 10000"/>
            <a:gd name="connsiteX2" fmla="*/ 9984 w 10000"/>
            <a:gd name="connsiteY2" fmla="*/ 1555 h 10000"/>
            <a:gd name="connsiteX3" fmla="*/ 9992 w 10000"/>
            <a:gd name="connsiteY3" fmla="*/ 8598 h 10000"/>
            <a:gd name="connsiteX4" fmla="*/ 10000 w 10000"/>
            <a:gd name="connsiteY4" fmla="*/ 10000 h 10000"/>
            <a:gd name="connsiteX5" fmla="*/ 1667 w 10000"/>
            <a:gd name="connsiteY5" fmla="*/ 10000 h 10000"/>
            <a:gd name="connsiteX6" fmla="*/ 0 w 10000"/>
            <a:gd name="connsiteY6" fmla="*/ 5000 h 10000"/>
            <a:gd name="connsiteX7" fmla="*/ 1667 w 10000"/>
            <a:gd name="connsiteY7" fmla="*/ 0 h 10000"/>
            <a:gd name="connsiteX0" fmla="*/ 1667 w 10000"/>
            <a:gd name="connsiteY0" fmla="*/ 0 h 10030"/>
            <a:gd name="connsiteX1" fmla="*/ 9662 w 10000"/>
            <a:gd name="connsiteY1" fmla="*/ 30 h 10030"/>
            <a:gd name="connsiteX2" fmla="*/ 9984 w 10000"/>
            <a:gd name="connsiteY2" fmla="*/ 1555 h 10030"/>
            <a:gd name="connsiteX3" fmla="*/ 9992 w 10000"/>
            <a:gd name="connsiteY3" fmla="*/ 8598 h 10030"/>
            <a:gd name="connsiteX4" fmla="*/ 10000 w 10000"/>
            <a:gd name="connsiteY4" fmla="*/ 10000 h 10030"/>
            <a:gd name="connsiteX5" fmla="*/ 9528 w 10000"/>
            <a:gd name="connsiteY5" fmla="*/ 10030 h 10030"/>
            <a:gd name="connsiteX6" fmla="*/ 1667 w 10000"/>
            <a:gd name="connsiteY6" fmla="*/ 10000 h 10030"/>
            <a:gd name="connsiteX7" fmla="*/ 0 w 10000"/>
            <a:gd name="connsiteY7" fmla="*/ 5000 h 10030"/>
            <a:gd name="connsiteX8" fmla="*/ 1667 w 10000"/>
            <a:gd name="connsiteY8" fmla="*/ 0 h 10030"/>
            <a:gd name="connsiteX0" fmla="*/ 1667 w 10000"/>
            <a:gd name="connsiteY0" fmla="*/ 0 h 10030"/>
            <a:gd name="connsiteX1" fmla="*/ 9520 w 10000"/>
            <a:gd name="connsiteY1" fmla="*/ 0 h 10030"/>
            <a:gd name="connsiteX2" fmla="*/ 9662 w 10000"/>
            <a:gd name="connsiteY2" fmla="*/ 30 h 10030"/>
            <a:gd name="connsiteX3" fmla="*/ 9984 w 10000"/>
            <a:gd name="connsiteY3" fmla="*/ 1555 h 10030"/>
            <a:gd name="connsiteX4" fmla="*/ 9992 w 10000"/>
            <a:gd name="connsiteY4" fmla="*/ 8598 h 10030"/>
            <a:gd name="connsiteX5" fmla="*/ 10000 w 10000"/>
            <a:gd name="connsiteY5" fmla="*/ 10000 h 10030"/>
            <a:gd name="connsiteX6" fmla="*/ 9528 w 10000"/>
            <a:gd name="connsiteY6" fmla="*/ 10030 h 10030"/>
            <a:gd name="connsiteX7" fmla="*/ 1667 w 10000"/>
            <a:gd name="connsiteY7" fmla="*/ 10000 h 10030"/>
            <a:gd name="connsiteX8" fmla="*/ 0 w 10000"/>
            <a:gd name="connsiteY8" fmla="*/ 5000 h 10030"/>
            <a:gd name="connsiteX9" fmla="*/ 1667 w 10000"/>
            <a:gd name="connsiteY9" fmla="*/ 0 h 10030"/>
            <a:gd name="connsiteX0" fmla="*/ 1667 w 10000"/>
            <a:gd name="connsiteY0" fmla="*/ 0 h 10030"/>
            <a:gd name="connsiteX1" fmla="*/ 9520 w 10000"/>
            <a:gd name="connsiteY1" fmla="*/ 0 h 10030"/>
            <a:gd name="connsiteX2" fmla="*/ 9984 w 10000"/>
            <a:gd name="connsiteY2" fmla="*/ 1555 h 10030"/>
            <a:gd name="connsiteX3" fmla="*/ 9992 w 10000"/>
            <a:gd name="connsiteY3" fmla="*/ 8598 h 10030"/>
            <a:gd name="connsiteX4" fmla="*/ 10000 w 10000"/>
            <a:gd name="connsiteY4" fmla="*/ 10000 h 10030"/>
            <a:gd name="connsiteX5" fmla="*/ 9528 w 10000"/>
            <a:gd name="connsiteY5" fmla="*/ 10030 h 10030"/>
            <a:gd name="connsiteX6" fmla="*/ 1667 w 10000"/>
            <a:gd name="connsiteY6" fmla="*/ 10000 h 10030"/>
            <a:gd name="connsiteX7" fmla="*/ 0 w 10000"/>
            <a:gd name="connsiteY7" fmla="*/ 5000 h 10030"/>
            <a:gd name="connsiteX8" fmla="*/ 1667 w 10000"/>
            <a:gd name="connsiteY8" fmla="*/ 0 h 10030"/>
            <a:gd name="connsiteX0" fmla="*/ 1667 w 10269"/>
            <a:gd name="connsiteY0" fmla="*/ 0 h 10030"/>
            <a:gd name="connsiteX1" fmla="*/ 9520 w 10269"/>
            <a:gd name="connsiteY1" fmla="*/ 0 h 10030"/>
            <a:gd name="connsiteX2" fmla="*/ 9984 w 10269"/>
            <a:gd name="connsiteY2" fmla="*/ 1555 h 10030"/>
            <a:gd name="connsiteX3" fmla="*/ 9992 w 10269"/>
            <a:gd name="connsiteY3" fmla="*/ 8598 h 10030"/>
            <a:gd name="connsiteX4" fmla="*/ 9528 w 10269"/>
            <a:gd name="connsiteY4" fmla="*/ 10030 h 10030"/>
            <a:gd name="connsiteX5" fmla="*/ 1667 w 10269"/>
            <a:gd name="connsiteY5" fmla="*/ 10000 h 10030"/>
            <a:gd name="connsiteX6" fmla="*/ 0 w 10269"/>
            <a:gd name="connsiteY6" fmla="*/ 5000 h 10030"/>
            <a:gd name="connsiteX7" fmla="*/ 1667 w 10269"/>
            <a:gd name="connsiteY7" fmla="*/ 0 h 10030"/>
            <a:gd name="connsiteX0" fmla="*/ 1667 w 9992"/>
            <a:gd name="connsiteY0" fmla="*/ 0 h 10030"/>
            <a:gd name="connsiteX1" fmla="*/ 9520 w 9992"/>
            <a:gd name="connsiteY1" fmla="*/ 0 h 10030"/>
            <a:gd name="connsiteX2" fmla="*/ 9984 w 9992"/>
            <a:gd name="connsiteY2" fmla="*/ 1555 h 10030"/>
            <a:gd name="connsiteX3" fmla="*/ 9992 w 9992"/>
            <a:gd name="connsiteY3" fmla="*/ 8598 h 10030"/>
            <a:gd name="connsiteX4" fmla="*/ 9528 w 9992"/>
            <a:gd name="connsiteY4" fmla="*/ 10030 h 10030"/>
            <a:gd name="connsiteX5" fmla="*/ 1667 w 9992"/>
            <a:gd name="connsiteY5" fmla="*/ 10000 h 10030"/>
            <a:gd name="connsiteX6" fmla="*/ 0 w 9992"/>
            <a:gd name="connsiteY6" fmla="*/ 5000 h 10030"/>
            <a:gd name="connsiteX7" fmla="*/ 1667 w 9992"/>
            <a:gd name="connsiteY7" fmla="*/ 0 h 10030"/>
            <a:gd name="connsiteX0" fmla="*/ 1668 w 10034"/>
            <a:gd name="connsiteY0" fmla="*/ 0 h 10000"/>
            <a:gd name="connsiteX1" fmla="*/ 9528 w 10034"/>
            <a:gd name="connsiteY1" fmla="*/ 0 h 10000"/>
            <a:gd name="connsiteX2" fmla="*/ 9992 w 10034"/>
            <a:gd name="connsiteY2" fmla="*/ 1550 h 10000"/>
            <a:gd name="connsiteX3" fmla="*/ 10000 w 10034"/>
            <a:gd name="connsiteY3" fmla="*/ 8268 h 10000"/>
            <a:gd name="connsiteX4" fmla="*/ 10000 w 10034"/>
            <a:gd name="connsiteY4" fmla="*/ 8572 h 10000"/>
            <a:gd name="connsiteX5" fmla="*/ 9536 w 10034"/>
            <a:gd name="connsiteY5" fmla="*/ 10000 h 10000"/>
            <a:gd name="connsiteX6" fmla="*/ 1668 w 10034"/>
            <a:gd name="connsiteY6" fmla="*/ 9970 h 10000"/>
            <a:gd name="connsiteX7" fmla="*/ 0 w 10034"/>
            <a:gd name="connsiteY7" fmla="*/ 4985 h 10000"/>
            <a:gd name="connsiteX8" fmla="*/ 1668 w 10034"/>
            <a:gd name="connsiteY8" fmla="*/ 0 h 10000"/>
            <a:gd name="connsiteX0" fmla="*/ 1668 w 10278"/>
            <a:gd name="connsiteY0" fmla="*/ 0 h 10000"/>
            <a:gd name="connsiteX1" fmla="*/ 9528 w 10278"/>
            <a:gd name="connsiteY1" fmla="*/ 0 h 10000"/>
            <a:gd name="connsiteX2" fmla="*/ 9992 w 10278"/>
            <a:gd name="connsiteY2" fmla="*/ 1550 h 10000"/>
            <a:gd name="connsiteX3" fmla="*/ 10000 w 10278"/>
            <a:gd name="connsiteY3" fmla="*/ 8268 h 10000"/>
            <a:gd name="connsiteX4" fmla="*/ 9536 w 10278"/>
            <a:gd name="connsiteY4" fmla="*/ 10000 h 10000"/>
            <a:gd name="connsiteX5" fmla="*/ 1668 w 10278"/>
            <a:gd name="connsiteY5" fmla="*/ 9970 h 10000"/>
            <a:gd name="connsiteX6" fmla="*/ 0 w 10278"/>
            <a:gd name="connsiteY6" fmla="*/ 4985 h 10000"/>
            <a:gd name="connsiteX7" fmla="*/ 1668 w 10278"/>
            <a:gd name="connsiteY7" fmla="*/ 0 h 10000"/>
            <a:gd name="connsiteX0" fmla="*/ 1668 w 10054"/>
            <a:gd name="connsiteY0" fmla="*/ 0 h 10000"/>
            <a:gd name="connsiteX1" fmla="*/ 9528 w 10054"/>
            <a:gd name="connsiteY1" fmla="*/ 0 h 10000"/>
            <a:gd name="connsiteX2" fmla="*/ 9992 w 10054"/>
            <a:gd name="connsiteY2" fmla="*/ 1550 h 10000"/>
            <a:gd name="connsiteX3" fmla="*/ 10000 w 10054"/>
            <a:gd name="connsiteY3" fmla="*/ 8268 h 10000"/>
            <a:gd name="connsiteX4" fmla="*/ 9536 w 10054"/>
            <a:gd name="connsiteY4" fmla="*/ 10000 h 10000"/>
            <a:gd name="connsiteX5" fmla="*/ 1668 w 10054"/>
            <a:gd name="connsiteY5" fmla="*/ 9970 h 10000"/>
            <a:gd name="connsiteX6" fmla="*/ 0 w 10054"/>
            <a:gd name="connsiteY6" fmla="*/ 4985 h 10000"/>
            <a:gd name="connsiteX7" fmla="*/ 1668 w 10054"/>
            <a:gd name="connsiteY7" fmla="*/ 0 h 10000"/>
            <a:gd name="connsiteX0" fmla="*/ 1668 w 10000"/>
            <a:gd name="connsiteY0" fmla="*/ 0 h 10000"/>
            <a:gd name="connsiteX1" fmla="*/ 9528 w 10000"/>
            <a:gd name="connsiteY1" fmla="*/ 0 h 10000"/>
            <a:gd name="connsiteX2" fmla="*/ 9992 w 10000"/>
            <a:gd name="connsiteY2" fmla="*/ 1550 h 10000"/>
            <a:gd name="connsiteX3" fmla="*/ 10000 w 10000"/>
            <a:gd name="connsiteY3" fmla="*/ 8268 h 10000"/>
            <a:gd name="connsiteX4" fmla="*/ 9536 w 10000"/>
            <a:gd name="connsiteY4" fmla="*/ 10000 h 10000"/>
            <a:gd name="connsiteX5" fmla="*/ 1668 w 10000"/>
            <a:gd name="connsiteY5" fmla="*/ 9970 h 10000"/>
            <a:gd name="connsiteX6" fmla="*/ 0 w 10000"/>
            <a:gd name="connsiteY6" fmla="*/ 4985 h 10000"/>
            <a:gd name="connsiteX7" fmla="*/ 1668 w 10000"/>
            <a:gd name="connsiteY7" fmla="*/ 0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10000">
              <a:moveTo>
                <a:pt x="1668" y="0"/>
              </a:moveTo>
              <a:lnTo>
                <a:pt x="9528" y="0"/>
              </a:lnTo>
              <a:lnTo>
                <a:pt x="9992" y="1550"/>
              </a:lnTo>
              <a:cubicBezTo>
                <a:pt x="9995" y="3789"/>
                <a:pt x="9997" y="6029"/>
                <a:pt x="10000" y="8268"/>
              </a:cubicBezTo>
              <a:cubicBezTo>
                <a:pt x="9845" y="8845"/>
                <a:pt x="9691" y="9423"/>
                <a:pt x="9536" y="10000"/>
              </a:cubicBezTo>
              <a:lnTo>
                <a:pt x="1668" y="9970"/>
              </a:lnTo>
              <a:cubicBezTo>
                <a:pt x="747" y="9970"/>
                <a:pt x="0" y="7738"/>
                <a:pt x="0" y="4985"/>
              </a:cubicBezTo>
              <a:cubicBezTo>
                <a:pt x="0" y="2232"/>
                <a:pt x="747" y="0"/>
                <a:pt x="1668" y="0"/>
              </a:cubicBezTo>
              <a:close/>
            </a:path>
          </a:pathLst>
        </a:custGeom>
        <a:solidFill>
          <a:schemeClr val="bg2">
            <a:lumMod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147387</xdr:colOff>
      <xdr:row>4</xdr:row>
      <xdr:rowOff>106781</xdr:rowOff>
    </xdr:from>
    <xdr:to>
      <xdr:col>6</xdr:col>
      <xdr:colOff>709362</xdr:colOff>
      <xdr:row>5</xdr:row>
      <xdr:rowOff>182982</xdr:rowOff>
    </xdr:to>
    <xdr:sp macro="" textlink="">
      <xdr:nvSpPr>
        <xdr:cNvPr id="13" name="Rectangle 12"/>
        <xdr:cNvSpPr/>
      </xdr:nvSpPr>
      <xdr:spPr>
        <a:xfrm>
          <a:off x="3785937" y="96403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147387</xdr:colOff>
      <xdr:row>5</xdr:row>
      <xdr:rowOff>221081</xdr:rowOff>
    </xdr:from>
    <xdr:to>
      <xdr:col>6</xdr:col>
      <xdr:colOff>709362</xdr:colOff>
      <xdr:row>7</xdr:row>
      <xdr:rowOff>11532</xdr:rowOff>
    </xdr:to>
    <xdr:sp macro="" textlink="">
      <xdr:nvSpPr>
        <xdr:cNvPr id="14" name="Rectangle 13"/>
        <xdr:cNvSpPr/>
      </xdr:nvSpPr>
      <xdr:spPr>
        <a:xfrm>
          <a:off x="3785937" y="136408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147387</xdr:colOff>
      <xdr:row>7</xdr:row>
      <xdr:rowOff>49631</xdr:rowOff>
    </xdr:from>
    <xdr:to>
      <xdr:col>6</xdr:col>
      <xdr:colOff>709362</xdr:colOff>
      <xdr:row>8</xdr:row>
      <xdr:rowOff>125832</xdr:rowOff>
    </xdr:to>
    <xdr:sp macro="" textlink="">
      <xdr:nvSpPr>
        <xdr:cNvPr id="15" name="Rectangle 14"/>
        <xdr:cNvSpPr/>
      </xdr:nvSpPr>
      <xdr:spPr>
        <a:xfrm>
          <a:off x="3785937" y="176413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148390</xdr:colOff>
      <xdr:row>8</xdr:row>
      <xdr:rowOff>225082</xdr:rowOff>
    </xdr:from>
    <xdr:to>
      <xdr:col>6</xdr:col>
      <xdr:colOff>710365</xdr:colOff>
      <xdr:row>10</xdr:row>
      <xdr:rowOff>15533</xdr:rowOff>
    </xdr:to>
    <xdr:sp macro="" textlink="">
      <xdr:nvSpPr>
        <xdr:cNvPr id="16" name="Rectangle 15"/>
        <xdr:cNvSpPr/>
      </xdr:nvSpPr>
      <xdr:spPr>
        <a:xfrm>
          <a:off x="3786940" y="2225332"/>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154907</xdr:colOff>
      <xdr:row>10</xdr:row>
      <xdr:rowOff>56640</xdr:rowOff>
    </xdr:from>
    <xdr:to>
      <xdr:col>6</xdr:col>
      <xdr:colOff>716882</xdr:colOff>
      <xdr:row>11</xdr:row>
      <xdr:rowOff>132841</xdr:rowOff>
    </xdr:to>
    <xdr:sp macro="" textlink="">
      <xdr:nvSpPr>
        <xdr:cNvPr id="17" name="Rectangle 16"/>
        <xdr:cNvSpPr/>
      </xdr:nvSpPr>
      <xdr:spPr>
        <a:xfrm>
          <a:off x="3964907" y="2628390"/>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42112</xdr:colOff>
      <xdr:row>11</xdr:row>
      <xdr:rowOff>190503</xdr:rowOff>
    </xdr:from>
    <xdr:to>
      <xdr:col>6</xdr:col>
      <xdr:colOff>809124</xdr:colOff>
      <xdr:row>12</xdr:row>
      <xdr:rowOff>124824</xdr:rowOff>
    </xdr:to>
    <xdr:sp macro="" textlink="">
      <xdr:nvSpPr>
        <xdr:cNvPr id="18" name="Rectangle 17"/>
        <xdr:cNvSpPr/>
      </xdr:nvSpPr>
      <xdr:spPr>
        <a:xfrm>
          <a:off x="3680662" y="3048003"/>
          <a:ext cx="767012" cy="2200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205604</xdr:colOff>
      <xdr:row>12</xdr:row>
      <xdr:rowOff>128831</xdr:rowOff>
    </xdr:from>
    <xdr:to>
      <xdr:col>6</xdr:col>
      <xdr:colOff>641750</xdr:colOff>
      <xdr:row>13</xdr:row>
      <xdr:rowOff>85225</xdr:rowOff>
    </xdr:to>
    <xdr:sp macro="" textlink="">
      <xdr:nvSpPr>
        <xdr:cNvPr id="19" name="Rectangle 18"/>
        <xdr:cNvSpPr/>
      </xdr:nvSpPr>
      <xdr:spPr>
        <a:xfrm>
          <a:off x="3844154" y="3272081"/>
          <a:ext cx="436146" cy="2421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357939</xdr:colOff>
      <xdr:row>8</xdr:row>
      <xdr:rowOff>146878</xdr:rowOff>
    </xdr:from>
    <xdr:to>
      <xdr:col>6</xdr:col>
      <xdr:colOff>471738</xdr:colOff>
      <xdr:row>8</xdr:row>
      <xdr:rowOff>210554</xdr:rowOff>
    </xdr:to>
    <xdr:sp macro="" textlink="">
      <xdr:nvSpPr>
        <xdr:cNvPr id="20" name="Rectangle 19"/>
        <xdr:cNvSpPr/>
      </xdr:nvSpPr>
      <xdr:spPr>
        <a:xfrm>
          <a:off x="3996489" y="2147128"/>
          <a:ext cx="113799" cy="6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35756</xdr:colOff>
      <xdr:row>2</xdr:row>
      <xdr:rowOff>257179</xdr:rowOff>
    </xdr:from>
    <xdr:to>
      <xdr:col>10</xdr:col>
      <xdr:colOff>819149</xdr:colOff>
      <xdr:row>13</xdr:row>
      <xdr:rowOff>140456</xdr:rowOff>
    </xdr:to>
    <xdr:sp macro="" textlink="">
      <xdr:nvSpPr>
        <xdr:cNvPr id="21" name="Flowchart: Stored Data 1"/>
        <xdr:cNvSpPr/>
      </xdr:nvSpPr>
      <xdr:spPr>
        <a:xfrm rot="5400000">
          <a:off x="5353089" y="1664496"/>
          <a:ext cx="3026527" cy="783393"/>
        </a:xfrm>
        <a:custGeom>
          <a:avLst/>
          <a:gdLst>
            <a:gd name="connsiteX0" fmla="*/ 1667 w 10000"/>
            <a:gd name="connsiteY0" fmla="*/ 0 h 10000"/>
            <a:gd name="connsiteX1" fmla="*/ 10000 w 10000"/>
            <a:gd name="connsiteY1" fmla="*/ 0 h 10000"/>
            <a:gd name="connsiteX2" fmla="*/ 8333 w 10000"/>
            <a:gd name="connsiteY2" fmla="*/ 5000 h 10000"/>
            <a:gd name="connsiteX3" fmla="*/ 10000 w 10000"/>
            <a:gd name="connsiteY3" fmla="*/ 10000 h 10000"/>
            <a:gd name="connsiteX4" fmla="*/ 1667 w 10000"/>
            <a:gd name="connsiteY4" fmla="*/ 10000 h 10000"/>
            <a:gd name="connsiteX5" fmla="*/ 0 w 10000"/>
            <a:gd name="connsiteY5" fmla="*/ 5000 h 10000"/>
            <a:gd name="connsiteX6" fmla="*/ 1667 w 10000"/>
            <a:gd name="connsiteY6" fmla="*/ 0 h 10000"/>
            <a:gd name="connsiteX0" fmla="*/ 1667 w 11041"/>
            <a:gd name="connsiteY0" fmla="*/ 0 h 10000"/>
            <a:gd name="connsiteX1" fmla="*/ 10000 w 11041"/>
            <a:gd name="connsiteY1" fmla="*/ 0 h 10000"/>
            <a:gd name="connsiteX2" fmla="*/ 10000 w 11041"/>
            <a:gd name="connsiteY2" fmla="*/ 10000 h 10000"/>
            <a:gd name="connsiteX3" fmla="*/ 1667 w 11041"/>
            <a:gd name="connsiteY3" fmla="*/ 10000 h 10000"/>
            <a:gd name="connsiteX4" fmla="*/ 0 w 11041"/>
            <a:gd name="connsiteY4" fmla="*/ 5000 h 10000"/>
            <a:gd name="connsiteX5" fmla="*/ 1667 w 11041"/>
            <a:gd name="connsiteY5" fmla="*/ 0 h 10000"/>
            <a:gd name="connsiteX0" fmla="*/ 1667 w 10000"/>
            <a:gd name="connsiteY0" fmla="*/ 0 h 10000"/>
            <a:gd name="connsiteX1" fmla="*/ 10000 w 10000"/>
            <a:gd name="connsiteY1" fmla="*/ 0 h 10000"/>
            <a:gd name="connsiteX2" fmla="*/ 10000 w 10000"/>
            <a:gd name="connsiteY2" fmla="*/ 10000 h 10000"/>
            <a:gd name="connsiteX3" fmla="*/ 1667 w 10000"/>
            <a:gd name="connsiteY3" fmla="*/ 10000 h 10000"/>
            <a:gd name="connsiteX4" fmla="*/ 0 w 10000"/>
            <a:gd name="connsiteY4" fmla="*/ 5000 h 10000"/>
            <a:gd name="connsiteX5" fmla="*/ 1667 w 10000"/>
            <a:gd name="connsiteY5" fmla="*/ 0 h 10000"/>
            <a:gd name="connsiteX0" fmla="*/ 1667 w 10000"/>
            <a:gd name="connsiteY0" fmla="*/ 0 h 10000"/>
            <a:gd name="connsiteX1" fmla="*/ 10000 w 10000"/>
            <a:gd name="connsiteY1" fmla="*/ 0 h 10000"/>
            <a:gd name="connsiteX2" fmla="*/ 9992 w 10000"/>
            <a:gd name="connsiteY2" fmla="*/ 8598 h 10000"/>
            <a:gd name="connsiteX3" fmla="*/ 10000 w 10000"/>
            <a:gd name="connsiteY3" fmla="*/ 10000 h 10000"/>
            <a:gd name="connsiteX4" fmla="*/ 1667 w 10000"/>
            <a:gd name="connsiteY4" fmla="*/ 10000 h 10000"/>
            <a:gd name="connsiteX5" fmla="*/ 0 w 10000"/>
            <a:gd name="connsiteY5" fmla="*/ 5000 h 10000"/>
            <a:gd name="connsiteX6" fmla="*/ 1667 w 10000"/>
            <a:gd name="connsiteY6" fmla="*/ 0 h 10000"/>
            <a:gd name="connsiteX0" fmla="*/ 1667 w 10612"/>
            <a:gd name="connsiteY0" fmla="*/ 0 h 10000"/>
            <a:gd name="connsiteX1" fmla="*/ 10000 w 10612"/>
            <a:gd name="connsiteY1" fmla="*/ 0 h 10000"/>
            <a:gd name="connsiteX2" fmla="*/ 9984 w 10612"/>
            <a:gd name="connsiteY2" fmla="*/ 1555 h 10000"/>
            <a:gd name="connsiteX3" fmla="*/ 9992 w 10612"/>
            <a:gd name="connsiteY3" fmla="*/ 8598 h 10000"/>
            <a:gd name="connsiteX4" fmla="*/ 10000 w 10612"/>
            <a:gd name="connsiteY4" fmla="*/ 10000 h 10000"/>
            <a:gd name="connsiteX5" fmla="*/ 1667 w 10612"/>
            <a:gd name="connsiteY5" fmla="*/ 10000 h 10000"/>
            <a:gd name="connsiteX6" fmla="*/ 0 w 10612"/>
            <a:gd name="connsiteY6" fmla="*/ 5000 h 10000"/>
            <a:gd name="connsiteX7" fmla="*/ 1667 w 10612"/>
            <a:gd name="connsiteY7" fmla="*/ 0 h 10000"/>
            <a:gd name="connsiteX0" fmla="*/ 1667 w 10612"/>
            <a:gd name="connsiteY0" fmla="*/ 0 h 10000"/>
            <a:gd name="connsiteX1" fmla="*/ 9662 w 10612"/>
            <a:gd name="connsiteY1" fmla="*/ 30 h 10000"/>
            <a:gd name="connsiteX2" fmla="*/ 10000 w 10612"/>
            <a:gd name="connsiteY2" fmla="*/ 0 h 10000"/>
            <a:gd name="connsiteX3" fmla="*/ 9984 w 10612"/>
            <a:gd name="connsiteY3" fmla="*/ 1555 h 10000"/>
            <a:gd name="connsiteX4" fmla="*/ 9992 w 10612"/>
            <a:gd name="connsiteY4" fmla="*/ 8598 h 10000"/>
            <a:gd name="connsiteX5" fmla="*/ 10000 w 10612"/>
            <a:gd name="connsiteY5" fmla="*/ 10000 h 10000"/>
            <a:gd name="connsiteX6" fmla="*/ 1667 w 10612"/>
            <a:gd name="connsiteY6" fmla="*/ 10000 h 10000"/>
            <a:gd name="connsiteX7" fmla="*/ 0 w 10612"/>
            <a:gd name="connsiteY7" fmla="*/ 5000 h 10000"/>
            <a:gd name="connsiteX8" fmla="*/ 1667 w 10612"/>
            <a:gd name="connsiteY8" fmla="*/ 0 h 10000"/>
            <a:gd name="connsiteX0" fmla="*/ 1667 w 10000"/>
            <a:gd name="connsiteY0" fmla="*/ 0 h 10000"/>
            <a:gd name="connsiteX1" fmla="*/ 9662 w 10000"/>
            <a:gd name="connsiteY1" fmla="*/ 30 h 10000"/>
            <a:gd name="connsiteX2" fmla="*/ 9984 w 10000"/>
            <a:gd name="connsiteY2" fmla="*/ 1555 h 10000"/>
            <a:gd name="connsiteX3" fmla="*/ 9992 w 10000"/>
            <a:gd name="connsiteY3" fmla="*/ 8598 h 10000"/>
            <a:gd name="connsiteX4" fmla="*/ 10000 w 10000"/>
            <a:gd name="connsiteY4" fmla="*/ 10000 h 10000"/>
            <a:gd name="connsiteX5" fmla="*/ 1667 w 10000"/>
            <a:gd name="connsiteY5" fmla="*/ 10000 h 10000"/>
            <a:gd name="connsiteX6" fmla="*/ 0 w 10000"/>
            <a:gd name="connsiteY6" fmla="*/ 5000 h 10000"/>
            <a:gd name="connsiteX7" fmla="*/ 1667 w 10000"/>
            <a:gd name="connsiteY7" fmla="*/ 0 h 10000"/>
            <a:gd name="connsiteX0" fmla="*/ 1667 w 10000"/>
            <a:gd name="connsiteY0" fmla="*/ 0 h 10030"/>
            <a:gd name="connsiteX1" fmla="*/ 9662 w 10000"/>
            <a:gd name="connsiteY1" fmla="*/ 30 h 10030"/>
            <a:gd name="connsiteX2" fmla="*/ 9984 w 10000"/>
            <a:gd name="connsiteY2" fmla="*/ 1555 h 10030"/>
            <a:gd name="connsiteX3" fmla="*/ 9992 w 10000"/>
            <a:gd name="connsiteY3" fmla="*/ 8598 h 10030"/>
            <a:gd name="connsiteX4" fmla="*/ 10000 w 10000"/>
            <a:gd name="connsiteY4" fmla="*/ 10000 h 10030"/>
            <a:gd name="connsiteX5" fmla="*/ 9528 w 10000"/>
            <a:gd name="connsiteY5" fmla="*/ 10030 h 10030"/>
            <a:gd name="connsiteX6" fmla="*/ 1667 w 10000"/>
            <a:gd name="connsiteY6" fmla="*/ 10000 h 10030"/>
            <a:gd name="connsiteX7" fmla="*/ 0 w 10000"/>
            <a:gd name="connsiteY7" fmla="*/ 5000 h 10030"/>
            <a:gd name="connsiteX8" fmla="*/ 1667 w 10000"/>
            <a:gd name="connsiteY8" fmla="*/ 0 h 10030"/>
            <a:gd name="connsiteX0" fmla="*/ 1667 w 10000"/>
            <a:gd name="connsiteY0" fmla="*/ 0 h 10030"/>
            <a:gd name="connsiteX1" fmla="*/ 9520 w 10000"/>
            <a:gd name="connsiteY1" fmla="*/ 0 h 10030"/>
            <a:gd name="connsiteX2" fmla="*/ 9662 w 10000"/>
            <a:gd name="connsiteY2" fmla="*/ 30 h 10030"/>
            <a:gd name="connsiteX3" fmla="*/ 9984 w 10000"/>
            <a:gd name="connsiteY3" fmla="*/ 1555 h 10030"/>
            <a:gd name="connsiteX4" fmla="*/ 9992 w 10000"/>
            <a:gd name="connsiteY4" fmla="*/ 8598 h 10030"/>
            <a:gd name="connsiteX5" fmla="*/ 10000 w 10000"/>
            <a:gd name="connsiteY5" fmla="*/ 10000 h 10030"/>
            <a:gd name="connsiteX6" fmla="*/ 9528 w 10000"/>
            <a:gd name="connsiteY6" fmla="*/ 10030 h 10030"/>
            <a:gd name="connsiteX7" fmla="*/ 1667 w 10000"/>
            <a:gd name="connsiteY7" fmla="*/ 10000 h 10030"/>
            <a:gd name="connsiteX8" fmla="*/ 0 w 10000"/>
            <a:gd name="connsiteY8" fmla="*/ 5000 h 10030"/>
            <a:gd name="connsiteX9" fmla="*/ 1667 w 10000"/>
            <a:gd name="connsiteY9" fmla="*/ 0 h 10030"/>
            <a:gd name="connsiteX0" fmla="*/ 1667 w 10000"/>
            <a:gd name="connsiteY0" fmla="*/ 0 h 10030"/>
            <a:gd name="connsiteX1" fmla="*/ 9520 w 10000"/>
            <a:gd name="connsiteY1" fmla="*/ 0 h 10030"/>
            <a:gd name="connsiteX2" fmla="*/ 9984 w 10000"/>
            <a:gd name="connsiteY2" fmla="*/ 1555 h 10030"/>
            <a:gd name="connsiteX3" fmla="*/ 9992 w 10000"/>
            <a:gd name="connsiteY3" fmla="*/ 8598 h 10030"/>
            <a:gd name="connsiteX4" fmla="*/ 10000 w 10000"/>
            <a:gd name="connsiteY4" fmla="*/ 10000 h 10030"/>
            <a:gd name="connsiteX5" fmla="*/ 9528 w 10000"/>
            <a:gd name="connsiteY5" fmla="*/ 10030 h 10030"/>
            <a:gd name="connsiteX6" fmla="*/ 1667 w 10000"/>
            <a:gd name="connsiteY6" fmla="*/ 10000 h 10030"/>
            <a:gd name="connsiteX7" fmla="*/ 0 w 10000"/>
            <a:gd name="connsiteY7" fmla="*/ 5000 h 10030"/>
            <a:gd name="connsiteX8" fmla="*/ 1667 w 10000"/>
            <a:gd name="connsiteY8" fmla="*/ 0 h 10030"/>
            <a:gd name="connsiteX0" fmla="*/ 1667 w 10269"/>
            <a:gd name="connsiteY0" fmla="*/ 0 h 10030"/>
            <a:gd name="connsiteX1" fmla="*/ 9520 w 10269"/>
            <a:gd name="connsiteY1" fmla="*/ 0 h 10030"/>
            <a:gd name="connsiteX2" fmla="*/ 9984 w 10269"/>
            <a:gd name="connsiteY2" fmla="*/ 1555 h 10030"/>
            <a:gd name="connsiteX3" fmla="*/ 9992 w 10269"/>
            <a:gd name="connsiteY3" fmla="*/ 8598 h 10030"/>
            <a:gd name="connsiteX4" fmla="*/ 9528 w 10269"/>
            <a:gd name="connsiteY4" fmla="*/ 10030 h 10030"/>
            <a:gd name="connsiteX5" fmla="*/ 1667 w 10269"/>
            <a:gd name="connsiteY5" fmla="*/ 10000 h 10030"/>
            <a:gd name="connsiteX6" fmla="*/ 0 w 10269"/>
            <a:gd name="connsiteY6" fmla="*/ 5000 h 10030"/>
            <a:gd name="connsiteX7" fmla="*/ 1667 w 10269"/>
            <a:gd name="connsiteY7" fmla="*/ 0 h 10030"/>
            <a:gd name="connsiteX0" fmla="*/ 1667 w 9992"/>
            <a:gd name="connsiteY0" fmla="*/ 0 h 10030"/>
            <a:gd name="connsiteX1" fmla="*/ 9520 w 9992"/>
            <a:gd name="connsiteY1" fmla="*/ 0 h 10030"/>
            <a:gd name="connsiteX2" fmla="*/ 9984 w 9992"/>
            <a:gd name="connsiteY2" fmla="*/ 1555 h 10030"/>
            <a:gd name="connsiteX3" fmla="*/ 9992 w 9992"/>
            <a:gd name="connsiteY3" fmla="*/ 8598 h 10030"/>
            <a:gd name="connsiteX4" fmla="*/ 9528 w 9992"/>
            <a:gd name="connsiteY4" fmla="*/ 10030 h 10030"/>
            <a:gd name="connsiteX5" fmla="*/ 1667 w 9992"/>
            <a:gd name="connsiteY5" fmla="*/ 10000 h 10030"/>
            <a:gd name="connsiteX6" fmla="*/ 0 w 9992"/>
            <a:gd name="connsiteY6" fmla="*/ 5000 h 10030"/>
            <a:gd name="connsiteX7" fmla="*/ 1667 w 9992"/>
            <a:gd name="connsiteY7" fmla="*/ 0 h 10030"/>
            <a:gd name="connsiteX0" fmla="*/ 1668 w 10034"/>
            <a:gd name="connsiteY0" fmla="*/ 0 h 10000"/>
            <a:gd name="connsiteX1" fmla="*/ 9528 w 10034"/>
            <a:gd name="connsiteY1" fmla="*/ 0 h 10000"/>
            <a:gd name="connsiteX2" fmla="*/ 9992 w 10034"/>
            <a:gd name="connsiteY2" fmla="*/ 1550 h 10000"/>
            <a:gd name="connsiteX3" fmla="*/ 10000 w 10034"/>
            <a:gd name="connsiteY3" fmla="*/ 8268 h 10000"/>
            <a:gd name="connsiteX4" fmla="*/ 10000 w 10034"/>
            <a:gd name="connsiteY4" fmla="*/ 8572 h 10000"/>
            <a:gd name="connsiteX5" fmla="*/ 9536 w 10034"/>
            <a:gd name="connsiteY5" fmla="*/ 10000 h 10000"/>
            <a:gd name="connsiteX6" fmla="*/ 1668 w 10034"/>
            <a:gd name="connsiteY6" fmla="*/ 9970 h 10000"/>
            <a:gd name="connsiteX7" fmla="*/ 0 w 10034"/>
            <a:gd name="connsiteY7" fmla="*/ 4985 h 10000"/>
            <a:gd name="connsiteX8" fmla="*/ 1668 w 10034"/>
            <a:gd name="connsiteY8" fmla="*/ 0 h 10000"/>
            <a:gd name="connsiteX0" fmla="*/ 1668 w 10278"/>
            <a:gd name="connsiteY0" fmla="*/ 0 h 10000"/>
            <a:gd name="connsiteX1" fmla="*/ 9528 w 10278"/>
            <a:gd name="connsiteY1" fmla="*/ 0 h 10000"/>
            <a:gd name="connsiteX2" fmla="*/ 9992 w 10278"/>
            <a:gd name="connsiteY2" fmla="*/ 1550 h 10000"/>
            <a:gd name="connsiteX3" fmla="*/ 10000 w 10278"/>
            <a:gd name="connsiteY3" fmla="*/ 8268 h 10000"/>
            <a:gd name="connsiteX4" fmla="*/ 9536 w 10278"/>
            <a:gd name="connsiteY4" fmla="*/ 10000 h 10000"/>
            <a:gd name="connsiteX5" fmla="*/ 1668 w 10278"/>
            <a:gd name="connsiteY5" fmla="*/ 9970 h 10000"/>
            <a:gd name="connsiteX6" fmla="*/ 0 w 10278"/>
            <a:gd name="connsiteY6" fmla="*/ 4985 h 10000"/>
            <a:gd name="connsiteX7" fmla="*/ 1668 w 10278"/>
            <a:gd name="connsiteY7" fmla="*/ 0 h 10000"/>
            <a:gd name="connsiteX0" fmla="*/ 1668 w 10054"/>
            <a:gd name="connsiteY0" fmla="*/ 0 h 10000"/>
            <a:gd name="connsiteX1" fmla="*/ 9528 w 10054"/>
            <a:gd name="connsiteY1" fmla="*/ 0 h 10000"/>
            <a:gd name="connsiteX2" fmla="*/ 9992 w 10054"/>
            <a:gd name="connsiteY2" fmla="*/ 1550 h 10000"/>
            <a:gd name="connsiteX3" fmla="*/ 10000 w 10054"/>
            <a:gd name="connsiteY3" fmla="*/ 8268 h 10000"/>
            <a:gd name="connsiteX4" fmla="*/ 9536 w 10054"/>
            <a:gd name="connsiteY4" fmla="*/ 10000 h 10000"/>
            <a:gd name="connsiteX5" fmla="*/ 1668 w 10054"/>
            <a:gd name="connsiteY5" fmla="*/ 9970 h 10000"/>
            <a:gd name="connsiteX6" fmla="*/ 0 w 10054"/>
            <a:gd name="connsiteY6" fmla="*/ 4985 h 10000"/>
            <a:gd name="connsiteX7" fmla="*/ 1668 w 10054"/>
            <a:gd name="connsiteY7" fmla="*/ 0 h 10000"/>
            <a:gd name="connsiteX0" fmla="*/ 1668 w 10000"/>
            <a:gd name="connsiteY0" fmla="*/ 0 h 10000"/>
            <a:gd name="connsiteX1" fmla="*/ 9528 w 10000"/>
            <a:gd name="connsiteY1" fmla="*/ 0 h 10000"/>
            <a:gd name="connsiteX2" fmla="*/ 9992 w 10000"/>
            <a:gd name="connsiteY2" fmla="*/ 1550 h 10000"/>
            <a:gd name="connsiteX3" fmla="*/ 10000 w 10000"/>
            <a:gd name="connsiteY3" fmla="*/ 8268 h 10000"/>
            <a:gd name="connsiteX4" fmla="*/ 9536 w 10000"/>
            <a:gd name="connsiteY4" fmla="*/ 10000 h 10000"/>
            <a:gd name="connsiteX5" fmla="*/ 1668 w 10000"/>
            <a:gd name="connsiteY5" fmla="*/ 9970 h 10000"/>
            <a:gd name="connsiteX6" fmla="*/ 0 w 10000"/>
            <a:gd name="connsiteY6" fmla="*/ 4985 h 10000"/>
            <a:gd name="connsiteX7" fmla="*/ 1668 w 10000"/>
            <a:gd name="connsiteY7" fmla="*/ 0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10000">
              <a:moveTo>
                <a:pt x="1668" y="0"/>
              </a:moveTo>
              <a:lnTo>
                <a:pt x="9528" y="0"/>
              </a:lnTo>
              <a:lnTo>
                <a:pt x="9992" y="1550"/>
              </a:lnTo>
              <a:cubicBezTo>
                <a:pt x="9995" y="3789"/>
                <a:pt x="9997" y="6029"/>
                <a:pt x="10000" y="8268"/>
              </a:cubicBezTo>
              <a:cubicBezTo>
                <a:pt x="9845" y="8845"/>
                <a:pt x="9691" y="9423"/>
                <a:pt x="9536" y="10000"/>
              </a:cubicBezTo>
              <a:lnTo>
                <a:pt x="1668" y="9970"/>
              </a:lnTo>
              <a:cubicBezTo>
                <a:pt x="747" y="9970"/>
                <a:pt x="0" y="7738"/>
                <a:pt x="0" y="4985"/>
              </a:cubicBezTo>
              <a:cubicBezTo>
                <a:pt x="0" y="2232"/>
                <a:pt x="747" y="0"/>
                <a:pt x="1668" y="0"/>
              </a:cubicBezTo>
              <a:close/>
            </a:path>
          </a:pathLst>
        </a:custGeom>
        <a:solidFill>
          <a:schemeClr val="bg2">
            <a:lumMod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147387</xdr:colOff>
      <xdr:row>4</xdr:row>
      <xdr:rowOff>106781</xdr:rowOff>
    </xdr:from>
    <xdr:to>
      <xdr:col>10</xdr:col>
      <xdr:colOff>709362</xdr:colOff>
      <xdr:row>5</xdr:row>
      <xdr:rowOff>182982</xdr:rowOff>
    </xdr:to>
    <xdr:sp macro="" textlink="">
      <xdr:nvSpPr>
        <xdr:cNvPr id="22" name="Rectangle 21"/>
        <xdr:cNvSpPr/>
      </xdr:nvSpPr>
      <xdr:spPr>
        <a:xfrm>
          <a:off x="6586287" y="96403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147387</xdr:colOff>
      <xdr:row>5</xdr:row>
      <xdr:rowOff>221081</xdr:rowOff>
    </xdr:from>
    <xdr:to>
      <xdr:col>10</xdr:col>
      <xdr:colOff>709362</xdr:colOff>
      <xdr:row>7</xdr:row>
      <xdr:rowOff>11532</xdr:rowOff>
    </xdr:to>
    <xdr:sp macro="" textlink="">
      <xdr:nvSpPr>
        <xdr:cNvPr id="23" name="Rectangle 22"/>
        <xdr:cNvSpPr/>
      </xdr:nvSpPr>
      <xdr:spPr>
        <a:xfrm>
          <a:off x="6586287" y="136408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147387</xdr:colOff>
      <xdr:row>7</xdr:row>
      <xdr:rowOff>49631</xdr:rowOff>
    </xdr:from>
    <xdr:to>
      <xdr:col>10</xdr:col>
      <xdr:colOff>709362</xdr:colOff>
      <xdr:row>8</xdr:row>
      <xdr:rowOff>125832</xdr:rowOff>
    </xdr:to>
    <xdr:sp macro="" textlink="">
      <xdr:nvSpPr>
        <xdr:cNvPr id="24" name="Rectangle 23"/>
        <xdr:cNvSpPr/>
      </xdr:nvSpPr>
      <xdr:spPr>
        <a:xfrm>
          <a:off x="6586287" y="1764131"/>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148390</xdr:colOff>
      <xdr:row>8</xdr:row>
      <xdr:rowOff>225082</xdr:rowOff>
    </xdr:from>
    <xdr:to>
      <xdr:col>10</xdr:col>
      <xdr:colOff>710365</xdr:colOff>
      <xdr:row>10</xdr:row>
      <xdr:rowOff>15533</xdr:rowOff>
    </xdr:to>
    <xdr:sp macro="" textlink="">
      <xdr:nvSpPr>
        <xdr:cNvPr id="25" name="Rectangle 24"/>
        <xdr:cNvSpPr/>
      </xdr:nvSpPr>
      <xdr:spPr>
        <a:xfrm>
          <a:off x="6587290" y="2225332"/>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154907</xdr:colOff>
      <xdr:row>10</xdr:row>
      <xdr:rowOff>56640</xdr:rowOff>
    </xdr:from>
    <xdr:to>
      <xdr:col>10</xdr:col>
      <xdr:colOff>716882</xdr:colOff>
      <xdr:row>11</xdr:row>
      <xdr:rowOff>132841</xdr:rowOff>
    </xdr:to>
    <xdr:sp macro="" textlink="">
      <xdr:nvSpPr>
        <xdr:cNvPr id="26" name="Rectangle 25"/>
        <xdr:cNvSpPr/>
      </xdr:nvSpPr>
      <xdr:spPr>
        <a:xfrm>
          <a:off x="6736682" y="2628390"/>
          <a:ext cx="561975" cy="361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42112</xdr:colOff>
      <xdr:row>11</xdr:row>
      <xdr:rowOff>190503</xdr:rowOff>
    </xdr:from>
    <xdr:to>
      <xdr:col>10</xdr:col>
      <xdr:colOff>809124</xdr:colOff>
      <xdr:row>12</xdr:row>
      <xdr:rowOff>124824</xdr:rowOff>
    </xdr:to>
    <xdr:sp macro="" textlink="">
      <xdr:nvSpPr>
        <xdr:cNvPr id="27" name="Rectangle 26"/>
        <xdr:cNvSpPr/>
      </xdr:nvSpPr>
      <xdr:spPr>
        <a:xfrm>
          <a:off x="6481012" y="3048003"/>
          <a:ext cx="767012" cy="2200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205604</xdr:colOff>
      <xdr:row>12</xdr:row>
      <xdr:rowOff>128831</xdr:rowOff>
    </xdr:from>
    <xdr:to>
      <xdr:col>10</xdr:col>
      <xdr:colOff>641750</xdr:colOff>
      <xdr:row>13</xdr:row>
      <xdr:rowOff>85225</xdr:rowOff>
    </xdr:to>
    <xdr:sp macro="" textlink="">
      <xdr:nvSpPr>
        <xdr:cNvPr id="28" name="Rectangle 27"/>
        <xdr:cNvSpPr/>
      </xdr:nvSpPr>
      <xdr:spPr>
        <a:xfrm>
          <a:off x="6644504" y="3272081"/>
          <a:ext cx="436146" cy="2421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357939</xdr:colOff>
      <xdr:row>8</xdr:row>
      <xdr:rowOff>146878</xdr:rowOff>
    </xdr:from>
    <xdr:to>
      <xdr:col>10</xdr:col>
      <xdr:colOff>471738</xdr:colOff>
      <xdr:row>8</xdr:row>
      <xdr:rowOff>210554</xdr:rowOff>
    </xdr:to>
    <xdr:sp macro="" textlink="">
      <xdr:nvSpPr>
        <xdr:cNvPr id="29" name="Rectangle 28"/>
        <xdr:cNvSpPr/>
      </xdr:nvSpPr>
      <xdr:spPr>
        <a:xfrm>
          <a:off x="6796839" y="2147128"/>
          <a:ext cx="113799" cy="6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selection activeCell="G11" sqref="G11"/>
    </sheetView>
  </sheetViews>
  <sheetFormatPr defaultRowHeight="15" x14ac:dyDescent="0.25"/>
  <cols>
    <col min="1" max="2" width="13.28515625" customWidth="1"/>
    <col min="3" max="3" width="18.140625" customWidth="1"/>
  </cols>
  <sheetData>
    <row r="1" spans="1:8" ht="12" customHeight="1" thickBot="1" x14ac:dyDescent="0.3">
      <c r="A1" s="1"/>
      <c r="B1" s="2"/>
      <c r="C1" s="3"/>
      <c r="D1" s="2"/>
      <c r="E1" s="3"/>
      <c r="F1" s="3"/>
      <c r="G1" s="4"/>
      <c r="H1" s="4"/>
    </row>
    <row r="2" spans="1:8" ht="36.75" customHeight="1" thickTop="1" thickBot="1" x14ac:dyDescent="0.3">
      <c r="A2" s="157" t="s">
        <v>0</v>
      </c>
      <c r="B2" s="158"/>
      <c r="C2" s="159" t="s">
        <v>1</v>
      </c>
      <c r="D2" s="160"/>
      <c r="E2" s="160"/>
      <c r="F2" s="161"/>
      <c r="G2" s="5"/>
      <c r="H2" s="4"/>
    </row>
    <row r="3" spans="1:8" ht="16.5" thickTop="1" thickBot="1" x14ac:dyDescent="0.3">
      <c r="A3" s="6"/>
      <c r="B3" s="2"/>
      <c r="C3" s="3"/>
      <c r="D3" s="2"/>
      <c r="E3" s="7"/>
      <c r="F3" s="7"/>
      <c r="G3" s="4"/>
      <c r="H3" s="4"/>
    </row>
    <row r="4" spans="1:8" ht="16.5" thickTop="1" x14ac:dyDescent="0.25">
      <c r="A4" s="162" t="s">
        <v>2</v>
      </c>
      <c r="B4" s="163"/>
      <c r="C4" s="164"/>
      <c r="D4" s="8"/>
      <c r="E4" s="168" t="s">
        <v>3</v>
      </c>
      <c r="F4" s="169"/>
      <c r="G4" s="169"/>
      <c r="H4" s="170"/>
    </row>
    <row r="5" spans="1:8" ht="16.5" thickBot="1" x14ac:dyDescent="0.3">
      <c r="A5" s="165"/>
      <c r="B5" s="166"/>
      <c r="C5" s="167"/>
      <c r="D5" s="8"/>
      <c r="E5" s="171"/>
      <c r="F5" s="172"/>
      <c r="G5" s="172"/>
      <c r="H5" s="173"/>
    </row>
    <row r="6" spans="1:8" ht="19.5" customHeight="1" thickTop="1" x14ac:dyDescent="0.25">
      <c r="A6" s="74" t="s">
        <v>4</v>
      </c>
      <c r="B6" s="75"/>
      <c r="C6" s="81" t="s">
        <v>5</v>
      </c>
      <c r="D6" s="9"/>
      <c r="E6" s="180" t="s">
        <v>125</v>
      </c>
      <c r="F6" s="181"/>
      <c r="G6" s="101">
        <v>231.5</v>
      </c>
      <c r="H6" s="10"/>
    </row>
    <row r="7" spans="1:8" ht="19.5" customHeight="1" x14ac:dyDescent="0.25">
      <c r="A7" s="76" t="s">
        <v>6</v>
      </c>
      <c r="B7" s="77"/>
      <c r="C7" s="82">
        <v>60873</v>
      </c>
      <c r="D7" s="9"/>
      <c r="E7" s="11" t="s">
        <v>7</v>
      </c>
      <c r="F7" s="12"/>
      <c r="G7" s="12"/>
      <c r="H7" s="13"/>
    </row>
    <row r="8" spans="1:8" ht="19.5" customHeight="1" x14ac:dyDescent="0.25">
      <c r="A8" s="76" t="s">
        <v>8</v>
      </c>
      <c r="B8" s="77"/>
      <c r="C8" s="83">
        <v>25480</v>
      </c>
      <c r="D8" s="9"/>
      <c r="E8" s="11"/>
      <c r="F8" s="14" t="s">
        <v>9</v>
      </c>
      <c r="G8" s="85">
        <v>1.5</v>
      </c>
      <c r="H8" s="15" t="e">
        <f>IF(#REF!=S1,#REF!-(G8+G10),"")</f>
        <v>#REF!</v>
      </c>
    </row>
    <row r="9" spans="1:8" ht="19.5" customHeight="1" x14ac:dyDescent="0.25">
      <c r="A9" s="76" t="s">
        <v>10</v>
      </c>
      <c r="B9" s="77"/>
      <c r="C9" s="83">
        <v>13.053000000000001</v>
      </c>
      <c r="D9" s="9"/>
      <c r="E9" s="11"/>
      <c r="F9" s="14" t="s">
        <v>11</v>
      </c>
      <c r="G9" s="85">
        <v>0</v>
      </c>
      <c r="H9" s="16"/>
    </row>
    <row r="10" spans="1:8" ht="19.5" customHeight="1" x14ac:dyDescent="0.25">
      <c r="A10" s="76" t="s">
        <v>12</v>
      </c>
      <c r="B10" s="77"/>
      <c r="C10" s="83">
        <v>113687</v>
      </c>
      <c r="D10" s="9"/>
      <c r="E10" s="11"/>
      <c r="F10" s="14" t="s">
        <v>13</v>
      </c>
      <c r="G10" s="85">
        <v>1.5</v>
      </c>
      <c r="H10" s="16"/>
    </row>
    <row r="11" spans="1:8" ht="19.5" customHeight="1" x14ac:dyDescent="0.25">
      <c r="A11" s="76" t="s">
        <v>14</v>
      </c>
      <c r="B11" s="77"/>
      <c r="C11" s="83">
        <v>97114</v>
      </c>
      <c r="D11" s="9"/>
      <c r="E11" s="182" t="s">
        <v>126</v>
      </c>
      <c r="F11" s="183"/>
      <c r="G11" s="102">
        <v>215</v>
      </c>
      <c r="H11" s="13"/>
    </row>
    <row r="12" spans="1:8" ht="19.5" customHeight="1" x14ac:dyDescent="0.25">
      <c r="A12" s="76" t="s">
        <v>15</v>
      </c>
      <c r="B12" s="77"/>
      <c r="C12" s="83">
        <v>16576</v>
      </c>
      <c r="D12" s="17"/>
      <c r="E12" s="11" t="s">
        <v>16</v>
      </c>
      <c r="F12" s="12"/>
      <c r="G12" s="18"/>
      <c r="H12" s="13"/>
    </row>
    <row r="13" spans="1:8" ht="19.5" customHeight="1" x14ac:dyDescent="0.25">
      <c r="A13" s="76" t="s">
        <v>17</v>
      </c>
      <c r="B13" s="77"/>
      <c r="C13" s="83">
        <v>234.5</v>
      </c>
      <c r="D13" s="17"/>
      <c r="E13" s="11"/>
      <c r="F13" s="14" t="s">
        <v>9</v>
      </c>
      <c r="G13" s="85">
        <v>1.5</v>
      </c>
      <c r="H13" s="15" t="e">
        <f>IF(#REF!=S1,#REF!-(G13+G15),"")</f>
        <v>#REF!</v>
      </c>
    </row>
    <row r="14" spans="1:8" ht="19.5" customHeight="1" x14ac:dyDescent="0.25">
      <c r="A14" s="76" t="s">
        <v>18</v>
      </c>
      <c r="B14" s="77"/>
      <c r="C14" s="83">
        <v>43</v>
      </c>
      <c r="D14" s="17"/>
      <c r="E14" s="19"/>
      <c r="F14" s="14" t="s">
        <v>11</v>
      </c>
      <c r="G14" s="85">
        <v>0</v>
      </c>
      <c r="H14" s="13"/>
    </row>
    <row r="15" spans="1:8" ht="19.5" customHeight="1" x14ac:dyDescent="0.25">
      <c r="A15" s="76" t="s">
        <v>19</v>
      </c>
      <c r="B15" s="78"/>
      <c r="C15" s="83">
        <v>239.9</v>
      </c>
      <c r="D15" s="12"/>
      <c r="E15" s="19"/>
      <c r="F15" s="14" t="s">
        <v>13</v>
      </c>
      <c r="G15" s="85">
        <v>18</v>
      </c>
      <c r="H15" s="13"/>
    </row>
    <row r="16" spans="1:8" ht="19.5" customHeight="1" thickBot="1" x14ac:dyDescent="0.3">
      <c r="A16" s="79" t="s">
        <v>20</v>
      </c>
      <c r="B16" s="80"/>
      <c r="C16" s="84">
        <v>298</v>
      </c>
      <c r="D16" s="12"/>
      <c r="E16" s="20"/>
      <c r="F16" s="21"/>
      <c r="G16" s="21"/>
      <c r="H16" s="22"/>
    </row>
    <row r="17" spans="1:8" ht="15.75" thickTop="1" x14ac:dyDescent="0.25">
      <c r="A17" s="4"/>
      <c r="B17" s="23"/>
      <c r="C17" s="4"/>
      <c r="D17" s="24"/>
      <c r="E17" s="24"/>
      <c r="F17" s="24"/>
      <c r="G17" s="4"/>
      <c r="H17" s="4"/>
    </row>
    <row r="18" spans="1:8" ht="15.75" thickBot="1" x14ac:dyDescent="0.3">
      <c r="A18" s="24"/>
      <c r="B18" s="2"/>
      <c r="C18" s="24"/>
      <c r="D18" s="24"/>
      <c r="E18" s="24"/>
      <c r="F18" s="24"/>
      <c r="G18" s="4"/>
      <c r="H18" s="4"/>
    </row>
    <row r="19" spans="1:8" ht="15.75" thickTop="1" x14ac:dyDescent="0.25">
      <c r="A19" s="162" t="s">
        <v>21</v>
      </c>
      <c r="B19" s="163"/>
      <c r="C19" s="164"/>
      <c r="D19" s="24"/>
      <c r="E19" s="174" t="s">
        <v>22</v>
      </c>
      <c r="F19" s="175"/>
      <c r="G19" s="175"/>
      <c r="H19" s="176"/>
    </row>
    <row r="20" spans="1:8" ht="15.75" thickBot="1" x14ac:dyDescent="0.3">
      <c r="A20" s="165"/>
      <c r="B20" s="166"/>
      <c r="C20" s="167"/>
      <c r="D20" s="24"/>
      <c r="E20" s="177"/>
      <c r="F20" s="178"/>
      <c r="G20" s="178"/>
      <c r="H20" s="179"/>
    </row>
    <row r="21" spans="1:8" ht="22.5" thickTop="1" thickBot="1" x14ac:dyDescent="0.3">
      <c r="A21" s="86" t="s">
        <v>23</v>
      </c>
      <c r="B21" s="87" t="s">
        <v>24</v>
      </c>
      <c r="C21" s="88" t="s">
        <v>38</v>
      </c>
      <c r="D21" s="14"/>
      <c r="E21" s="184" t="s">
        <v>25</v>
      </c>
      <c r="F21" s="185"/>
      <c r="G21" s="186" t="s">
        <v>24</v>
      </c>
      <c r="H21" s="187"/>
    </row>
    <row r="22" spans="1:8" ht="18.75" thickTop="1" x14ac:dyDescent="0.25">
      <c r="A22" s="89">
        <v>1</v>
      </c>
      <c r="B22" s="92">
        <v>-86.47</v>
      </c>
      <c r="C22" s="93">
        <v>18713.099999999999</v>
      </c>
      <c r="D22" s="14"/>
      <c r="E22" s="188" t="s">
        <v>26</v>
      </c>
      <c r="F22" s="189"/>
      <c r="G22" s="190">
        <v>112.18</v>
      </c>
      <c r="H22" s="191"/>
    </row>
    <row r="23" spans="1:8" ht="18" x14ac:dyDescent="0.25">
      <c r="A23" s="90">
        <v>2</v>
      </c>
      <c r="B23" s="94">
        <v>-55.64</v>
      </c>
      <c r="C23" s="95">
        <v>22404.98</v>
      </c>
      <c r="D23" s="14"/>
      <c r="E23" s="188" t="s">
        <v>27</v>
      </c>
      <c r="F23" s="189"/>
      <c r="G23" s="192">
        <v>112.18</v>
      </c>
      <c r="H23" s="193"/>
    </row>
    <row r="24" spans="1:8" ht="18" x14ac:dyDescent="0.25">
      <c r="A24" s="90">
        <v>3</v>
      </c>
      <c r="B24" s="94">
        <v>-22.39</v>
      </c>
      <c r="C24" s="95">
        <v>23037.97</v>
      </c>
      <c r="D24" s="14"/>
      <c r="E24" s="188" t="s">
        <v>28</v>
      </c>
      <c r="F24" s="189"/>
      <c r="G24" s="192">
        <v>0</v>
      </c>
      <c r="H24" s="193"/>
    </row>
    <row r="25" spans="1:8" ht="18" x14ac:dyDescent="0.25">
      <c r="A25" s="90">
        <v>4</v>
      </c>
      <c r="B25" s="94">
        <v>28.77</v>
      </c>
      <c r="C25" s="95">
        <v>26288.84</v>
      </c>
      <c r="D25" s="14"/>
      <c r="E25" s="188" t="s">
        <v>29</v>
      </c>
      <c r="F25" s="189"/>
      <c r="G25" s="192">
        <v>29.25</v>
      </c>
      <c r="H25" s="193"/>
    </row>
    <row r="26" spans="1:8" ht="18" x14ac:dyDescent="0.25">
      <c r="A26" s="90">
        <v>5</v>
      </c>
      <c r="B26" s="94">
        <v>67.13</v>
      </c>
      <c r="C26" s="95">
        <v>25381.279999999999</v>
      </c>
      <c r="D26" s="14"/>
      <c r="E26" s="188" t="s">
        <v>30</v>
      </c>
      <c r="F26" s="189"/>
      <c r="G26" s="192">
        <v>66.88</v>
      </c>
      <c r="H26" s="193"/>
    </row>
    <row r="27" spans="1:8" ht="18" x14ac:dyDescent="0.25">
      <c r="A27" s="90">
        <v>6</v>
      </c>
      <c r="B27" s="96"/>
      <c r="C27" s="97"/>
      <c r="D27" s="14"/>
      <c r="E27" s="188" t="s">
        <v>31</v>
      </c>
      <c r="F27" s="189"/>
      <c r="G27" s="192">
        <v>96.69</v>
      </c>
      <c r="H27" s="193"/>
    </row>
    <row r="28" spans="1:8" ht="18" x14ac:dyDescent="0.25">
      <c r="A28" s="90">
        <v>7</v>
      </c>
      <c r="B28" s="96"/>
      <c r="C28" s="97"/>
      <c r="D28" s="14"/>
      <c r="E28" s="188" t="s">
        <v>32</v>
      </c>
      <c r="F28" s="189"/>
      <c r="G28" s="192">
        <v>97.05</v>
      </c>
      <c r="H28" s="193"/>
    </row>
    <row r="29" spans="1:8" ht="18" x14ac:dyDescent="0.25">
      <c r="A29" s="90">
        <v>8</v>
      </c>
      <c r="B29" s="96"/>
      <c r="C29" s="97"/>
      <c r="D29" s="14"/>
      <c r="E29" s="188" t="s">
        <v>33</v>
      </c>
      <c r="F29" s="189"/>
      <c r="G29" s="192">
        <v>89.24</v>
      </c>
      <c r="H29" s="193"/>
    </row>
    <row r="30" spans="1:8" ht="18.75" thickBot="1" x14ac:dyDescent="0.3">
      <c r="A30" s="91">
        <v>9</v>
      </c>
      <c r="B30" s="98"/>
      <c r="C30" s="99"/>
      <c r="D30" s="14"/>
      <c r="E30" s="188" t="s">
        <v>34</v>
      </c>
      <c r="F30" s="189"/>
      <c r="G30" s="192">
        <v>89.24</v>
      </c>
      <c r="H30" s="193"/>
    </row>
    <row r="31" spans="1:8" ht="19.5" thickTop="1" thickBot="1" x14ac:dyDescent="0.3">
      <c r="A31" s="194" t="s">
        <v>35</v>
      </c>
      <c r="B31" s="195"/>
      <c r="C31" s="100">
        <f>SUM(C22:C30)</f>
        <v>115826.17</v>
      </c>
      <c r="D31" s="14"/>
      <c r="E31" s="188" t="s">
        <v>36</v>
      </c>
      <c r="F31" s="189"/>
      <c r="G31" s="192">
        <v>-107.84</v>
      </c>
      <c r="H31" s="193"/>
    </row>
    <row r="32" spans="1:8" ht="19.5" thickTop="1" thickBot="1" x14ac:dyDescent="0.3">
      <c r="A32" s="24"/>
      <c r="B32" s="2"/>
      <c r="C32" s="24"/>
      <c r="D32" s="24"/>
      <c r="E32" s="196" t="s">
        <v>37</v>
      </c>
      <c r="F32" s="197"/>
      <c r="G32" s="198">
        <v>113.46</v>
      </c>
      <c r="H32" s="199"/>
    </row>
    <row r="33" ht="15.75" thickTop="1" x14ac:dyDescent="0.25"/>
  </sheetData>
  <mergeCells count="33">
    <mergeCell ref="A31:B31"/>
    <mergeCell ref="E31:F31"/>
    <mergeCell ref="G31:H31"/>
    <mergeCell ref="E32:F32"/>
    <mergeCell ref="G32:H32"/>
    <mergeCell ref="E30:F30"/>
    <mergeCell ref="G30:H30"/>
    <mergeCell ref="E24:F24"/>
    <mergeCell ref="G24:H24"/>
    <mergeCell ref="E25:F25"/>
    <mergeCell ref="G25:H25"/>
    <mergeCell ref="E26:F26"/>
    <mergeCell ref="G26:H26"/>
    <mergeCell ref="E27:F27"/>
    <mergeCell ref="G27:H27"/>
    <mergeCell ref="E28:F28"/>
    <mergeCell ref="G28:H28"/>
    <mergeCell ref="E29:F29"/>
    <mergeCell ref="G29:H29"/>
    <mergeCell ref="E21:F21"/>
    <mergeCell ref="G21:H21"/>
    <mergeCell ref="E22:F22"/>
    <mergeCell ref="G22:H22"/>
    <mergeCell ref="E23:F23"/>
    <mergeCell ref="G23:H23"/>
    <mergeCell ref="A2:B2"/>
    <mergeCell ref="C2:F2"/>
    <mergeCell ref="A4:C5"/>
    <mergeCell ref="E4:H5"/>
    <mergeCell ref="A19:C20"/>
    <mergeCell ref="E19:H20"/>
    <mergeCell ref="E6:F6"/>
    <mergeCell ref="E11:F1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showGridLines="0" tabSelected="1" topLeftCell="A13" zoomScaleNormal="100" workbookViewId="0">
      <selection activeCell="R21" sqref="R21"/>
    </sheetView>
  </sheetViews>
  <sheetFormatPr defaultRowHeight="14.25" x14ac:dyDescent="0.25"/>
  <cols>
    <col min="1" max="1" width="2.5703125" style="38" customWidth="1"/>
    <col min="2" max="4" width="13" style="38" customWidth="1"/>
    <col min="5" max="5" width="2.5703125" style="38" customWidth="1"/>
    <col min="6" max="8" width="13" style="38" customWidth="1"/>
    <col min="9" max="9" width="2.5703125" style="38" customWidth="1"/>
    <col min="10" max="12" width="13" style="38" customWidth="1"/>
    <col min="13" max="13" width="2.5703125" style="38" customWidth="1"/>
    <col min="14" max="14" width="1" style="38" customWidth="1"/>
    <col min="15" max="16384" width="9.140625" style="38"/>
  </cols>
  <sheetData>
    <row r="1" spans="1:14" ht="15" thickBot="1" x14ac:dyDescent="0.3">
      <c r="A1" s="44"/>
      <c r="B1" s="44"/>
      <c r="C1" s="44"/>
      <c r="D1" s="44"/>
      <c r="E1" s="44"/>
      <c r="F1" s="44"/>
      <c r="G1" s="44"/>
      <c r="H1" s="44"/>
      <c r="I1" s="44"/>
      <c r="J1" s="44"/>
      <c r="K1" s="44"/>
      <c r="L1" s="44"/>
      <c r="M1" s="44"/>
      <c r="N1" s="51">
        <f>COMPUTATION!D62</f>
        <v>70821.16784467909</v>
      </c>
    </row>
    <row r="2" spans="1:14" ht="22.5" customHeight="1" x14ac:dyDescent="0.25">
      <c r="A2" s="200"/>
      <c r="B2" s="202" t="s">
        <v>45</v>
      </c>
      <c r="C2" s="203"/>
      <c r="D2" s="204"/>
      <c r="E2" s="200"/>
      <c r="F2" s="202" t="s">
        <v>55</v>
      </c>
      <c r="G2" s="203"/>
      <c r="H2" s="204"/>
      <c r="I2" s="49"/>
      <c r="J2" s="202" t="s">
        <v>56</v>
      </c>
      <c r="K2" s="203"/>
      <c r="L2" s="204"/>
      <c r="M2" s="200"/>
    </row>
    <row r="3" spans="1:14" ht="22.5" customHeight="1" x14ac:dyDescent="0.25">
      <c r="A3" s="200"/>
      <c r="B3" s="116"/>
      <c r="C3" s="211"/>
      <c r="D3" s="117"/>
      <c r="E3" s="200"/>
      <c r="F3" s="116"/>
      <c r="G3" s="211"/>
      <c r="H3" s="117"/>
      <c r="I3" s="49"/>
      <c r="J3" s="116"/>
      <c r="K3" s="211"/>
      <c r="L3" s="117"/>
      <c r="M3" s="200"/>
    </row>
    <row r="4" spans="1:14" ht="22.5" customHeight="1" x14ac:dyDescent="0.25">
      <c r="A4" s="200"/>
      <c r="B4" s="47">
        <v>7.8</v>
      </c>
      <c r="C4" s="211"/>
      <c r="D4" s="46">
        <v>7.8</v>
      </c>
      <c r="E4" s="200"/>
      <c r="F4" s="47">
        <v>9.52</v>
      </c>
      <c r="G4" s="211"/>
      <c r="H4" s="46">
        <v>9.6199999999999992</v>
      </c>
      <c r="I4" s="49"/>
      <c r="J4" s="47">
        <v>11.67</v>
      </c>
      <c r="K4" s="211"/>
      <c r="L4" s="46">
        <v>11.67</v>
      </c>
      <c r="M4" s="200"/>
    </row>
    <row r="5" spans="1:14" ht="22.5" customHeight="1" x14ac:dyDescent="0.25">
      <c r="A5" s="200"/>
      <c r="B5" s="205"/>
      <c r="C5" s="211"/>
      <c r="D5" s="206"/>
      <c r="E5" s="200"/>
      <c r="F5" s="205"/>
      <c r="G5" s="211"/>
      <c r="H5" s="217"/>
      <c r="I5" s="49"/>
      <c r="J5" s="205"/>
      <c r="K5" s="211"/>
      <c r="L5" s="206"/>
      <c r="M5" s="200"/>
    </row>
    <row r="6" spans="1:14" ht="22.5" customHeight="1" x14ac:dyDescent="0.25">
      <c r="A6" s="200"/>
      <c r="B6" s="205"/>
      <c r="C6" s="211"/>
      <c r="D6" s="206"/>
      <c r="E6" s="200"/>
      <c r="F6" s="205"/>
      <c r="G6" s="211"/>
      <c r="H6" s="217"/>
      <c r="I6" s="49"/>
      <c r="J6" s="205"/>
      <c r="K6" s="211"/>
      <c r="L6" s="206"/>
      <c r="M6" s="200"/>
    </row>
    <row r="7" spans="1:14" ht="22.5" customHeight="1" x14ac:dyDescent="0.25">
      <c r="A7" s="200"/>
      <c r="B7" s="205"/>
      <c r="C7" s="211"/>
      <c r="D7" s="206"/>
      <c r="E7" s="200"/>
      <c r="F7" s="205"/>
      <c r="G7" s="211"/>
      <c r="H7" s="217"/>
      <c r="I7" s="49"/>
      <c r="J7" s="205"/>
      <c r="K7" s="211"/>
      <c r="L7" s="206"/>
      <c r="M7" s="200"/>
    </row>
    <row r="8" spans="1:14" ht="22.5" customHeight="1" x14ac:dyDescent="0.25">
      <c r="A8" s="200"/>
      <c r="B8" s="47">
        <v>8.6199999999999992</v>
      </c>
      <c r="C8" s="211"/>
      <c r="D8" s="46">
        <v>8.32</v>
      </c>
      <c r="E8" s="200"/>
      <c r="F8" s="47">
        <v>10.9</v>
      </c>
      <c r="G8" s="211"/>
      <c r="H8" s="46">
        <v>10.6</v>
      </c>
      <c r="I8" s="49"/>
      <c r="J8" s="47">
        <v>11.84</v>
      </c>
      <c r="K8" s="211"/>
      <c r="L8" s="46">
        <v>11.85</v>
      </c>
      <c r="M8" s="200"/>
    </row>
    <row r="9" spans="1:14" ht="22.5" customHeight="1" x14ac:dyDescent="0.2">
      <c r="A9" s="200"/>
      <c r="B9" s="106">
        <f>IF(D8&gt;=B8,"",ABS(DEGREES((ATAN((D8-B8)/DATA!$C$14)))))</f>
        <v>0.39973151104871785</v>
      </c>
      <c r="C9" s="211"/>
      <c r="D9" s="106" t="str">
        <f>IF(B8&gt;=D8,"",ABS(DEGREES((ATAN((B8-D8)/DATA!$C$14)))))</f>
        <v/>
      </c>
      <c r="E9" s="200"/>
      <c r="F9" s="106">
        <f>IF(H8&gt;=F8,"",ABS(DEGREES((ATAN((H8-F8)/DATA!$C$14)))))</f>
        <v>0.39973151104872018</v>
      </c>
      <c r="G9" s="211"/>
      <c r="H9" s="106" t="str">
        <f>IF(F8&gt;=H8,"",ABS(DEGREES((ATAN((F8-H8)/DATA!$C$14)))))</f>
        <v/>
      </c>
      <c r="I9" s="49"/>
      <c r="J9" s="106" t="str">
        <f>IF(L8&gt;=J8,"",ABS(DEGREES((ATAN((L8-J8)/DATA!$C$14)))))</f>
        <v/>
      </c>
      <c r="K9" s="211"/>
      <c r="L9" s="106">
        <f>IF(J8&gt;=L8,"",ABS(DEGREES((ATAN((J8-L8)/DATA!$C$14)))))</f>
        <v>1.332459964655033E-2</v>
      </c>
      <c r="M9" s="200"/>
    </row>
    <row r="10" spans="1:14" ht="22.5" customHeight="1" x14ac:dyDescent="0.25">
      <c r="A10" s="200"/>
      <c r="B10" s="216" t="str">
        <f>IF(B8&lt;=D8,"",IF(B8-D8,"List to Port","List to Stbd"))</f>
        <v>List to Port</v>
      </c>
      <c r="C10" s="211"/>
      <c r="D10" s="216" t="str">
        <f>IF(B8&gt;=D8,"",IF(B8&gt;D8,"List to Port","List to Stbd"))</f>
        <v/>
      </c>
      <c r="E10" s="200"/>
      <c r="F10" s="216" t="str">
        <f>IF(F8&lt;=H8,"",IF(F8-H8,"List to Port","List to Stbd"))</f>
        <v>List to Port</v>
      </c>
      <c r="G10" s="211"/>
      <c r="H10" s="216" t="str">
        <f>IF(F8&gt;=H8,"",IF(F8&gt;H8,"List to Port","List to Stbd"))</f>
        <v/>
      </c>
      <c r="I10" s="49"/>
      <c r="J10" s="216" t="str">
        <f>IF(J8&lt;=L8,"",IF(J8-L8,"List to Port","List to Stbd"))</f>
        <v/>
      </c>
      <c r="K10" s="211"/>
      <c r="L10" s="216" t="str">
        <f>IF(J8&gt;=L8,"",IF(J8&gt;L8,"List to Port","List to Stbd"))</f>
        <v>List to Stbd</v>
      </c>
      <c r="M10" s="200"/>
    </row>
    <row r="11" spans="1:14" ht="22.5" customHeight="1" x14ac:dyDescent="0.25">
      <c r="A11" s="200"/>
      <c r="B11" s="216"/>
      <c r="C11" s="211"/>
      <c r="D11" s="216"/>
      <c r="E11" s="200"/>
      <c r="F11" s="216"/>
      <c r="G11" s="211"/>
      <c r="H11" s="216"/>
      <c r="I11" s="49"/>
      <c r="J11" s="216"/>
      <c r="K11" s="211"/>
      <c r="L11" s="216"/>
      <c r="M11" s="200"/>
    </row>
    <row r="12" spans="1:14" ht="22.5" customHeight="1" x14ac:dyDescent="0.25">
      <c r="A12" s="200"/>
      <c r="B12" s="47">
        <v>9.15</v>
      </c>
      <c r="C12" s="211"/>
      <c r="D12" s="46">
        <v>9.15</v>
      </c>
      <c r="E12" s="200"/>
      <c r="F12" s="47">
        <v>12.1</v>
      </c>
      <c r="G12" s="211"/>
      <c r="H12" s="46">
        <v>12.3</v>
      </c>
      <c r="I12" s="49"/>
      <c r="J12" s="47">
        <v>11.91</v>
      </c>
      <c r="K12" s="211"/>
      <c r="L12" s="46">
        <v>11.91</v>
      </c>
      <c r="M12" s="200"/>
    </row>
    <row r="13" spans="1:14" ht="22.5" customHeight="1" x14ac:dyDescent="0.25">
      <c r="A13" s="200"/>
      <c r="B13" s="207"/>
      <c r="C13" s="211"/>
      <c r="D13" s="209"/>
      <c r="E13" s="200"/>
      <c r="F13" s="207"/>
      <c r="G13" s="211"/>
      <c r="H13" s="209"/>
      <c r="I13" s="49"/>
      <c r="J13" s="207"/>
      <c r="K13" s="211"/>
      <c r="L13" s="209"/>
      <c r="M13" s="200"/>
    </row>
    <row r="14" spans="1:14" ht="22.5" customHeight="1" thickBot="1" x14ac:dyDescent="0.3">
      <c r="A14" s="200"/>
      <c r="B14" s="208"/>
      <c r="C14" s="212"/>
      <c r="D14" s="210"/>
      <c r="E14" s="200"/>
      <c r="F14" s="208"/>
      <c r="G14" s="212"/>
      <c r="H14" s="210"/>
      <c r="I14" s="49"/>
      <c r="J14" s="208"/>
      <c r="K14" s="212"/>
      <c r="L14" s="210"/>
      <c r="M14" s="200"/>
    </row>
    <row r="15" spans="1:14" ht="22.5" customHeight="1" x14ac:dyDescent="0.25">
      <c r="A15" s="200"/>
      <c r="B15" s="39" t="s">
        <v>46</v>
      </c>
      <c r="C15" s="213">
        <v>1.02</v>
      </c>
      <c r="D15" s="213"/>
      <c r="E15" s="200"/>
      <c r="F15" s="39" t="s">
        <v>46</v>
      </c>
      <c r="G15" s="213">
        <v>1.0205</v>
      </c>
      <c r="H15" s="213"/>
      <c r="I15" s="49"/>
      <c r="J15" s="39" t="s">
        <v>46</v>
      </c>
      <c r="K15" s="213">
        <v>1.0195000000000001</v>
      </c>
      <c r="L15" s="213"/>
      <c r="M15" s="200"/>
    </row>
    <row r="16" spans="1:14" ht="16.5" customHeight="1" x14ac:dyDescent="0.25">
      <c r="A16" s="200"/>
      <c r="B16" s="42"/>
      <c r="C16" s="42"/>
      <c r="D16" s="42"/>
      <c r="E16" s="200"/>
      <c r="F16" s="42"/>
      <c r="G16" s="42"/>
      <c r="H16" s="42"/>
      <c r="I16" s="49"/>
      <c r="J16" s="42"/>
      <c r="K16" s="42"/>
      <c r="L16" s="42"/>
      <c r="M16" s="200"/>
    </row>
    <row r="17" spans="1:13" ht="22.5" customHeight="1" x14ac:dyDescent="0.25">
      <c r="A17" s="200"/>
      <c r="B17" s="39" t="s">
        <v>47</v>
      </c>
      <c r="C17" s="214">
        <v>750.92</v>
      </c>
      <c r="D17" s="214"/>
      <c r="E17" s="200"/>
      <c r="F17" s="39" t="s">
        <v>47</v>
      </c>
      <c r="G17" s="214">
        <v>736.91</v>
      </c>
      <c r="H17" s="214"/>
      <c r="I17" s="49"/>
      <c r="J17" s="39" t="s">
        <v>47</v>
      </c>
      <c r="K17" s="214">
        <v>785</v>
      </c>
      <c r="L17" s="214"/>
      <c r="M17" s="200"/>
    </row>
    <row r="18" spans="1:13" ht="22.5" customHeight="1" x14ac:dyDescent="0.25">
      <c r="A18" s="200"/>
      <c r="B18" s="39" t="s">
        <v>48</v>
      </c>
      <c r="C18" s="214">
        <v>155.69999999999999</v>
      </c>
      <c r="D18" s="214"/>
      <c r="E18" s="200"/>
      <c r="F18" s="39" t="s">
        <v>48</v>
      </c>
      <c r="G18" s="214">
        <v>155.4</v>
      </c>
      <c r="H18" s="214"/>
      <c r="I18" s="49"/>
      <c r="J18" s="39" t="s">
        <v>48</v>
      </c>
      <c r="K18" s="214">
        <v>157.19999999999999</v>
      </c>
      <c r="L18" s="214"/>
      <c r="M18" s="200"/>
    </row>
    <row r="19" spans="1:13" ht="22.5" customHeight="1" x14ac:dyDescent="0.25">
      <c r="A19" s="200"/>
      <c r="B19" s="39" t="s">
        <v>49</v>
      </c>
      <c r="C19" s="214">
        <v>52763.67</v>
      </c>
      <c r="D19" s="214"/>
      <c r="E19" s="200"/>
      <c r="F19" s="39" t="s">
        <v>49</v>
      </c>
      <c r="G19" s="214">
        <v>74</v>
      </c>
      <c r="H19" s="214"/>
      <c r="I19" s="49"/>
      <c r="J19" s="39" t="s">
        <v>49</v>
      </c>
      <c r="K19" s="214">
        <v>159</v>
      </c>
      <c r="L19" s="214"/>
      <c r="M19" s="200"/>
    </row>
    <row r="20" spans="1:13" ht="22.5" customHeight="1" x14ac:dyDescent="0.25">
      <c r="A20" s="200"/>
      <c r="B20" s="39" t="s">
        <v>80</v>
      </c>
      <c r="C20" s="214">
        <v>295</v>
      </c>
      <c r="D20" s="214"/>
      <c r="E20" s="200"/>
      <c r="F20" s="39" t="s">
        <v>80</v>
      </c>
      <c r="G20" s="214">
        <v>273</v>
      </c>
      <c r="H20" s="214"/>
      <c r="I20" s="49"/>
      <c r="J20" s="39" t="s">
        <v>80</v>
      </c>
      <c r="K20" s="214">
        <v>74</v>
      </c>
      <c r="L20" s="214"/>
      <c r="M20" s="200"/>
    </row>
    <row r="21" spans="1:13" ht="22.5" customHeight="1" x14ac:dyDescent="0.25">
      <c r="A21" s="200"/>
      <c r="B21" s="39" t="s">
        <v>50</v>
      </c>
      <c r="C21" s="201"/>
      <c r="D21" s="201"/>
      <c r="E21" s="200"/>
      <c r="F21" s="39" t="s">
        <v>50</v>
      </c>
      <c r="G21" s="201"/>
      <c r="H21" s="201"/>
      <c r="I21" s="49"/>
      <c r="J21" s="39" t="s">
        <v>50</v>
      </c>
      <c r="K21" s="201"/>
      <c r="L21" s="201"/>
      <c r="M21" s="200"/>
    </row>
    <row r="22" spans="1:13" ht="22.5" customHeight="1" x14ac:dyDescent="0.25">
      <c r="A22" s="200"/>
      <c r="B22" s="40" t="s">
        <v>51</v>
      </c>
      <c r="C22" s="215">
        <f>COMPUTATION!D19</f>
        <v>1.3674946004319661</v>
      </c>
      <c r="D22" s="215"/>
      <c r="E22" s="200"/>
      <c r="F22" s="40" t="s">
        <v>51</v>
      </c>
      <c r="G22" s="215">
        <f>COMPUTATION!$N$19</f>
        <v>2.8685348837209297</v>
      </c>
      <c r="H22" s="215"/>
      <c r="I22" s="49"/>
      <c r="J22" s="40" t="s">
        <v>51</v>
      </c>
      <c r="K22" s="215">
        <f>COMPUTATION!X19</f>
        <v>0.26176744186046541</v>
      </c>
      <c r="L22" s="215"/>
      <c r="M22" s="200"/>
    </row>
    <row r="23" spans="1:13" ht="22.5" customHeight="1" x14ac:dyDescent="0.25">
      <c r="A23" s="200"/>
      <c r="B23" s="104">
        <f>ABS(COMPUTATION!D5-COMPUTATION!D26)*100</f>
        <v>0.5000000000002558</v>
      </c>
      <c r="C23" s="219" t="s">
        <v>52</v>
      </c>
      <c r="D23" s="221">
        <f>COMPUTATION!D65</f>
        <v>279.8778446790966</v>
      </c>
      <c r="E23" s="200"/>
      <c r="F23" s="105">
        <f>ABS(COMPUTATION!M5-COMPUTATION!M26)*100</f>
        <v>23.591860465116277</v>
      </c>
      <c r="G23" s="219" t="s">
        <v>57</v>
      </c>
      <c r="H23" s="221">
        <f>COMPUTATION!$N$65</f>
        <v>74089.844692568149</v>
      </c>
      <c r="I23" s="49"/>
      <c r="J23" s="105">
        <f>ABS(COMPUTATION!W5-COMPUTATION!W26)*100</f>
        <v>4.5790697674416236</v>
      </c>
      <c r="K23" s="219" t="s">
        <v>57</v>
      </c>
      <c r="L23" s="220">
        <f>COMPUTATION!X65</f>
        <v>83601.744826095222</v>
      </c>
      <c r="M23" s="200"/>
    </row>
    <row r="24" spans="1:13" ht="22.5" customHeight="1" x14ac:dyDescent="0.25">
      <c r="A24" s="200"/>
      <c r="B24" s="104" t="str">
        <f>IF(COMPUTATION!D5&gt;COMPUTATION!D26,"cmSag","cmHog")</f>
        <v>cmHog</v>
      </c>
      <c r="C24" s="219"/>
      <c r="D24" s="221"/>
      <c r="E24" s="200"/>
      <c r="F24" s="104" t="str">
        <f>IF(COMPUTATION!M5&gt;COMPUTATION!M26,"cmSag","cmHog")</f>
        <v>cmHog</v>
      </c>
      <c r="G24" s="219"/>
      <c r="H24" s="221"/>
      <c r="I24" s="49"/>
      <c r="J24" s="104" t="str">
        <f>IF(COMPUTATION!W5&gt;COMPUTATION!W26,"cmSag","cmHog")</f>
        <v>cmSag</v>
      </c>
      <c r="K24" s="219"/>
      <c r="L24" s="220"/>
      <c r="M24" s="200"/>
    </row>
    <row r="25" spans="1:13" ht="22.5" customHeight="1" x14ac:dyDescent="0.25">
      <c r="A25" s="200"/>
      <c r="B25" s="222" t="s">
        <v>54</v>
      </c>
      <c r="C25" s="222"/>
      <c r="D25" s="43">
        <f>N1-C17-C18-C20-D26-DATA!C12</f>
        <v>52763.547844679095</v>
      </c>
      <c r="E25" s="200"/>
      <c r="F25" s="218"/>
      <c r="G25" s="218"/>
      <c r="H25" s="41"/>
      <c r="I25" s="49"/>
      <c r="J25" s="218"/>
      <c r="K25" s="218"/>
      <c r="L25" s="41"/>
      <c r="M25" s="200"/>
    </row>
    <row r="26" spans="1:13" ht="22.5" customHeight="1" x14ac:dyDescent="0.25">
      <c r="A26" s="200"/>
      <c r="B26" s="223" t="s">
        <v>53</v>
      </c>
      <c r="C26" s="223"/>
      <c r="D26" s="52">
        <v>280</v>
      </c>
      <c r="E26" s="200"/>
      <c r="F26" s="225" t="s">
        <v>85</v>
      </c>
      <c r="G26" s="225"/>
      <c r="H26" s="225"/>
      <c r="I26" s="225"/>
      <c r="J26" s="225"/>
      <c r="K26" s="225"/>
      <c r="L26" s="225"/>
      <c r="M26" s="200"/>
    </row>
    <row r="27" spans="1:13" ht="15" customHeight="1" x14ac:dyDescent="0.25">
      <c r="A27" s="41"/>
      <c r="B27" s="41"/>
      <c r="C27" s="41"/>
      <c r="D27" s="41"/>
      <c r="E27" s="41"/>
      <c r="F27" s="41"/>
      <c r="G27" s="41"/>
      <c r="H27" s="41"/>
      <c r="I27" s="41"/>
      <c r="J27" s="41"/>
      <c r="K27" s="41"/>
      <c r="L27" s="41"/>
      <c r="M27" s="41"/>
    </row>
    <row r="28" spans="1:13" ht="22.5" customHeight="1" x14ac:dyDescent="0.25"/>
    <row r="29" spans="1:13" ht="22.5" customHeight="1" x14ac:dyDescent="0.25"/>
    <row r="30" spans="1:13" ht="22.5" customHeight="1" x14ac:dyDescent="0.25">
      <c r="B30" s="224" t="str">
        <f>IF(B28&lt;=D28,"",IF(B28&gt;D28,"List to Port","List to Stbd"))</f>
        <v/>
      </c>
    </row>
    <row r="31" spans="1:13" ht="22.5" customHeight="1" x14ac:dyDescent="0.25">
      <c r="B31" s="224"/>
    </row>
    <row r="32" spans="1:13" ht="22.5" customHeight="1" x14ac:dyDescent="0.25"/>
    <row r="62" spans="4:4" x14ac:dyDescent="0.25">
      <c r="D62" s="38">
        <f>'DRAFT SURVEY'!C15:D15</f>
        <v>0</v>
      </c>
    </row>
  </sheetData>
  <mergeCells count="60">
    <mergeCell ref="B10:B11"/>
    <mergeCell ref="D10:D11"/>
    <mergeCell ref="B30:B31"/>
    <mergeCell ref="K15:L15"/>
    <mergeCell ref="K17:L17"/>
    <mergeCell ref="K18:L18"/>
    <mergeCell ref="K19:L19"/>
    <mergeCell ref="K20:L20"/>
    <mergeCell ref="F26:L26"/>
    <mergeCell ref="F25:G25"/>
    <mergeCell ref="G20:H20"/>
    <mergeCell ref="G21:H21"/>
    <mergeCell ref="G22:H22"/>
    <mergeCell ref="G23:G24"/>
    <mergeCell ref="K21:L21"/>
    <mergeCell ref="G17:H17"/>
    <mergeCell ref="K3:K14"/>
    <mergeCell ref="J5:J7"/>
    <mergeCell ref="L5:L7"/>
    <mergeCell ref="J13:J14"/>
    <mergeCell ref="L13:L14"/>
    <mergeCell ref="J10:J11"/>
    <mergeCell ref="L10:L11"/>
    <mergeCell ref="G19:H19"/>
    <mergeCell ref="C20:D20"/>
    <mergeCell ref="J25:K25"/>
    <mergeCell ref="K22:L22"/>
    <mergeCell ref="K23:K24"/>
    <mergeCell ref="L23:L24"/>
    <mergeCell ref="C23:C24"/>
    <mergeCell ref="H23:H24"/>
    <mergeCell ref="E2:E26"/>
    <mergeCell ref="B25:C25"/>
    <mergeCell ref="B26:C26"/>
    <mergeCell ref="D23:D24"/>
    <mergeCell ref="F2:H2"/>
    <mergeCell ref="G3:G14"/>
    <mergeCell ref="F5:F7"/>
    <mergeCell ref="J2:L2"/>
    <mergeCell ref="F13:F14"/>
    <mergeCell ref="H13:H14"/>
    <mergeCell ref="H10:H11"/>
    <mergeCell ref="G18:H18"/>
    <mergeCell ref="G15:H15"/>
    <mergeCell ref="A2:A26"/>
    <mergeCell ref="M2:M26"/>
    <mergeCell ref="C21:D21"/>
    <mergeCell ref="B2:D2"/>
    <mergeCell ref="B5:B7"/>
    <mergeCell ref="D5:D7"/>
    <mergeCell ref="B13:B14"/>
    <mergeCell ref="D13:D14"/>
    <mergeCell ref="C3:C14"/>
    <mergeCell ref="C15:D15"/>
    <mergeCell ref="C17:D17"/>
    <mergeCell ref="C18:D18"/>
    <mergeCell ref="C19:D19"/>
    <mergeCell ref="C22:D22"/>
    <mergeCell ref="F10:F11"/>
    <mergeCell ref="H5:H7"/>
  </mergeCells>
  <pageMargins left="0.58333333333333337" right="0.41666666666666669" top="0.49818840579710144" bottom="0.11775362318840579" header="0.3" footer="0.3"/>
  <pageSetup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
  <sheetViews>
    <sheetView topLeftCell="A16" zoomScale="85" zoomScaleNormal="85" workbookViewId="0">
      <selection activeCell="C21" sqref="C21"/>
    </sheetView>
  </sheetViews>
  <sheetFormatPr defaultRowHeight="14.25" x14ac:dyDescent="0.25"/>
  <cols>
    <col min="1" max="1" width="39.28515625" style="118" customWidth="1"/>
    <col min="2" max="5" width="19.140625" style="118" customWidth="1"/>
    <col min="6" max="8" width="13" style="118" customWidth="1"/>
    <col min="9" max="9" width="2.5703125" style="118" customWidth="1"/>
    <col min="10" max="10" width="13" style="118" customWidth="1"/>
    <col min="11" max="11" width="17.7109375" style="118" customWidth="1"/>
    <col min="12" max="12" width="13" style="118" customWidth="1"/>
    <col min="13" max="14" width="18.140625" style="118" customWidth="1"/>
    <col min="15" max="16" width="15.5703125" style="118" customWidth="1"/>
    <col min="17" max="20" width="13.7109375" style="118" customWidth="1"/>
    <col min="21" max="21" width="9.5703125" style="118" customWidth="1"/>
    <col min="22" max="22" width="13.5703125" style="118" customWidth="1"/>
    <col min="23" max="23" width="14.5703125" style="118" customWidth="1"/>
    <col min="24" max="24" width="20.85546875" style="118" bestFit="1" customWidth="1"/>
    <col min="25" max="16384" width="9.140625" style="118"/>
  </cols>
  <sheetData>
    <row r="1" spans="1:24" ht="28.5" customHeight="1" x14ac:dyDescent="0.25">
      <c r="A1" s="228" t="s">
        <v>58</v>
      </c>
      <c r="B1" s="228"/>
      <c r="C1" s="228"/>
      <c r="D1" s="228"/>
      <c r="E1" s="228"/>
      <c r="F1" s="45"/>
      <c r="G1" s="45"/>
    </row>
    <row r="2" spans="1:24" ht="22.5" customHeight="1" x14ac:dyDescent="0.25">
      <c r="A2" s="114"/>
      <c r="B2" s="103" t="s">
        <v>59</v>
      </c>
      <c r="C2" s="103" t="s">
        <v>60</v>
      </c>
      <c r="D2" s="103" t="s">
        <v>61</v>
      </c>
      <c r="E2" s="103" t="s">
        <v>51</v>
      </c>
      <c r="M2" s="133" t="s">
        <v>42</v>
      </c>
      <c r="N2" s="108">
        <f>((COMPUTATION!L42-COMPUTATION!K42)/((COMPUTATION!P30-COMPUTATION!O30)*100))*(Q4-COMPUTATION!O30)*100+COMPUTATION!K42</f>
        <v>-1.254865254777088</v>
      </c>
      <c r="O2" s="229" t="s">
        <v>140</v>
      </c>
      <c r="P2" s="229"/>
      <c r="Q2" s="130">
        <f>D3</f>
        <v>10.75</v>
      </c>
      <c r="R2" s="133" t="s">
        <v>142</v>
      </c>
      <c r="S2" s="108">
        <f>(C3-B3)*100</f>
        <v>286.85348837209295</v>
      </c>
      <c r="T2" s="108" t="s">
        <v>143</v>
      </c>
      <c r="U2" s="108" t="s">
        <v>144</v>
      </c>
      <c r="V2" s="108">
        <f>B7/100</f>
        <v>27.08</v>
      </c>
      <c r="X2" s="138">
        <f>N7-M7</f>
        <v>-5.7373400020055341</v>
      </c>
    </row>
    <row r="3" spans="1:24" ht="24" customHeight="1" x14ac:dyDescent="0.25">
      <c r="A3" s="115" t="s">
        <v>127</v>
      </c>
      <c r="B3" s="120">
        <f>COMPUTATION!K19</f>
        <v>9.5516511627906979</v>
      </c>
      <c r="C3" s="120">
        <f>COMPUTATION!K21</f>
        <v>12.420186046511628</v>
      </c>
      <c r="D3" s="120">
        <f>COMPUTATION!M5</f>
        <v>10.75</v>
      </c>
      <c r="E3" s="120">
        <f>COMPUTATION!N19</f>
        <v>2.8685348837209297</v>
      </c>
      <c r="M3" s="133" t="s">
        <v>139</v>
      </c>
      <c r="N3" s="108">
        <f>(COMPUTATION!O55-COMPUTATION!O54)/((COMPUTATION!J55-COMPUTATION!J54)*100)*(Q4-COMPUTATION!J54)*100+COMPUTATION!O54</f>
        <v>1485.272525515923</v>
      </c>
      <c r="O3" s="229" t="s">
        <v>133</v>
      </c>
      <c r="P3" s="229"/>
      <c r="Q3" s="130">
        <f>Q2+B7/COMPUTATION!M40/100</f>
        <v>11.043512993630538</v>
      </c>
      <c r="R3" s="133" t="s">
        <v>145</v>
      </c>
      <c r="S3" s="108">
        <f>C9</f>
        <v>26</v>
      </c>
      <c r="U3" s="129">
        <f>X2-V2</f>
        <v>-32.81734000200553</v>
      </c>
      <c r="W3" s="129">
        <f>S4-U3</f>
        <v>-228.03614837008743</v>
      </c>
      <c r="X3" s="139">
        <f>N8-M8</f>
        <v>4.6041964743825687</v>
      </c>
    </row>
    <row r="4" spans="1:24" ht="24" customHeight="1" x14ac:dyDescent="0.25">
      <c r="A4" s="115" t="s">
        <v>128</v>
      </c>
      <c r="B4" s="110">
        <f>ABS(COMPUTATION!M5-COMPUTATION!M26)*100</f>
        <v>23.591860465116277</v>
      </c>
      <c r="C4" s="109" t="str">
        <f>'DRAFT SURVEY'!F24</f>
        <v>cmHog</v>
      </c>
      <c r="M4" s="133" t="s">
        <v>41</v>
      </c>
      <c r="N4" s="112">
        <f>(COMPUTATION!M55-COMPUTATION!M54)/((COMPUTATION!J55-COMPUTATION!J54)*100)*(Q4-COMPUTATION!J54)*100+COMPUTATION!M54</f>
        <v>92.375783445859867</v>
      </c>
      <c r="O4" s="229" t="s">
        <v>141</v>
      </c>
      <c r="P4" s="229"/>
      <c r="Q4" s="130">
        <f>(Q2+Q3)/2</f>
        <v>10.896756496815268</v>
      </c>
      <c r="R4" s="133" t="s">
        <v>146</v>
      </c>
      <c r="S4" s="108">
        <f>S3-S2</f>
        <v>-260.85348837209295</v>
      </c>
      <c r="U4" s="112">
        <f>X3-X2</f>
        <v>10.341536476388104</v>
      </c>
      <c r="W4" s="108">
        <f>W3/U4*100</f>
        <v>-2205.0509505114815</v>
      </c>
    </row>
    <row r="5" spans="1:24" ht="24" customHeight="1" x14ac:dyDescent="0.25">
      <c r="A5" s="115" t="s">
        <v>129</v>
      </c>
      <c r="B5" s="111">
        <f>'DRAFT SURVEY'!H23</f>
        <v>74089.844692568149</v>
      </c>
      <c r="C5" s="109" t="s">
        <v>131</v>
      </c>
      <c r="W5" s="111">
        <f>B7-W4</f>
        <v>4913.0509505114815</v>
      </c>
    </row>
    <row r="6" spans="1:24" ht="24" customHeight="1" x14ac:dyDescent="0.25">
      <c r="A6" s="115" t="s">
        <v>130</v>
      </c>
      <c r="B6" s="107">
        <v>83500</v>
      </c>
      <c r="C6" s="109" t="s">
        <v>131</v>
      </c>
      <c r="M6" s="133" t="s">
        <v>148</v>
      </c>
      <c r="N6" s="133" t="s">
        <v>149</v>
      </c>
    </row>
    <row r="7" spans="1:24" ht="24" customHeight="1" x14ac:dyDescent="0.25">
      <c r="A7" s="115" t="s">
        <v>132</v>
      </c>
      <c r="B7" s="111">
        <v>2708</v>
      </c>
      <c r="C7" s="109" t="s">
        <v>131</v>
      </c>
      <c r="K7" s="133" t="s">
        <v>147</v>
      </c>
      <c r="L7" s="140">
        <v>1</v>
      </c>
      <c r="M7" s="112">
        <f>(1/N4+(DATA!C13/2+N2)*((N2-P19)/(N3*DATA!C13)))*100</f>
        <v>3.9205029277541574</v>
      </c>
      <c r="N7" s="141">
        <f>(1/N4-(DATA!C13/2-N2)*((N2-P19)/(N3*DATA!C13)))*100</f>
        <v>-1.8168370742513769</v>
      </c>
      <c r="O7" s="123"/>
    </row>
    <row r="8" spans="1:24" ht="24" customHeight="1" x14ac:dyDescent="0.25">
      <c r="A8" s="115" t="s">
        <v>133</v>
      </c>
      <c r="B8" s="112">
        <f>D3+B7/COMPUTATION!M40/100</f>
        <v>11.043512993630538</v>
      </c>
      <c r="C8" s="109" t="s">
        <v>134</v>
      </c>
      <c r="K8" s="133" t="s">
        <v>147</v>
      </c>
      <c r="L8" s="140">
        <v>5</v>
      </c>
      <c r="M8" s="112">
        <f>(1/N4+(DATA!C13/2+N2)*((N2-P20)/(N3*DATA!C13)))*100</f>
        <v>-1.1949252899485117</v>
      </c>
      <c r="N8" s="141">
        <f>(1/N4-(DATA!C13/2-N2)*((N2-P20)/(N3*DATA!C13)))*100</f>
        <v>3.4092711844340573</v>
      </c>
      <c r="O8" s="123"/>
    </row>
    <row r="9" spans="1:24" ht="24" customHeight="1" x14ac:dyDescent="0.25">
      <c r="A9" s="115" t="s">
        <v>135</v>
      </c>
      <c r="B9" s="107"/>
      <c r="C9" s="118">
        <v>26</v>
      </c>
      <c r="K9" s="134" t="s">
        <v>150</v>
      </c>
      <c r="M9" s="112">
        <f>B3</f>
        <v>9.5516511627906979</v>
      </c>
      <c r="N9" s="112">
        <f t="shared" ref="N9" si="0">C3</f>
        <v>12.420186046511628</v>
      </c>
      <c r="O9" s="112">
        <f>(M9+N9)/2</f>
        <v>10.985918604651163</v>
      </c>
    </row>
    <row r="10" spans="1:24" ht="24" customHeight="1" x14ac:dyDescent="0.25">
      <c r="A10" s="115" t="s">
        <v>136</v>
      </c>
      <c r="B10" s="111">
        <f>W5</f>
        <v>4913.0509505114815</v>
      </c>
      <c r="C10" s="107">
        <v>1</v>
      </c>
      <c r="M10" s="112">
        <f>W5*M7/10000</f>
        <v>1.9261630635685607</v>
      </c>
      <c r="N10" s="112">
        <f>N7*W5/10000</f>
        <v>-0.89262131145752266</v>
      </c>
      <c r="O10" s="123"/>
    </row>
    <row r="11" spans="1:24" ht="24" customHeight="1" x14ac:dyDescent="0.25">
      <c r="A11" s="115" t="s">
        <v>137</v>
      </c>
      <c r="B11" s="112">
        <f>M11</f>
        <v>11.477814226359259</v>
      </c>
      <c r="C11" s="108"/>
      <c r="D11" s="108"/>
      <c r="K11" s="134" t="s">
        <v>151</v>
      </c>
      <c r="L11" s="103">
        <v>1</v>
      </c>
      <c r="M11" s="112">
        <f>M9+M10</f>
        <v>11.477814226359259</v>
      </c>
      <c r="N11" s="112">
        <f>N9+N10</f>
        <v>11.527564735054105</v>
      </c>
      <c r="O11" s="112">
        <f>(M11+N11)/2</f>
        <v>11.502689480706682</v>
      </c>
    </row>
    <row r="12" spans="1:24" ht="24" customHeight="1" x14ac:dyDescent="0.25">
      <c r="A12" s="115" t="s">
        <v>136</v>
      </c>
      <c r="B12" s="111">
        <f>W4</f>
        <v>-2205.0509505114815</v>
      </c>
      <c r="C12" s="107">
        <v>5</v>
      </c>
      <c r="M12" s="112">
        <f>W4*M8/10000</f>
        <v>0.26348711463911734</v>
      </c>
      <c r="N12" s="112">
        <f>N8*W4/10000</f>
        <v>-0.75176166657877219</v>
      </c>
    </row>
    <row r="13" spans="1:24" ht="24" customHeight="1" x14ac:dyDescent="0.25">
      <c r="A13" s="115" t="s">
        <v>137</v>
      </c>
      <c r="B13" s="112">
        <f t="shared" ref="B13:D14" si="1">M13</f>
        <v>11.741301340998376</v>
      </c>
      <c r="C13" s="112">
        <f t="shared" si="1"/>
        <v>10.775803068475332</v>
      </c>
      <c r="D13" s="112">
        <f t="shared" si="1"/>
        <v>11.258552204736855</v>
      </c>
      <c r="K13" s="134" t="s">
        <v>151</v>
      </c>
      <c r="L13" s="103">
        <v>5</v>
      </c>
      <c r="M13" s="112">
        <f>M11+M12</f>
        <v>11.741301340998376</v>
      </c>
      <c r="N13" s="112">
        <f>N11+N12</f>
        <v>10.775803068475332</v>
      </c>
      <c r="O13" s="112">
        <f>(M13+N13)/2</f>
        <v>11.258552204736855</v>
      </c>
    </row>
    <row r="14" spans="1:24" ht="24" customHeight="1" x14ac:dyDescent="0.25">
      <c r="A14" s="115" t="s">
        <v>138</v>
      </c>
      <c r="B14" s="112">
        <f t="shared" si="1"/>
        <v>11.734565306538913</v>
      </c>
      <c r="C14" s="112">
        <f t="shared" si="1"/>
        <v>10.856635481988889</v>
      </c>
      <c r="D14" s="112">
        <f t="shared" si="1"/>
        <v>11.494470809388018</v>
      </c>
      <c r="E14" s="111">
        <f>M15</f>
        <v>-87.792982455002459</v>
      </c>
      <c r="K14" s="227" t="s">
        <v>152</v>
      </c>
      <c r="L14" s="227"/>
      <c r="M14" s="112">
        <f>M13+(N13-M13)*DATA!G13/(DATA!C13-(DATA!G13+DATA!G15))</f>
        <v>11.734565306538913</v>
      </c>
      <c r="N14" s="112">
        <f>N13-(N13-M13)*DATA!G15/(DATA!C13-(DATA!G13+DATA!G15))</f>
        <v>10.856635481988889</v>
      </c>
      <c r="O14" s="142">
        <f>IF(C4="cm hog",(O13-B4/100),(O13+B4/100))</f>
        <v>11.494470809388018</v>
      </c>
    </row>
    <row r="15" spans="1:24" ht="24" customHeight="1" x14ac:dyDescent="0.25">
      <c r="A15" s="113"/>
      <c r="K15" s="227" t="s">
        <v>153</v>
      </c>
      <c r="L15" s="227"/>
      <c r="M15" s="111">
        <f>(N14-M14)*100</f>
        <v>-87.792982455002459</v>
      </c>
    </row>
    <row r="16" spans="1:24" ht="24" customHeight="1" x14ac:dyDescent="0.25">
      <c r="A16" s="226" t="s">
        <v>157</v>
      </c>
      <c r="B16" s="226"/>
      <c r="C16" s="226"/>
      <c r="D16" s="226"/>
      <c r="E16" s="226"/>
    </row>
    <row r="17" spans="1:18" ht="24" customHeight="1" x14ac:dyDescent="0.25">
      <c r="A17" s="114"/>
      <c r="B17" s="103" t="s">
        <v>59</v>
      </c>
      <c r="C17" s="103" t="s">
        <v>60</v>
      </c>
      <c r="D17" s="103" t="s">
        <v>61</v>
      </c>
      <c r="E17" s="103" t="s">
        <v>51</v>
      </c>
    </row>
    <row r="18" spans="1:18" ht="24" customHeight="1" x14ac:dyDescent="0.25">
      <c r="A18" s="115" t="s">
        <v>156</v>
      </c>
      <c r="B18" s="125">
        <f>B3</f>
        <v>9.5516511627906979</v>
      </c>
      <c r="C18" s="125">
        <f>C3</f>
        <v>12.420186046511628</v>
      </c>
      <c r="D18" s="125">
        <f>D3</f>
        <v>10.75</v>
      </c>
      <c r="E18" s="108"/>
      <c r="L18" s="134" t="s">
        <v>24</v>
      </c>
      <c r="M18" s="134" t="s">
        <v>154</v>
      </c>
      <c r="N18" s="134" t="s">
        <v>155</v>
      </c>
    </row>
    <row r="19" spans="1:18" ht="24" customHeight="1" x14ac:dyDescent="0.25">
      <c r="A19" s="136" t="s">
        <v>136</v>
      </c>
      <c r="B19" s="107">
        <v>1230</v>
      </c>
      <c r="C19" s="107">
        <v>1</v>
      </c>
      <c r="P19" s="119">
        <f>VLOOKUP(TRIMMING!C10,DATA!A22:C30,2)</f>
        <v>-86.47</v>
      </c>
    </row>
    <row r="20" spans="1:18" ht="24" customHeight="1" x14ac:dyDescent="0.25">
      <c r="A20" s="137" t="s">
        <v>137</v>
      </c>
      <c r="B20" s="129">
        <f>B18+M20</f>
        <v>10.033873022904459</v>
      </c>
      <c r="C20" s="129">
        <f>C18+N20</f>
        <v>12.196715086378708</v>
      </c>
      <c r="D20" s="129">
        <f>COMPUTATION!M5+(B19/N4)/100</f>
        <v>10.883151780057258</v>
      </c>
      <c r="E20" s="129">
        <f>C20-B20</f>
        <v>2.1628420634742493</v>
      </c>
      <c r="K20" s="134">
        <v>1</v>
      </c>
      <c r="L20" s="143">
        <f>VLOOKUP(C19,DATA!A22:C30,2)</f>
        <v>-86.47</v>
      </c>
      <c r="M20" s="144">
        <f>(1/N4+(DATA!C13/2+N2)*((N2-L20)/(N3*DATA!C13)))*B19/100</f>
        <v>0.48222186011376139</v>
      </c>
      <c r="N20" s="144">
        <f>(1/N4-(DATA!C13/2-N2)*((N2-L20)/(N3*DATA!C13)))*B19/100</f>
        <v>-0.22347096013291934</v>
      </c>
      <c r="O20" s="108"/>
      <c r="P20" s="108">
        <f>VLOOKUP(C12,DATA!A22:C30,2)</f>
        <v>67.13</v>
      </c>
    </row>
    <row r="21" spans="1:18" ht="24" customHeight="1" x14ac:dyDescent="0.25">
      <c r="A21" s="136" t="s">
        <v>136</v>
      </c>
      <c r="B21" s="107">
        <v>1320</v>
      </c>
      <c r="C21" s="107">
        <v>5</v>
      </c>
      <c r="P21" s="145" t="str">
        <f>IF(C9&gt;0," cm by Stern"," cm by Head")</f>
        <v xml:space="preserve"> cm by Stern</v>
      </c>
    </row>
    <row r="22" spans="1:18" s="124" customFormat="1" ht="24" customHeight="1" x14ac:dyDescent="0.25">
      <c r="A22" s="137" t="s">
        <v>137</v>
      </c>
      <c r="B22" s="129">
        <f>B20+M22</f>
        <v>9.8761428846312551</v>
      </c>
      <c r="C22" s="129">
        <f>C20+N22</f>
        <v>12.646738882724003</v>
      </c>
      <c r="D22" s="129">
        <f>COMPUTATION!M5+((B19+B21)/N4)/100</f>
        <v>11.026046373289436</v>
      </c>
      <c r="E22" s="129">
        <f>C22-B22</f>
        <v>2.7705959980927481</v>
      </c>
      <c r="K22" s="134">
        <v>5</v>
      </c>
      <c r="L22" s="143">
        <f>VLOOKUP(C21,DATA!A22:C30,2)</f>
        <v>67.13</v>
      </c>
      <c r="M22" s="144">
        <f>(1/N4+(DATA!C13/2+N2)*((N2-L22)/(N3*DATA!C13)))*B21/100</f>
        <v>-0.15773013827320356</v>
      </c>
      <c r="N22" s="144">
        <f>(1/N4-(DATA!C13/2-N2)*((N2-L22)/(N3*DATA!C13)))*B21/100</f>
        <v>0.4500237963452956</v>
      </c>
      <c r="P22" s="132"/>
    </row>
    <row r="23" spans="1:18" s="124" customFormat="1" ht="24" customHeight="1" x14ac:dyDescent="0.25">
      <c r="A23" s="136" t="s">
        <v>136</v>
      </c>
      <c r="B23" s="135"/>
      <c r="C23" s="135">
        <v>5</v>
      </c>
    </row>
    <row r="24" spans="1:18" s="124" customFormat="1" ht="24" customHeight="1" x14ac:dyDescent="0.25">
      <c r="A24" s="137" t="s">
        <v>137</v>
      </c>
      <c r="B24" s="129">
        <f>B22+M24</f>
        <v>9.8761428846312551</v>
      </c>
      <c r="C24" s="129">
        <f>C22+N24</f>
        <v>12.646738882724003</v>
      </c>
      <c r="D24" s="129">
        <f>COMPUTATION!M5+((B19+B21+B23)/N4)/100</f>
        <v>11.026046373289436</v>
      </c>
      <c r="E24" s="129">
        <f>C24-B24</f>
        <v>2.7705959980927481</v>
      </c>
      <c r="K24" s="134">
        <v>5</v>
      </c>
      <c r="L24" s="143">
        <f>VLOOKUP(C23,DATA!A22:C30,2)</f>
        <v>67.13</v>
      </c>
      <c r="M24" s="144">
        <f>(1/N4+(DATA!C13/2+N2)*((N2-L24)/(N3*DATA!C15)))*B23/100</f>
        <v>0</v>
      </c>
      <c r="N24" s="144">
        <f>(1/N4-(DATA!C13/2-N2)*((N2-L24)/(N3*DATA!C13)))*B23/100</f>
        <v>0</v>
      </c>
    </row>
    <row r="25" spans="1:18" s="124" customFormat="1" ht="24" customHeight="1" x14ac:dyDescent="0.25">
      <c r="A25" s="136" t="s">
        <v>138</v>
      </c>
      <c r="B25" s="128">
        <f>B24+(C24-B24)*DATA!G13/(DATA!C13-(DATA!G13+DATA!G15))</f>
        <v>9.8954726241528324</v>
      </c>
      <c r="C25" s="128">
        <f>C24-(C24-B24)*DATA!G15/(DATA!C13-(DATA!G13+DATA!G15))</f>
        <v>12.414782008465075</v>
      </c>
      <c r="D25" s="128">
        <f>COMPUTATION!M5+((B19+B21+B23)/N4)/100</f>
        <v>11.026046373289436</v>
      </c>
      <c r="E25" s="128">
        <f>C25-B25</f>
        <v>2.5193093843122423</v>
      </c>
    </row>
    <row r="26" spans="1:18" s="124" customFormat="1" ht="24" customHeight="1" x14ac:dyDescent="0.25">
      <c r="A26" s="146"/>
    </row>
    <row r="27" spans="1:18" s="124" customFormat="1" ht="24" customHeight="1" x14ac:dyDescent="0.25">
      <c r="A27" s="146"/>
    </row>
    <row r="28" spans="1:18" s="124" customFormat="1" ht="24" customHeight="1" x14ac:dyDescent="0.2">
      <c r="A28" s="226" t="s">
        <v>158</v>
      </c>
      <c r="B28" s="226"/>
      <c r="C28" s="226"/>
      <c r="D28" s="226"/>
      <c r="E28" s="226"/>
      <c r="H28" s="127"/>
      <c r="J28" s="134" t="s">
        <v>163</v>
      </c>
      <c r="K28" s="149">
        <f>(C30-B30)*100</f>
        <v>286.85348837209295</v>
      </c>
      <c r="L28" s="150" t="s">
        <v>165</v>
      </c>
      <c r="M28" s="124">
        <f>B36/100</f>
        <v>97.51</v>
      </c>
      <c r="O28" s="123">
        <f>N33-M33</f>
        <v>-5.6917595304999216</v>
      </c>
      <c r="P28" s="151" t="s">
        <v>140</v>
      </c>
      <c r="R28" s="152">
        <f>D30</f>
        <v>10.75</v>
      </c>
    </row>
    <row r="29" spans="1:18" s="124" customFormat="1" ht="24" customHeight="1" x14ac:dyDescent="0.2">
      <c r="A29" s="131"/>
      <c r="B29" s="103" t="s">
        <v>59</v>
      </c>
      <c r="C29" s="103" t="s">
        <v>60</v>
      </c>
      <c r="D29" s="103" t="s">
        <v>61</v>
      </c>
      <c r="E29" s="103" t="s">
        <v>51</v>
      </c>
      <c r="H29" s="127"/>
      <c r="J29" s="134" t="s">
        <v>164</v>
      </c>
      <c r="K29" s="124">
        <f>B32</f>
        <v>0</v>
      </c>
      <c r="L29" s="123">
        <f>O28*M28</f>
        <v>-555.00347181904738</v>
      </c>
      <c r="N29" s="149">
        <f>K30-L29</f>
        <v>268.14998344695442</v>
      </c>
      <c r="O29" s="123">
        <f>N34-M34</f>
        <v>4.4997627949719146</v>
      </c>
      <c r="P29" s="151" t="s">
        <v>133</v>
      </c>
      <c r="R29" s="151">
        <f>B31</f>
        <v>11.8</v>
      </c>
    </row>
    <row r="30" spans="1:18" s="127" customFormat="1" ht="24" customHeight="1" x14ac:dyDescent="0.2">
      <c r="A30" s="115" t="s">
        <v>156</v>
      </c>
      <c r="B30" s="130">
        <f>B3</f>
        <v>9.5516511627906979</v>
      </c>
      <c r="C30" s="130">
        <f>C3</f>
        <v>12.420186046511628</v>
      </c>
      <c r="D30" s="130">
        <f>D3</f>
        <v>10.75</v>
      </c>
      <c r="E30" s="130">
        <f>E3</f>
        <v>2.8685348837209297</v>
      </c>
      <c r="J30" s="134" t="s">
        <v>146</v>
      </c>
      <c r="K30" s="149">
        <f>K29-K28</f>
        <v>-286.85348837209295</v>
      </c>
      <c r="L30" s="123">
        <f>O29-O28</f>
        <v>10.191522325471837</v>
      </c>
      <c r="N30" s="127">
        <f>N29/L30*100</f>
        <v>2631.1082376453496</v>
      </c>
      <c r="P30" s="151" t="s">
        <v>141</v>
      </c>
      <c r="R30" s="151">
        <f>(R28+R29)/2</f>
        <v>11.275</v>
      </c>
    </row>
    <row r="31" spans="1:18" s="127" customFormat="1" ht="24" customHeight="1" x14ac:dyDescent="0.25">
      <c r="A31" s="147" t="s">
        <v>159</v>
      </c>
      <c r="B31" s="107">
        <v>11.8</v>
      </c>
      <c r="C31" s="148"/>
      <c r="D31" s="148"/>
      <c r="E31" s="148"/>
      <c r="N31" s="127">
        <f>B36-N30</f>
        <v>7119.8917623546504</v>
      </c>
      <c r="P31" s="126"/>
    </row>
    <row r="32" spans="1:18" s="127" customFormat="1" ht="24" customHeight="1" x14ac:dyDescent="0.2">
      <c r="A32" s="115" t="s">
        <v>135</v>
      </c>
      <c r="B32" s="107">
        <v>0</v>
      </c>
      <c r="C32" s="108" t="s">
        <v>162</v>
      </c>
      <c r="D32" s="148"/>
      <c r="E32" s="148"/>
      <c r="K32" s="134" t="s">
        <v>24</v>
      </c>
      <c r="L32" s="134" t="s">
        <v>147</v>
      </c>
      <c r="M32" s="134" t="s">
        <v>148</v>
      </c>
      <c r="N32" s="134" t="s">
        <v>149</v>
      </c>
      <c r="O32" s="134" t="s">
        <v>166</v>
      </c>
      <c r="P32" s="126"/>
      <c r="Q32" s="151" t="s">
        <v>42</v>
      </c>
      <c r="R32" s="127">
        <f>(COMPUTATION!L42-COMPUTATION!K42)/((COMPUTATION!P30-COMPUTATION!O30)*100)*(R30-COMPUTATION!P30)*100+COMPUTATION!L42</f>
        <v>-0.68749999999998768</v>
      </c>
    </row>
    <row r="33" spans="1:18" s="127" customFormat="1" ht="24" customHeight="1" x14ac:dyDescent="0.2">
      <c r="A33" s="147" t="s">
        <v>160</v>
      </c>
      <c r="B33" s="107">
        <v>1</v>
      </c>
      <c r="C33" s="111">
        <f>N31</f>
        <v>7119.8917623546504</v>
      </c>
      <c r="D33" s="148"/>
      <c r="E33" s="148"/>
      <c r="K33" s="127">
        <f>VLOOKUP(L33,DATA!A22:C30,2)</f>
        <v>-86.47</v>
      </c>
      <c r="L33" s="127">
        <f>B33</f>
        <v>1</v>
      </c>
      <c r="M33" s="123">
        <f>(1/R34+(DATA!C13/2+R32)*((R32-K33)/(R33*DATA!C13)))*100</f>
        <v>3.9059958089651028</v>
      </c>
      <c r="N33" s="123">
        <f>(1/R34-(DATA!C13/2-R32)*(R32-K33)/(R33*DATA!C13))*100</f>
        <v>-1.7857637215348185</v>
      </c>
      <c r="P33" s="126"/>
      <c r="Q33" s="151" t="s">
        <v>139</v>
      </c>
      <c r="R33" s="127">
        <f>(COMPUTATION!O55-COMPUTATION!O54)/((COMPUTATION!P30-COMPUTATION!O30)*100)*(R30-COMPUTATION!O30)*100+COMPUTATION!O54</f>
        <v>1507.1350000000004</v>
      </c>
    </row>
    <row r="34" spans="1:18" s="127" customFormat="1" ht="24" customHeight="1" x14ac:dyDescent="0.2">
      <c r="A34" s="147" t="s">
        <v>160</v>
      </c>
      <c r="B34" s="107">
        <v>5</v>
      </c>
      <c r="C34" s="111">
        <f>N30</f>
        <v>2631.1082376453496</v>
      </c>
      <c r="D34" s="148"/>
      <c r="E34" s="148"/>
      <c r="K34" s="127">
        <f>VLOOKUP(L34,DATA!A23:C31,2)</f>
        <v>67.13</v>
      </c>
      <c r="L34" s="127">
        <f>B34</f>
        <v>5</v>
      </c>
      <c r="M34" s="123">
        <f>(1/R34+(DATA!C13/2+R32)*((R32-K34)/(R33*DATA!C13)))*100</f>
        <v>-1.1598861571876091</v>
      </c>
      <c r="N34" s="123">
        <f>(1/R34-(DATA!C13/2-R32)*(R32-K34)/(R33*DATA!C13))*100</f>
        <v>3.3398766377843052</v>
      </c>
      <c r="P34" s="126"/>
      <c r="Q34" s="151" t="s">
        <v>41</v>
      </c>
      <c r="R34" s="127">
        <f>(COMPUTATION!M55-COMPUTATION!M54)/((COMPUTATION!P30-COMPUTATION!O30)*100)*(R30-COMPUTATION!O30)*100+COMPUTATION!M54</f>
        <v>92.867500000000021</v>
      </c>
    </row>
    <row r="35" spans="1:18" s="127" customFormat="1" ht="24" customHeight="1" x14ac:dyDescent="0.25">
      <c r="A35" s="115" t="s">
        <v>138</v>
      </c>
      <c r="B35" s="155">
        <f>M40</f>
        <v>12.027499298904228</v>
      </c>
      <c r="C35" s="155">
        <f t="shared" ref="C35:D35" si="2">N40</f>
        <v>12.027499298904228</v>
      </c>
      <c r="D35" s="155">
        <f t="shared" si="2"/>
        <v>12.263417903555391</v>
      </c>
      <c r="E35" s="156">
        <f>C35-B35</f>
        <v>0</v>
      </c>
      <c r="M35" s="153">
        <f>B30</f>
        <v>9.5516511627906979</v>
      </c>
      <c r="N35" s="153">
        <f>C30</f>
        <v>12.420186046511628</v>
      </c>
      <c r="O35" s="153">
        <f>(M35+N35)/2</f>
        <v>10.985918604651163</v>
      </c>
      <c r="P35" s="126"/>
    </row>
    <row r="36" spans="1:18" s="127" customFormat="1" ht="24" customHeight="1" x14ac:dyDescent="0.25">
      <c r="A36" s="147" t="s">
        <v>161</v>
      </c>
      <c r="B36" s="103">
        <f>ROUND((B31-D30)*R34*100,0)</f>
        <v>9751</v>
      </c>
      <c r="C36" s="103"/>
      <c r="D36" s="103"/>
      <c r="E36" s="103"/>
      <c r="M36" s="127">
        <f>N30*M34/10000</f>
        <v>-0.3051786022907127</v>
      </c>
      <c r="N36" s="127">
        <f>N34*N30/10000</f>
        <v>0.87875769343935395</v>
      </c>
      <c r="P36" s="126"/>
    </row>
    <row r="37" spans="1:18" ht="22.5" customHeight="1" x14ac:dyDescent="0.25">
      <c r="M37" s="153">
        <f>SUM(M35:M36)</f>
        <v>9.2464725604999849</v>
      </c>
      <c r="N37" s="153">
        <f>SUM(N35:N36)</f>
        <v>13.298943739950982</v>
      </c>
      <c r="O37" s="153">
        <f>(M37+N37)/2</f>
        <v>11.272708150225483</v>
      </c>
    </row>
    <row r="38" spans="1:18" ht="22.5" customHeight="1" x14ac:dyDescent="0.25">
      <c r="M38" s="118">
        <f>N31*M33/10000</f>
        <v>2.7810267384042424</v>
      </c>
      <c r="N38" s="127">
        <f>N33*N31/10000</f>
        <v>-1.2714444410467538</v>
      </c>
    </row>
    <row r="39" spans="1:18" ht="22.5" customHeight="1" x14ac:dyDescent="0.25">
      <c r="M39" s="153">
        <f>SUM(M37:M38)</f>
        <v>12.027499298904228</v>
      </c>
      <c r="N39" s="153">
        <f>SUM(N37:N38)</f>
        <v>12.027499298904228</v>
      </c>
      <c r="O39" s="153">
        <f>(M39+N39)/2</f>
        <v>12.027499298904228</v>
      </c>
    </row>
    <row r="40" spans="1:18" ht="21.75" customHeight="1" x14ac:dyDescent="0.25">
      <c r="M40" s="154">
        <f>M39+(N39-M39)*DATA!G13/(DATA!C13-(DATA!G13+DATA!G15))</f>
        <v>12.027499298904228</v>
      </c>
      <c r="N40" s="154">
        <f>N39-(N39-M39)*DATA!G15/(DATA!C13-(DATA!G13+DATA!G15))</f>
        <v>12.027499298904228</v>
      </c>
      <c r="O40" s="154">
        <f>IF(A4="cm Hog", (O39-B4/100),(O39+B4/100))</f>
        <v>12.263417903555391</v>
      </c>
    </row>
  </sheetData>
  <mergeCells count="8">
    <mergeCell ref="A16:E16"/>
    <mergeCell ref="A28:E28"/>
    <mergeCell ref="K15:L15"/>
    <mergeCell ref="A1:E1"/>
    <mergeCell ref="O2:P2"/>
    <mergeCell ref="O3:P3"/>
    <mergeCell ref="O4:P4"/>
    <mergeCell ref="K14:L14"/>
  </mergeCells>
  <pageMargins left="0.58333333333333337" right="0.41666666666666669" top="0.49818840579710144" bottom="0.11775362318840579" header="0.3" footer="0.3"/>
  <pageSetup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zoomScaleNormal="100" workbookViewId="0">
      <selection activeCell="E40" sqref="E40"/>
    </sheetView>
  </sheetViews>
  <sheetFormatPr defaultRowHeight="14.25" x14ac:dyDescent="0.25"/>
  <cols>
    <col min="1" max="1" width="2.5703125" style="38" customWidth="1"/>
    <col min="2" max="4" width="13" style="38" customWidth="1"/>
    <col min="5" max="5" width="2.5703125" style="38" customWidth="1"/>
    <col min="6" max="8" width="13" style="38" customWidth="1"/>
    <col min="9" max="9" width="2.5703125" style="38" customWidth="1"/>
    <col min="10" max="12" width="13" style="38" customWidth="1"/>
    <col min="13" max="13" width="2.5703125" style="38" customWidth="1"/>
    <col min="14" max="16384" width="9.140625" style="38"/>
  </cols>
  <sheetData>
    <row r="1" ht="22.5" customHeight="1" x14ac:dyDescent="0.25"/>
    <row r="2" ht="22.5" customHeight="1" x14ac:dyDescent="0.25"/>
    <row r="3" ht="22.5" customHeight="1" x14ac:dyDescent="0.25"/>
    <row r="4" ht="22.5" customHeight="1" x14ac:dyDescent="0.25"/>
    <row r="5" ht="22.5" customHeight="1" x14ac:dyDescent="0.25"/>
  </sheetData>
  <pageMargins left="0.58333333333333337" right="0.41666666666666669" top="0.49818840579710144" bottom="0.11775362318840579" header="0.3" footer="0.3"/>
  <pageSetup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view="pageBreakPreview" zoomScale="145" zoomScaleNormal="100" zoomScaleSheetLayoutView="145" workbookViewId="0">
      <selection activeCell="H53" sqref="H53"/>
    </sheetView>
  </sheetViews>
  <sheetFormatPr defaultRowHeight="14.25" x14ac:dyDescent="0.25"/>
  <cols>
    <col min="1" max="3" width="9.140625" style="38"/>
    <col min="4" max="4" width="6.7109375" style="38" customWidth="1"/>
    <col min="5" max="5" width="9.140625" style="38"/>
    <col min="6" max="6" width="4.140625" style="38" customWidth="1"/>
    <col min="7" max="8" width="9.140625" style="38"/>
    <col min="9" max="9" width="3.42578125" style="56" customWidth="1"/>
    <col min="10" max="11" width="9.140625" style="38"/>
    <col min="12" max="12" width="4.42578125" style="56" customWidth="1"/>
    <col min="13" max="13" width="4.42578125" style="38" customWidth="1"/>
    <col min="14" max="16384" width="9.140625" style="38"/>
  </cols>
  <sheetData>
    <row r="1" spans="1:15" ht="14.25" customHeight="1" x14ac:dyDescent="0.25">
      <c r="A1" s="249" t="s">
        <v>86</v>
      </c>
      <c r="B1" s="249"/>
      <c r="C1" s="249"/>
      <c r="D1" s="249"/>
      <c r="E1" s="249"/>
      <c r="F1" s="249"/>
      <c r="G1" s="249"/>
      <c r="H1" s="249"/>
      <c r="I1" s="249"/>
      <c r="J1" s="249"/>
      <c r="K1" s="249"/>
      <c r="L1" s="249"/>
      <c r="M1" s="249"/>
      <c r="N1" s="63"/>
      <c r="O1" s="63"/>
    </row>
    <row r="2" spans="1:15" ht="14.25" customHeight="1" x14ac:dyDescent="0.25">
      <c r="A2" s="249"/>
      <c r="B2" s="249"/>
      <c r="C2" s="249"/>
      <c r="D2" s="249"/>
      <c r="E2" s="249"/>
      <c r="F2" s="249"/>
      <c r="G2" s="249"/>
      <c r="H2" s="249"/>
      <c r="I2" s="249"/>
      <c r="J2" s="249"/>
      <c r="K2" s="249"/>
      <c r="L2" s="249"/>
      <c r="M2" s="249"/>
      <c r="N2" s="63"/>
      <c r="O2" s="63"/>
    </row>
    <row r="3" spans="1:15" x14ac:dyDescent="0.25">
      <c r="A3" s="64"/>
      <c r="B3" s="64"/>
      <c r="C3" s="64"/>
      <c r="D3" s="64"/>
      <c r="E3" s="64"/>
      <c r="F3" s="64"/>
      <c r="G3" s="64"/>
      <c r="H3" s="64"/>
      <c r="I3" s="64"/>
      <c r="J3" s="64"/>
      <c r="K3" s="64"/>
      <c r="L3" s="64"/>
      <c r="M3" s="64"/>
    </row>
    <row r="4" spans="1:15" ht="16.5" customHeight="1" x14ac:dyDescent="0.25">
      <c r="A4" s="248" t="s">
        <v>0</v>
      </c>
      <c r="B4" s="248"/>
      <c r="C4" s="248"/>
      <c r="E4" s="250" t="str">
        <f>DATA!C2</f>
        <v>REIHOU</v>
      </c>
      <c r="F4" s="247"/>
      <c r="G4" s="247"/>
      <c r="H4" s="247"/>
      <c r="I4" s="64"/>
      <c r="J4" s="64"/>
      <c r="K4" s="64"/>
      <c r="L4" s="64"/>
      <c r="M4" s="64"/>
    </row>
    <row r="5" spans="1:15" ht="16.5" customHeight="1" x14ac:dyDescent="0.25">
      <c r="A5" s="248" t="s">
        <v>87</v>
      </c>
      <c r="B5" s="248"/>
      <c r="C5" s="248"/>
      <c r="E5" s="247">
        <f>DATA!C7</f>
        <v>60873</v>
      </c>
      <c r="F5" s="247"/>
      <c r="G5" s="247"/>
      <c r="H5" s="247"/>
      <c r="I5" s="64"/>
      <c r="J5" s="64"/>
      <c r="K5" s="64"/>
      <c r="L5" s="64"/>
      <c r="M5" s="64"/>
    </row>
    <row r="6" spans="1:15" ht="16.5" customHeight="1" x14ac:dyDescent="0.25">
      <c r="A6" s="248" t="s">
        <v>88</v>
      </c>
      <c r="B6" s="248"/>
      <c r="C6" s="248"/>
      <c r="E6" s="247" t="str">
        <f>DATA!C6</f>
        <v>IWAKI</v>
      </c>
      <c r="F6" s="247"/>
      <c r="G6" s="247"/>
      <c r="H6" s="247"/>
      <c r="I6" s="64"/>
      <c r="J6" s="64"/>
      <c r="K6" s="64"/>
      <c r="L6" s="64"/>
      <c r="M6" s="64"/>
    </row>
    <row r="7" spans="1:15" ht="16.5" customHeight="1" x14ac:dyDescent="0.25">
      <c r="A7" s="248" t="s">
        <v>89</v>
      </c>
      <c r="B7" s="248"/>
      <c r="C7" s="248"/>
      <c r="E7" s="247">
        <f>DATA!C9</f>
        <v>13.053000000000001</v>
      </c>
      <c r="F7" s="247"/>
      <c r="G7" s="247"/>
      <c r="H7" s="247"/>
      <c r="I7" s="64"/>
      <c r="J7" s="64"/>
      <c r="K7" s="64"/>
      <c r="L7" s="64"/>
      <c r="M7" s="64"/>
    </row>
    <row r="8" spans="1:15" ht="16.5" customHeight="1" x14ac:dyDescent="0.25">
      <c r="A8" s="248" t="s">
        <v>90</v>
      </c>
      <c r="B8" s="248"/>
      <c r="C8" s="248"/>
      <c r="E8" s="247" t="s">
        <v>98</v>
      </c>
      <c r="F8" s="247"/>
      <c r="G8" s="247"/>
      <c r="H8" s="247"/>
      <c r="I8" s="64"/>
      <c r="J8" s="64"/>
      <c r="K8" s="64"/>
      <c r="L8" s="64"/>
      <c r="M8" s="64"/>
    </row>
    <row r="9" spans="1:15" ht="16.5" customHeight="1" x14ac:dyDescent="0.25">
      <c r="A9" s="248" t="s">
        <v>91</v>
      </c>
      <c r="B9" s="248"/>
      <c r="C9" s="248"/>
      <c r="E9" s="247" t="s">
        <v>97</v>
      </c>
      <c r="F9" s="247"/>
      <c r="G9" s="247"/>
      <c r="H9" s="247"/>
      <c r="I9" s="64"/>
      <c r="J9" s="64"/>
      <c r="K9" s="64"/>
      <c r="L9" s="64"/>
      <c r="M9" s="64"/>
    </row>
    <row r="10" spans="1:15" ht="16.5" customHeight="1" x14ac:dyDescent="0.25">
      <c r="A10" s="248" t="s">
        <v>92</v>
      </c>
      <c r="B10" s="248"/>
      <c r="C10" s="248"/>
      <c r="E10" s="247" t="s">
        <v>96</v>
      </c>
      <c r="F10" s="247"/>
      <c r="G10" s="247"/>
      <c r="H10" s="247"/>
      <c r="I10" s="64"/>
      <c r="J10" s="64"/>
      <c r="K10" s="64"/>
      <c r="L10" s="64"/>
      <c r="M10" s="64"/>
    </row>
    <row r="11" spans="1:15" ht="16.5" customHeight="1" x14ac:dyDescent="0.25">
      <c r="A11" s="248" t="s">
        <v>57</v>
      </c>
      <c r="B11" s="248"/>
      <c r="C11" s="248"/>
      <c r="E11" s="247" t="s">
        <v>99</v>
      </c>
      <c r="F11" s="247"/>
      <c r="G11" s="247"/>
      <c r="H11" s="247"/>
      <c r="I11" s="64"/>
      <c r="J11" s="64"/>
      <c r="K11" s="64"/>
      <c r="L11" s="64"/>
      <c r="M11" s="64"/>
    </row>
    <row r="12" spans="1:15" s="56" customFormat="1" ht="6.75" customHeight="1" x14ac:dyDescent="0.25">
      <c r="A12" s="236"/>
      <c r="B12" s="236"/>
      <c r="C12" s="236"/>
      <c r="D12" s="71"/>
      <c r="E12" s="234"/>
      <c r="F12" s="234"/>
      <c r="G12" s="234"/>
      <c r="H12" s="234"/>
      <c r="J12" s="234"/>
      <c r="K12" s="234"/>
      <c r="L12" s="234"/>
      <c r="M12" s="234"/>
    </row>
    <row r="13" spans="1:15" ht="16.5" customHeight="1" x14ac:dyDescent="0.25">
      <c r="A13" s="238" t="s">
        <v>93</v>
      </c>
      <c r="B13" s="238"/>
      <c r="C13" s="238"/>
      <c r="E13" s="66">
        <v>1030</v>
      </c>
      <c r="F13" s="65" t="s">
        <v>95</v>
      </c>
      <c r="G13" s="66">
        <v>0.14583333333333334</v>
      </c>
      <c r="H13" s="246">
        <v>45365</v>
      </c>
      <c r="I13" s="246"/>
      <c r="J13" s="246"/>
      <c r="K13" s="246"/>
      <c r="L13" s="69"/>
    </row>
    <row r="14" spans="1:15" ht="16.5" customHeight="1" x14ac:dyDescent="0.25">
      <c r="A14" s="238" t="s">
        <v>94</v>
      </c>
      <c r="B14" s="238"/>
      <c r="C14" s="238"/>
      <c r="E14" s="66">
        <v>4.1666666666666664E-2</v>
      </c>
      <c r="F14" s="65" t="s">
        <v>95</v>
      </c>
      <c r="G14" s="66">
        <v>0.14583333333333334</v>
      </c>
      <c r="H14" s="246">
        <v>45366</v>
      </c>
      <c r="I14" s="246"/>
      <c r="J14" s="246"/>
      <c r="K14" s="246"/>
      <c r="L14" s="69"/>
    </row>
    <row r="15" spans="1:15" s="56" customFormat="1" ht="6.75" customHeight="1" x14ac:dyDescent="0.25">
      <c r="A15" s="236"/>
      <c r="B15" s="236"/>
      <c r="C15" s="236"/>
      <c r="D15" s="71"/>
      <c r="E15" s="234"/>
      <c r="F15" s="234"/>
      <c r="G15" s="234"/>
      <c r="H15" s="234"/>
      <c r="J15" s="234"/>
      <c r="K15" s="234"/>
      <c r="L15" s="234"/>
      <c r="M15" s="234"/>
    </row>
    <row r="16" spans="1:15" ht="16.5" customHeight="1" x14ac:dyDescent="0.25">
      <c r="A16" s="238" t="s">
        <v>100</v>
      </c>
      <c r="B16" s="238"/>
      <c r="C16" s="238"/>
      <c r="E16" s="66">
        <v>1030</v>
      </c>
      <c r="F16" s="65" t="s">
        <v>95</v>
      </c>
      <c r="G16" s="66">
        <v>0.14583333333333334</v>
      </c>
      <c r="H16" s="246">
        <v>45365</v>
      </c>
      <c r="I16" s="246"/>
      <c r="J16" s="246"/>
      <c r="K16" s="246"/>
      <c r="L16" s="69"/>
    </row>
    <row r="17" spans="1:14" ht="16.5" customHeight="1" x14ac:dyDescent="0.25">
      <c r="A17" s="238" t="s">
        <v>101</v>
      </c>
      <c r="B17" s="238"/>
      <c r="C17" s="238"/>
      <c r="E17" s="66">
        <v>4.1666666666666664E-2</v>
      </c>
      <c r="F17" s="65" t="s">
        <v>95</v>
      </c>
      <c r="G17" s="66">
        <v>0.14583333333333334</v>
      </c>
      <c r="H17" s="246">
        <v>45366</v>
      </c>
      <c r="I17" s="246"/>
      <c r="J17" s="246"/>
      <c r="K17" s="246"/>
      <c r="L17" s="69"/>
    </row>
    <row r="18" spans="1:14" s="56" customFormat="1" ht="6.75" customHeight="1" x14ac:dyDescent="0.25">
      <c r="A18" s="236"/>
      <c r="B18" s="236"/>
      <c r="C18" s="236"/>
      <c r="D18" s="71"/>
      <c r="E18" s="234"/>
      <c r="F18" s="234"/>
      <c r="G18" s="234"/>
      <c r="H18" s="234"/>
      <c r="J18" s="234"/>
      <c r="K18" s="234"/>
      <c r="L18" s="234"/>
      <c r="M18" s="234"/>
    </row>
    <row r="19" spans="1:14" ht="16.5" customHeight="1" x14ac:dyDescent="0.25">
      <c r="A19" s="245" t="s">
        <v>109</v>
      </c>
      <c r="B19" s="245"/>
      <c r="C19" s="245"/>
      <c r="D19" s="71"/>
      <c r="E19" s="241" t="s">
        <v>45</v>
      </c>
      <c r="F19" s="241"/>
      <c r="G19" s="241"/>
      <c r="H19" s="241"/>
      <c r="I19" s="70"/>
      <c r="J19" s="241" t="s">
        <v>56</v>
      </c>
      <c r="K19" s="241"/>
      <c r="L19" s="241"/>
      <c r="M19" s="241"/>
      <c r="N19" s="56"/>
    </row>
    <row r="20" spans="1:14" ht="16.5" customHeight="1" x14ac:dyDescent="0.25">
      <c r="A20" s="238" t="s">
        <v>102</v>
      </c>
      <c r="B20" s="238"/>
      <c r="C20" s="238"/>
      <c r="D20" s="71"/>
      <c r="E20" s="242">
        <f>COMPUTATION!B19</f>
        <v>7.7912526997840175</v>
      </c>
      <c r="F20" s="242"/>
      <c r="G20" s="242"/>
      <c r="H20" s="242"/>
      <c r="J20" s="242">
        <f>COMPUTATION!U19</f>
        <v>11.668325581395349</v>
      </c>
      <c r="K20" s="242"/>
      <c r="L20" s="242"/>
      <c r="M20" s="242"/>
      <c r="N20" s="68"/>
    </row>
    <row r="21" spans="1:14" ht="16.5" customHeight="1" x14ac:dyDescent="0.25">
      <c r="A21" s="238" t="s">
        <v>103</v>
      </c>
      <c r="B21" s="238"/>
      <c r="C21" s="238"/>
      <c r="D21" s="71"/>
      <c r="E21" s="242">
        <f>COMPUTATION!B21</f>
        <v>9.1587473002159836</v>
      </c>
      <c r="F21" s="242"/>
      <c r="G21" s="242"/>
      <c r="H21" s="242"/>
      <c r="J21" s="242">
        <f>COMPUTATION!U21</f>
        <v>11.930093023255814</v>
      </c>
      <c r="K21" s="242"/>
      <c r="L21" s="242"/>
      <c r="M21" s="242"/>
      <c r="N21" s="68"/>
    </row>
    <row r="22" spans="1:14" ht="16.5" customHeight="1" x14ac:dyDescent="0.25">
      <c r="A22" s="238" t="s">
        <v>104</v>
      </c>
      <c r="B22" s="238"/>
      <c r="C22" s="238"/>
      <c r="D22" s="71"/>
      <c r="E22" s="242">
        <f>COMPUTATION!E26</f>
        <v>8.4750000000000014</v>
      </c>
      <c r="F22" s="242"/>
      <c r="G22" s="242"/>
      <c r="H22" s="242"/>
      <c r="J22" s="242">
        <f>COMPUTATION!X26</f>
        <v>11.799209302325583</v>
      </c>
      <c r="K22" s="242"/>
      <c r="L22" s="242"/>
      <c r="M22" s="242"/>
      <c r="N22" s="68"/>
    </row>
    <row r="23" spans="1:14" ht="16.5" customHeight="1" x14ac:dyDescent="0.25">
      <c r="A23" s="238" t="s">
        <v>105</v>
      </c>
      <c r="B23" s="238"/>
      <c r="C23" s="238"/>
      <c r="D23" s="71"/>
      <c r="E23" s="242">
        <f>COMPUTATION!E5</f>
        <v>8.4699999999999989</v>
      </c>
      <c r="F23" s="242"/>
      <c r="G23" s="242"/>
      <c r="H23" s="242"/>
      <c r="J23" s="242">
        <f>COMPUTATION!X5</f>
        <v>11.844999999999999</v>
      </c>
      <c r="K23" s="242"/>
      <c r="L23" s="242"/>
      <c r="M23" s="242"/>
      <c r="N23" s="68"/>
    </row>
    <row r="24" spans="1:14" ht="16.5" customHeight="1" x14ac:dyDescent="0.25">
      <c r="A24" s="238" t="s">
        <v>106</v>
      </c>
      <c r="B24" s="238"/>
      <c r="C24" s="238"/>
      <c r="D24" s="71"/>
      <c r="E24" s="242">
        <f>COMPUTATION!E28</f>
        <v>8.4725000000000001</v>
      </c>
      <c r="F24" s="242"/>
      <c r="G24" s="242"/>
      <c r="H24" s="242"/>
      <c r="J24" s="242">
        <f>COMPUTATION!X28</f>
        <v>11.822104651162791</v>
      </c>
      <c r="K24" s="242"/>
      <c r="L24" s="242"/>
      <c r="M24" s="242"/>
      <c r="N24" s="68"/>
    </row>
    <row r="25" spans="1:14" ht="16.5" customHeight="1" x14ac:dyDescent="0.25">
      <c r="A25" s="238" t="s">
        <v>71</v>
      </c>
      <c r="B25" s="238"/>
      <c r="C25" s="238"/>
      <c r="D25" s="71"/>
      <c r="E25" s="242">
        <f>COMPUTATION!E30</f>
        <v>8.4712499999999995</v>
      </c>
      <c r="F25" s="242"/>
      <c r="G25" s="242"/>
      <c r="H25" s="242"/>
      <c r="J25" s="242">
        <f>COMPUTATION!X30</f>
        <v>11.833552325581394</v>
      </c>
      <c r="K25" s="242"/>
      <c r="L25" s="242"/>
      <c r="M25" s="242"/>
      <c r="N25" s="68"/>
    </row>
    <row r="26" spans="1:14" ht="8.25" customHeight="1" x14ac:dyDescent="0.25">
      <c r="A26" s="236"/>
      <c r="B26" s="236"/>
      <c r="C26" s="236"/>
      <c r="D26" s="71"/>
      <c r="E26" s="234"/>
      <c r="F26" s="234"/>
      <c r="G26" s="234"/>
      <c r="H26" s="234"/>
      <c r="J26" s="234"/>
      <c r="K26" s="234"/>
      <c r="L26" s="234"/>
      <c r="M26" s="234"/>
    </row>
    <row r="27" spans="1:14" ht="16.5" customHeight="1" x14ac:dyDescent="0.25">
      <c r="A27" s="238" t="s">
        <v>107</v>
      </c>
      <c r="B27" s="238"/>
      <c r="C27" s="238"/>
      <c r="D27" s="71"/>
      <c r="E27" s="243">
        <f>'DRAFT SURVEY'!C15</f>
        <v>1.02</v>
      </c>
      <c r="F27" s="243"/>
      <c r="G27" s="243"/>
      <c r="H27" s="243"/>
      <c r="J27" s="243">
        <f>'DRAFT SURVEY'!K15</f>
        <v>1.0195000000000001</v>
      </c>
      <c r="K27" s="243"/>
      <c r="L27" s="243"/>
      <c r="M27" s="243"/>
    </row>
    <row r="28" spans="1:14" ht="6.75" customHeight="1" x14ac:dyDescent="0.25">
      <c r="A28" s="236"/>
      <c r="B28" s="236"/>
      <c r="C28" s="236"/>
      <c r="D28" s="71"/>
      <c r="E28" s="234"/>
      <c r="F28" s="234"/>
      <c r="G28" s="234"/>
      <c r="H28" s="234"/>
      <c r="J28" s="234"/>
      <c r="K28" s="234"/>
      <c r="L28" s="234"/>
      <c r="M28" s="234"/>
    </row>
    <row r="29" spans="1:14" ht="16.5" customHeight="1" x14ac:dyDescent="0.25">
      <c r="A29" s="245" t="s">
        <v>108</v>
      </c>
      <c r="B29" s="245"/>
      <c r="C29" s="245"/>
      <c r="D29" s="71"/>
      <c r="E29" s="234"/>
      <c r="F29" s="234"/>
      <c r="G29" s="234"/>
      <c r="H29" s="234"/>
      <c r="J29" s="234"/>
      <c r="K29" s="234"/>
      <c r="L29" s="234"/>
      <c r="M29" s="234"/>
    </row>
    <row r="30" spans="1:14" ht="16.5" customHeight="1" x14ac:dyDescent="0.25">
      <c r="A30" s="238" t="s">
        <v>110</v>
      </c>
      <c r="B30" s="238"/>
      <c r="C30" s="238"/>
      <c r="D30" s="71"/>
      <c r="E30" s="237">
        <f>COMPUTATION!E33</f>
        <v>71401.974999999977</v>
      </c>
      <c r="F30" s="237"/>
      <c r="G30" s="237"/>
      <c r="H30" s="237"/>
      <c r="J30" s="237">
        <f>COMPUTATION!X33</f>
        <v>102178.55305232566</v>
      </c>
      <c r="K30" s="237"/>
      <c r="L30" s="237"/>
      <c r="M30" s="237"/>
    </row>
    <row r="31" spans="1:14" ht="16.5" customHeight="1" x14ac:dyDescent="0.25">
      <c r="A31" s="238" t="s">
        <v>111</v>
      </c>
      <c r="B31" s="238"/>
      <c r="C31" s="238"/>
      <c r="D31" s="71"/>
      <c r="E31" s="237">
        <f>COMPUTATION!E59</f>
        <v>71168.330432153001</v>
      </c>
      <c r="F31" s="237"/>
      <c r="G31" s="237"/>
      <c r="H31" s="237"/>
      <c r="J31" s="237">
        <f>COMPUTATION!X59</f>
        <v>102181.11156208304</v>
      </c>
      <c r="K31" s="237"/>
      <c r="L31" s="237"/>
      <c r="M31" s="237"/>
    </row>
    <row r="32" spans="1:14" ht="16.5" customHeight="1" x14ac:dyDescent="0.25">
      <c r="A32" s="244" t="s">
        <v>112</v>
      </c>
      <c r="B32" s="244"/>
      <c r="C32" s="244"/>
      <c r="D32" s="71"/>
      <c r="E32" s="237">
        <f>COMPUTATION!E62</f>
        <v>70821.16784467909</v>
      </c>
      <c r="F32" s="237"/>
      <c r="G32" s="237"/>
      <c r="H32" s="237"/>
      <c r="J32" s="237">
        <f>COMPUTATION!X62</f>
        <v>101632.82267077432</v>
      </c>
      <c r="K32" s="237"/>
      <c r="L32" s="237"/>
      <c r="M32" s="237"/>
    </row>
    <row r="33" spans="1:13" s="56" customFormat="1" ht="6.75" customHeight="1" x14ac:dyDescent="0.25">
      <c r="A33" s="236"/>
      <c r="B33" s="236"/>
      <c r="C33" s="236"/>
      <c r="D33" s="71"/>
      <c r="E33" s="234"/>
      <c r="F33" s="234"/>
      <c r="G33" s="234"/>
      <c r="H33" s="234"/>
      <c r="J33" s="234"/>
      <c r="K33" s="234"/>
      <c r="L33" s="234"/>
      <c r="M33" s="234"/>
    </row>
    <row r="34" spans="1:13" ht="16.5" customHeight="1" x14ac:dyDescent="0.25">
      <c r="A34" s="245" t="s">
        <v>113</v>
      </c>
      <c r="B34" s="245"/>
      <c r="C34" s="245"/>
      <c r="D34" s="71"/>
      <c r="E34" s="237"/>
      <c r="F34" s="237"/>
      <c r="G34" s="237"/>
      <c r="H34" s="237"/>
      <c r="J34" s="237"/>
      <c r="K34" s="237"/>
      <c r="L34" s="237"/>
      <c r="M34" s="237"/>
    </row>
    <row r="35" spans="1:13" ht="16.5" customHeight="1" x14ac:dyDescent="0.25">
      <c r="A35" s="238" t="s">
        <v>114</v>
      </c>
      <c r="B35" s="238"/>
      <c r="C35" s="238"/>
      <c r="D35" s="71"/>
      <c r="E35" s="237">
        <f>'DRAFT SURVEY'!C17+'DRAFT SURVEY'!C18</f>
        <v>906.61999999999989</v>
      </c>
      <c r="F35" s="237"/>
      <c r="G35" s="237"/>
      <c r="H35" s="237"/>
      <c r="J35" s="237">
        <f>'DRAFT SURVEY'!K17+'DRAFT SURVEY'!K18</f>
        <v>942.2</v>
      </c>
      <c r="K35" s="237"/>
      <c r="L35" s="237"/>
      <c r="M35" s="237"/>
    </row>
    <row r="36" spans="1:13" ht="16.5" customHeight="1" x14ac:dyDescent="0.25">
      <c r="A36" s="238" t="s">
        <v>115</v>
      </c>
      <c r="B36" s="238"/>
      <c r="C36" s="238"/>
      <c r="D36" s="71"/>
      <c r="E36" s="237">
        <f>'DRAFT SURVEY'!C20</f>
        <v>295</v>
      </c>
      <c r="F36" s="237"/>
      <c r="G36" s="237"/>
      <c r="H36" s="237"/>
      <c r="J36" s="237">
        <f>'DRAFT SURVEY'!K20</f>
        <v>74</v>
      </c>
      <c r="K36" s="237"/>
      <c r="L36" s="237"/>
      <c r="M36" s="237"/>
    </row>
    <row r="37" spans="1:13" ht="16.5" customHeight="1" x14ac:dyDescent="0.25">
      <c r="A37" s="238" t="s">
        <v>116</v>
      </c>
      <c r="B37" s="238"/>
      <c r="C37" s="238"/>
      <c r="D37" s="71"/>
      <c r="E37" s="237">
        <f>'DRAFT SURVEY'!C19</f>
        <v>52763.67</v>
      </c>
      <c r="F37" s="237"/>
      <c r="G37" s="237"/>
      <c r="H37" s="237"/>
      <c r="J37" s="237">
        <f>'DRAFT SURVEY'!K19</f>
        <v>159</v>
      </c>
      <c r="K37" s="237"/>
      <c r="L37" s="237"/>
      <c r="M37" s="237"/>
    </row>
    <row r="38" spans="1:13" ht="16.5" customHeight="1" x14ac:dyDescent="0.25">
      <c r="A38" s="238" t="s">
        <v>50</v>
      </c>
      <c r="B38" s="238"/>
      <c r="C38" s="238"/>
      <c r="D38" s="71"/>
      <c r="E38" s="237">
        <f>'DRAFT SURVEY'!C21</f>
        <v>0</v>
      </c>
      <c r="F38" s="237"/>
      <c r="G38" s="237"/>
      <c r="H38" s="237"/>
      <c r="J38" s="237">
        <f>COMPUTATION!J41</f>
        <v>0</v>
      </c>
      <c r="K38" s="237"/>
      <c r="L38" s="237"/>
      <c r="M38" s="237"/>
    </row>
    <row r="39" spans="1:13" ht="16.5" customHeight="1" x14ac:dyDescent="0.25">
      <c r="A39" s="238" t="s">
        <v>117</v>
      </c>
      <c r="B39" s="238"/>
      <c r="C39" s="238"/>
      <c r="D39" s="71"/>
      <c r="E39" s="237">
        <f>E35+E36+E37</f>
        <v>53965.29</v>
      </c>
      <c r="F39" s="237"/>
      <c r="G39" s="237"/>
      <c r="H39" s="237"/>
      <c r="J39" s="237">
        <f>J35+J36+J37</f>
        <v>1175.2</v>
      </c>
      <c r="K39" s="237"/>
      <c r="L39" s="237"/>
      <c r="M39" s="237"/>
    </row>
    <row r="40" spans="1:13" s="56" customFormat="1" ht="6.75" customHeight="1" x14ac:dyDescent="0.25">
      <c r="A40" s="236"/>
      <c r="B40" s="236"/>
      <c r="C40" s="236"/>
      <c r="D40" s="71"/>
      <c r="E40" s="234"/>
      <c r="F40" s="234"/>
      <c r="G40" s="234"/>
      <c r="H40" s="234"/>
      <c r="J40" s="234"/>
      <c r="K40" s="234"/>
      <c r="L40" s="234"/>
      <c r="M40" s="234"/>
    </row>
    <row r="41" spans="1:13" ht="16.5" customHeight="1" x14ac:dyDescent="0.25">
      <c r="A41" s="238" t="s">
        <v>118</v>
      </c>
      <c r="B41" s="238"/>
      <c r="C41" s="238"/>
      <c r="D41" s="238"/>
      <c r="E41" s="237">
        <f>E32</f>
        <v>70821.16784467909</v>
      </c>
      <c r="F41" s="237"/>
      <c r="G41" s="237"/>
      <c r="H41" s="237"/>
      <c r="J41" s="237">
        <f>J32</f>
        <v>101632.82267077432</v>
      </c>
      <c r="K41" s="234"/>
      <c r="L41" s="234"/>
      <c r="M41" s="234"/>
    </row>
    <row r="42" spans="1:13" ht="16.5" customHeight="1" x14ac:dyDescent="0.25">
      <c r="A42" s="238" t="s">
        <v>119</v>
      </c>
      <c r="B42" s="238"/>
      <c r="C42" s="238"/>
      <c r="D42" s="71"/>
      <c r="E42" s="237">
        <f>DATA!C12</f>
        <v>16576</v>
      </c>
      <c r="F42" s="237"/>
      <c r="G42" s="237"/>
      <c r="H42" s="237"/>
      <c r="J42" s="237">
        <f>DATA!C12</f>
        <v>16576</v>
      </c>
      <c r="K42" s="234"/>
      <c r="L42" s="234"/>
      <c r="M42" s="234"/>
    </row>
    <row r="43" spans="1:13" ht="15" x14ac:dyDescent="0.25">
      <c r="A43" s="238" t="s">
        <v>120</v>
      </c>
      <c r="B43" s="238"/>
      <c r="C43" s="238"/>
      <c r="D43" s="71"/>
      <c r="E43" s="237">
        <f>E41-E42</f>
        <v>54245.16784467909</v>
      </c>
      <c r="F43" s="237"/>
      <c r="G43" s="237"/>
      <c r="H43" s="237"/>
      <c r="J43" s="237">
        <f>J41-J42</f>
        <v>85056.822670774316</v>
      </c>
      <c r="K43" s="234"/>
      <c r="L43" s="234"/>
      <c r="M43" s="234"/>
    </row>
    <row r="44" spans="1:13" ht="15" x14ac:dyDescent="0.25">
      <c r="A44" s="238" t="s">
        <v>117</v>
      </c>
      <c r="B44" s="238"/>
      <c r="C44" s="238"/>
      <c r="D44" s="71"/>
      <c r="E44" s="237">
        <f>E39</f>
        <v>53965.29</v>
      </c>
      <c r="F44" s="237"/>
      <c r="G44" s="237"/>
      <c r="H44" s="237"/>
      <c r="J44" s="237">
        <f>J39</f>
        <v>1175.2</v>
      </c>
      <c r="K44" s="234"/>
      <c r="L44" s="234"/>
      <c r="M44" s="234"/>
    </row>
    <row r="45" spans="1:13" ht="15" x14ac:dyDescent="0.25">
      <c r="A45" s="238" t="s">
        <v>52</v>
      </c>
      <c r="B45" s="238"/>
      <c r="C45" s="238"/>
      <c r="D45" s="71"/>
      <c r="E45" s="237">
        <f>E43-E44</f>
        <v>279.87784467908932</v>
      </c>
      <c r="F45" s="237"/>
      <c r="G45" s="237"/>
      <c r="H45" s="237"/>
      <c r="J45" s="237">
        <f>E45</f>
        <v>279.87784467908932</v>
      </c>
      <c r="K45" s="234"/>
      <c r="L45" s="234"/>
      <c r="M45" s="234"/>
    </row>
    <row r="46" spans="1:13" ht="15" x14ac:dyDescent="0.25">
      <c r="A46" s="238" t="s">
        <v>57</v>
      </c>
      <c r="B46" s="238"/>
      <c r="C46" s="238"/>
      <c r="D46" s="71"/>
      <c r="E46" s="237"/>
      <c r="F46" s="237"/>
      <c r="G46" s="237"/>
      <c r="H46" s="237"/>
      <c r="J46" s="239">
        <f>J43-J44-J45</f>
        <v>83601.744826095237</v>
      </c>
      <c r="K46" s="240"/>
      <c r="L46" s="240"/>
      <c r="M46" s="240"/>
    </row>
    <row r="47" spans="1:13" s="56" customFormat="1" ht="6.75" customHeight="1" x14ac:dyDescent="0.25">
      <c r="A47" s="236"/>
      <c r="B47" s="236"/>
      <c r="C47" s="236"/>
      <c r="D47" s="71"/>
      <c r="E47" s="234"/>
      <c r="F47" s="234"/>
      <c r="G47" s="234"/>
      <c r="H47" s="234"/>
      <c r="J47" s="234"/>
      <c r="K47" s="234"/>
      <c r="L47" s="234"/>
      <c r="M47" s="234"/>
    </row>
    <row r="48" spans="1:13" ht="14.25" customHeight="1" x14ac:dyDescent="0.25">
      <c r="A48" s="235" t="s">
        <v>121</v>
      </c>
      <c r="B48" s="235"/>
      <c r="C48" s="235"/>
      <c r="D48" s="235"/>
      <c r="E48" s="235"/>
      <c r="F48" s="235"/>
      <c r="G48" s="235"/>
      <c r="H48" s="235"/>
      <c r="I48" s="235"/>
      <c r="J48" s="235"/>
      <c r="K48" s="235"/>
      <c r="L48" s="72"/>
      <c r="M48" s="72"/>
    </row>
    <row r="49" spans="1:13" x14ac:dyDescent="0.25">
      <c r="A49" s="235"/>
      <c r="B49" s="235"/>
      <c r="C49" s="235"/>
      <c r="D49" s="235"/>
      <c r="E49" s="235"/>
      <c r="F49" s="235"/>
      <c r="G49" s="235"/>
      <c r="H49" s="235"/>
      <c r="I49" s="235"/>
      <c r="J49" s="235"/>
      <c r="K49" s="235"/>
      <c r="L49" s="72"/>
      <c r="M49" s="72"/>
    </row>
    <row r="50" spans="1:13" s="56" customFormat="1" ht="6.75" customHeight="1" x14ac:dyDescent="0.25">
      <c r="A50" s="236"/>
      <c r="B50" s="236"/>
      <c r="C50" s="236"/>
      <c r="D50" s="71"/>
      <c r="E50" s="234"/>
      <c r="F50" s="234"/>
      <c r="G50" s="234"/>
      <c r="H50" s="234"/>
      <c r="J50" s="234"/>
      <c r="K50" s="234"/>
      <c r="L50" s="234"/>
      <c r="M50" s="234"/>
    </row>
    <row r="51" spans="1:13" ht="15" x14ac:dyDescent="0.25">
      <c r="A51" s="67" t="s">
        <v>122</v>
      </c>
      <c r="B51" s="67"/>
      <c r="C51" s="231">
        <f>J46</f>
        <v>83601.744826095237</v>
      </c>
      <c r="D51" s="231"/>
      <c r="E51" s="231"/>
      <c r="F51" s="45"/>
      <c r="G51" s="230" t="s">
        <v>123</v>
      </c>
      <c r="H51" s="230"/>
      <c r="I51" s="232">
        <f>C51*0.984207</f>
        <v>82281.422470056714</v>
      </c>
      <c r="J51" s="232"/>
      <c r="K51" s="232"/>
      <c r="L51" s="232"/>
      <c r="M51" s="73"/>
    </row>
    <row r="54" spans="1:13" x14ac:dyDescent="0.25">
      <c r="H54" s="233" t="s">
        <v>124</v>
      </c>
      <c r="I54" s="233"/>
      <c r="J54" s="233"/>
      <c r="K54" s="233"/>
      <c r="L54" s="233"/>
    </row>
  </sheetData>
  <mergeCells count="129">
    <mergeCell ref="A1:M2"/>
    <mergeCell ref="E4:H4"/>
    <mergeCell ref="E5:H5"/>
    <mergeCell ref="E6:H6"/>
    <mergeCell ref="E7:H7"/>
    <mergeCell ref="E8:H8"/>
    <mergeCell ref="E9:H9"/>
    <mergeCell ref="E10:H10"/>
    <mergeCell ref="A8:C8"/>
    <mergeCell ref="A9:C9"/>
    <mergeCell ref="A10:C10"/>
    <mergeCell ref="A4:C4"/>
    <mergeCell ref="A5:C5"/>
    <mergeCell ref="A6:C6"/>
    <mergeCell ref="A7:C7"/>
    <mergeCell ref="A16:C16"/>
    <mergeCell ref="A17:C17"/>
    <mergeCell ref="H16:K16"/>
    <mergeCell ref="H17:K17"/>
    <mergeCell ref="A19:C19"/>
    <mergeCell ref="E11:H11"/>
    <mergeCell ref="H13:K13"/>
    <mergeCell ref="H14:K14"/>
    <mergeCell ref="A14:C14"/>
    <mergeCell ref="A11:C11"/>
    <mergeCell ref="A12:C12"/>
    <mergeCell ref="A13:C13"/>
    <mergeCell ref="A15:C15"/>
    <mergeCell ref="E15:H15"/>
    <mergeCell ref="J15:M15"/>
    <mergeCell ref="E12:H12"/>
    <mergeCell ref="J12:M12"/>
    <mergeCell ref="A18:C18"/>
    <mergeCell ref="E18:H18"/>
    <mergeCell ref="J18:M18"/>
    <mergeCell ref="A27:C27"/>
    <mergeCell ref="A28:C28"/>
    <mergeCell ref="A29:C29"/>
    <mergeCell ref="A30:C30"/>
    <mergeCell ref="A31:C31"/>
    <mergeCell ref="A20:C20"/>
    <mergeCell ref="A21:C21"/>
    <mergeCell ref="A22:C22"/>
    <mergeCell ref="A23:C23"/>
    <mergeCell ref="A24:C24"/>
    <mergeCell ref="A25:C25"/>
    <mergeCell ref="E38:H38"/>
    <mergeCell ref="J19:M19"/>
    <mergeCell ref="E28:H28"/>
    <mergeCell ref="E29:H29"/>
    <mergeCell ref="E30:H30"/>
    <mergeCell ref="E31:H31"/>
    <mergeCell ref="E32:H32"/>
    <mergeCell ref="E33:H33"/>
    <mergeCell ref="A38:C38"/>
    <mergeCell ref="E20:H20"/>
    <mergeCell ref="E21:H21"/>
    <mergeCell ref="E22:H22"/>
    <mergeCell ref="E23:H23"/>
    <mergeCell ref="E24:H24"/>
    <mergeCell ref="E25:H25"/>
    <mergeCell ref="E26:H26"/>
    <mergeCell ref="E27:H27"/>
    <mergeCell ref="A32:C32"/>
    <mergeCell ref="A33:C33"/>
    <mergeCell ref="A34:C34"/>
    <mergeCell ref="A35:C35"/>
    <mergeCell ref="A36:C36"/>
    <mergeCell ref="A37:C37"/>
    <mergeCell ref="A26:C26"/>
    <mergeCell ref="J36:M36"/>
    <mergeCell ref="J37:M37"/>
    <mergeCell ref="J38:M38"/>
    <mergeCell ref="E19:H19"/>
    <mergeCell ref="J20:M20"/>
    <mergeCell ref="J21:M21"/>
    <mergeCell ref="J22:M22"/>
    <mergeCell ref="J23:M23"/>
    <mergeCell ref="J24:M24"/>
    <mergeCell ref="J30:M30"/>
    <mergeCell ref="J31:M31"/>
    <mergeCell ref="J32:M32"/>
    <mergeCell ref="J33:M33"/>
    <mergeCell ref="J34:M34"/>
    <mergeCell ref="J35:M35"/>
    <mergeCell ref="J25:M25"/>
    <mergeCell ref="J26:M26"/>
    <mergeCell ref="J27:M27"/>
    <mergeCell ref="J28:M28"/>
    <mergeCell ref="J29:M29"/>
    <mergeCell ref="E34:H34"/>
    <mergeCell ref="E35:H35"/>
    <mergeCell ref="E36:H36"/>
    <mergeCell ref="E37:H37"/>
    <mergeCell ref="E43:H43"/>
    <mergeCell ref="E44:H44"/>
    <mergeCell ref="E45:H45"/>
    <mergeCell ref="E46:H46"/>
    <mergeCell ref="J39:M39"/>
    <mergeCell ref="J40:M40"/>
    <mergeCell ref="J41:M41"/>
    <mergeCell ref="J42:M42"/>
    <mergeCell ref="A41:D41"/>
    <mergeCell ref="A43:C43"/>
    <mergeCell ref="J43:M43"/>
    <mergeCell ref="A39:C39"/>
    <mergeCell ref="A40:C40"/>
    <mergeCell ref="A42:C42"/>
    <mergeCell ref="E39:H39"/>
    <mergeCell ref="E40:H40"/>
    <mergeCell ref="E41:H41"/>
    <mergeCell ref="E42:H42"/>
    <mergeCell ref="J44:M44"/>
    <mergeCell ref="J45:M45"/>
    <mergeCell ref="J46:M46"/>
    <mergeCell ref="A44:C44"/>
    <mergeCell ref="A45:C45"/>
    <mergeCell ref="A46:C46"/>
    <mergeCell ref="G51:H51"/>
    <mergeCell ref="C51:E51"/>
    <mergeCell ref="I51:L51"/>
    <mergeCell ref="H54:L54"/>
    <mergeCell ref="E47:H47"/>
    <mergeCell ref="J47:M47"/>
    <mergeCell ref="A48:K49"/>
    <mergeCell ref="A50:C50"/>
    <mergeCell ref="E50:H50"/>
    <mergeCell ref="J50:M50"/>
    <mergeCell ref="A47:C47"/>
  </mergeCells>
  <printOptions horizontalCentered="1" verticalCentered="1"/>
  <pageMargins left="0.58333333333333304" right="0.41666666666666702" top="0.498188405797101" bottom="0" header="0" footer="0"/>
  <pageSetup scale="93" orientation="portrait" horizontalDpi="1200" verticalDpi="1200" r:id="rId1"/>
  <rowBreaks count="1" manualBreakCount="1">
    <brk id="57"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Views>
    <sheetView topLeftCell="A41" workbookViewId="0">
      <selection activeCell="E51" sqref="E51"/>
    </sheetView>
  </sheetViews>
  <sheetFormatPr defaultRowHeight="15" x14ac:dyDescent="0.25"/>
  <cols>
    <col min="1" max="1" width="9.140625" style="27"/>
  </cols>
  <sheetData>
    <row r="1" spans="1:6" ht="15.75" x14ac:dyDescent="0.25">
      <c r="A1" s="25" t="s">
        <v>39</v>
      </c>
      <c r="B1" s="29" t="s">
        <v>40</v>
      </c>
      <c r="C1" s="30" t="s">
        <v>41</v>
      </c>
      <c r="D1" s="31" t="s">
        <v>42</v>
      </c>
      <c r="E1" s="30" t="s">
        <v>43</v>
      </c>
      <c r="F1" s="31" t="s">
        <v>44</v>
      </c>
    </row>
    <row r="2" spans="1:6" ht="15.75" x14ac:dyDescent="0.25">
      <c r="A2" s="28">
        <v>2.4</v>
      </c>
      <c r="B2" s="32"/>
      <c r="C2" s="32"/>
      <c r="D2" s="33"/>
      <c r="E2" s="32"/>
      <c r="F2" s="33"/>
    </row>
    <row r="3" spans="1:6" ht="15.75" x14ac:dyDescent="0.25">
      <c r="A3" s="26">
        <v>2.6</v>
      </c>
      <c r="B3" s="32"/>
      <c r="C3" s="32"/>
      <c r="D3" s="33"/>
      <c r="E3" s="32"/>
      <c r="F3" s="33"/>
    </row>
    <row r="4" spans="1:6" ht="15.75" x14ac:dyDescent="0.25">
      <c r="A4" s="26">
        <v>2.8</v>
      </c>
      <c r="B4" s="32"/>
      <c r="C4" s="32"/>
      <c r="D4" s="33"/>
      <c r="E4" s="32"/>
      <c r="F4" s="33"/>
    </row>
    <row r="5" spans="1:6" ht="15.75" x14ac:dyDescent="0.25">
      <c r="A5" s="28">
        <v>3</v>
      </c>
      <c r="B5" s="32"/>
      <c r="C5" s="32"/>
      <c r="D5" s="33"/>
      <c r="E5" s="32"/>
      <c r="F5" s="33"/>
    </row>
    <row r="6" spans="1:6" ht="15.75" x14ac:dyDescent="0.25">
      <c r="A6" s="26">
        <f>A5+0.2</f>
        <v>3.2</v>
      </c>
      <c r="B6" s="32"/>
      <c r="C6" s="32"/>
      <c r="D6" s="33"/>
      <c r="E6" s="32"/>
      <c r="F6" s="33"/>
    </row>
    <row r="7" spans="1:6" ht="15.75" x14ac:dyDescent="0.25">
      <c r="A7" s="26">
        <f t="shared" ref="A7:A70" si="0">A6+0.2</f>
        <v>3.4000000000000004</v>
      </c>
      <c r="B7" s="32"/>
      <c r="C7" s="32"/>
      <c r="D7" s="33"/>
      <c r="E7" s="32"/>
      <c r="F7" s="33"/>
    </row>
    <row r="8" spans="1:6" ht="15.75" x14ac:dyDescent="0.25">
      <c r="A8" s="26">
        <f t="shared" si="0"/>
        <v>3.6000000000000005</v>
      </c>
      <c r="B8" s="32"/>
      <c r="C8" s="32"/>
      <c r="D8" s="33"/>
      <c r="E8" s="32"/>
      <c r="F8" s="33"/>
    </row>
    <row r="9" spans="1:6" ht="15.75" x14ac:dyDescent="0.25">
      <c r="A9" s="26">
        <f t="shared" si="0"/>
        <v>3.8000000000000007</v>
      </c>
      <c r="B9" s="32"/>
      <c r="C9" s="32"/>
      <c r="D9" s="33"/>
      <c r="E9" s="32"/>
      <c r="F9" s="33"/>
    </row>
    <row r="10" spans="1:6" ht="15.75" x14ac:dyDescent="0.25">
      <c r="A10" s="26">
        <f t="shared" si="0"/>
        <v>4.0000000000000009</v>
      </c>
      <c r="B10" s="32"/>
      <c r="C10" s="32"/>
      <c r="D10" s="33"/>
      <c r="E10" s="32"/>
      <c r="F10" s="33"/>
    </row>
    <row r="11" spans="1:6" ht="15.75" x14ac:dyDescent="0.25">
      <c r="A11" s="26">
        <f t="shared" si="0"/>
        <v>4.2000000000000011</v>
      </c>
      <c r="B11" s="32"/>
      <c r="C11" s="32"/>
      <c r="D11" s="33"/>
      <c r="E11" s="32"/>
      <c r="F11" s="33"/>
    </row>
    <row r="12" spans="1:6" ht="15.75" x14ac:dyDescent="0.25">
      <c r="A12" s="26">
        <f t="shared" si="0"/>
        <v>4.4000000000000012</v>
      </c>
      <c r="B12" s="32"/>
      <c r="C12" s="32"/>
      <c r="D12" s="33"/>
      <c r="E12" s="32"/>
      <c r="F12" s="33"/>
    </row>
    <row r="13" spans="1:6" ht="15.75" x14ac:dyDescent="0.25">
      <c r="A13" s="26">
        <f t="shared" si="0"/>
        <v>4.6000000000000014</v>
      </c>
      <c r="B13" s="32"/>
      <c r="C13" s="32"/>
      <c r="D13" s="33"/>
      <c r="E13" s="32"/>
      <c r="F13" s="33"/>
    </row>
    <row r="14" spans="1:6" ht="15.75" x14ac:dyDescent="0.25">
      <c r="A14" s="26">
        <f t="shared" si="0"/>
        <v>4.8000000000000016</v>
      </c>
      <c r="B14" s="32"/>
      <c r="C14" s="32"/>
      <c r="D14" s="33"/>
      <c r="E14" s="32"/>
      <c r="F14" s="33"/>
    </row>
    <row r="15" spans="1:6" ht="15.75" x14ac:dyDescent="0.25">
      <c r="A15" s="26">
        <f t="shared" si="0"/>
        <v>5.0000000000000018</v>
      </c>
      <c r="B15" s="34">
        <v>41012</v>
      </c>
      <c r="C15" s="35">
        <v>85.92</v>
      </c>
      <c r="D15" s="36">
        <v>-8.4600000000000009</v>
      </c>
      <c r="E15" s="37">
        <v>1215.6099999999999</v>
      </c>
      <c r="F15" s="33"/>
    </row>
    <row r="16" spans="1:6" ht="15.75" x14ac:dyDescent="0.25">
      <c r="A16" s="26">
        <f t="shared" si="0"/>
        <v>5.200000000000002</v>
      </c>
      <c r="B16" s="34">
        <v>42735</v>
      </c>
      <c r="C16" s="35">
        <v>86.06</v>
      </c>
      <c r="D16" s="36">
        <v>-8.31</v>
      </c>
      <c r="E16" s="37">
        <v>1220.5</v>
      </c>
      <c r="F16" s="33"/>
    </row>
    <row r="17" spans="1:6" ht="15.75" x14ac:dyDescent="0.25">
      <c r="A17" s="26">
        <f t="shared" si="0"/>
        <v>5.4000000000000021</v>
      </c>
      <c r="B17" s="34">
        <v>44461</v>
      </c>
      <c r="C17" s="35">
        <v>86.2</v>
      </c>
      <c r="D17" s="36">
        <v>-8.15</v>
      </c>
      <c r="E17" s="37">
        <v>1225.97</v>
      </c>
      <c r="F17" s="33"/>
    </row>
    <row r="18" spans="1:6" ht="15.75" x14ac:dyDescent="0.25">
      <c r="A18" s="26">
        <f t="shared" si="0"/>
        <v>5.6000000000000023</v>
      </c>
      <c r="B18" s="34">
        <v>46190</v>
      </c>
      <c r="C18" s="35">
        <v>86.35</v>
      </c>
      <c r="D18" s="36">
        <v>-8.01</v>
      </c>
      <c r="E18" s="37">
        <v>1230.6500000000001</v>
      </c>
      <c r="F18" s="33"/>
    </row>
    <row r="19" spans="1:6" ht="15.75" x14ac:dyDescent="0.25">
      <c r="A19" s="26">
        <f t="shared" si="0"/>
        <v>5.8000000000000025</v>
      </c>
      <c r="B19" s="34">
        <v>47922</v>
      </c>
      <c r="C19" s="35">
        <v>86.5</v>
      </c>
      <c r="D19" s="36">
        <v>-7.88</v>
      </c>
      <c r="E19" s="37">
        <v>1234.72</v>
      </c>
      <c r="F19" s="33"/>
    </row>
    <row r="20" spans="1:6" ht="15.75" x14ac:dyDescent="0.25">
      <c r="A20" s="26">
        <f t="shared" si="0"/>
        <v>6.0000000000000027</v>
      </c>
      <c r="B20" s="34">
        <v>49656</v>
      </c>
      <c r="C20" s="35">
        <v>86.66</v>
      </c>
      <c r="D20" s="36">
        <v>-7.71</v>
      </c>
      <c r="E20" s="37">
        <v>1240.67</v>
      </c>
      <c r="F20" s="33"/>
    </row>
    <row r="21" spans="1:6" ht="15.75" x14ac:dyDescent="0.25">
      <c r="A21" s="26">
        <f t="shared" si="0"/>
        <v>6.2000000000000028</v>
      </c>
      <c r="B21" s="34">
        <v>51394</v>
      </c>
      <c r="C21" s="35">
        <v>86.83</v>
      </c>
      <c r="D21" s="36">
        <v>-7.53</v>
      </c>
      <c r="E21" s="37">
        <v>1246.97</v>
      </c>
      <c r="F21" s="33"/>
    </row>
    <row r="22" spans="1:6" ht="15.75" x14ac:dyDescent="0.25">
      <c r="A22" s="26">
        <f t="shared" si="0"/>
        <v>6.400000000000003</v>
      </c>
      <c r="B22" s="34">
        <v>53135</v>
      </c>
      <c r="C22" s="35">
        <v>87</v>
      </c>
      <c r="D22" s="36">
        <v>-7.34</v>
      </c>
      <c r="E22" s="37">
        <v>1253.67</v>
      </c>
      <c r="F22" s="33"/>
    </row>
    <row r="23" spans="1:6" ht="15.75" x14ac:dyDescent="0.25">
      <c r="A23" s="26">
        <f t="shared" si="0"/>
        <v>6.6000000000000032</v>
      </c>
      <c r="B23" s="34">
        <v>54880</v>
      </c>
      <c r="C23" s="35">
        <v>87.18</v>
      </c>
      <c r="D23" s="36">
        <v>-7.17</v>
      </c>
      <c r="E23" s="37">
        <v>1260.71</v>
      </c>
      <c r="F23" s="33"/>
    </row>
    <row r="24" spans="1:6" ht="15.75" x14ac:dyDescent="0.25">
      <c r="A24" s="26">
        <f t="shared" si="0"/>
        <v>6.8000000000000034</v>
      </c>
      <c r="B24" s="34">
        <v>56629</v>
      </c>
      <c r="C24" s="35">
        <v>87.37</v>
      </c>
      <c r="D24" s="36">
        <v>-6.94</v>
      </c>
      <c r="E24" s="37">
        <v>1268.0999999999999</v>
      </c>
      <c r="F24" s="33"/>
    </row>
    <row r="25" spans="1:6" ht="15.75" x14ac:dyDescent="0.25">
      <c r="A25" s="26">
        <f t="shared" si="0"/>
        <v>7.0000000000000036</v>
      </c>
      <c r="B25" s="34">
        <v>58381</v>
      </c>
      <c r="C25" s="35">
        <v>87.57</v>
      </c>
      <c r="D25" s="36">
        <v>-6.73</v>
      </c>
      <c r="E25" s="37">
        <v>1275.8800000000001</v>
      </c>
      <c r="F25" s="33"/>
    </row>
    <row r="26" spans="1:6" ht="15.75" x14ac:dyDescent="0.25">
      <c r="A26" s="26">
        <f t="shared" si="0"/>
        <v>7.2000000000000037</v>
      </c>
      <c r="B26" s="34">
        <v>60137</v>
      </c>
      <c r="C26" s="35">
        <v>87.77</v>
      </c>
      <c r="D26" s="36">
        <v>-6.5</v>
      </c>
      <c r="E26" s="37">
        <v>1284.01</v>
      </c>
      <c r="F26" s="33"/>
    </row>
    <row r="27" spans="1:6" ht="15.75" x14ac:dyDescent="0.25">
      <c r="A27" s="26">
        <f t="shared" si="0"/>
        <v>7.4000000000000039</v>
      </c>
      <c r="B27" s="34">
        <v>61897</v>
      </c>
      <c r="C27" s="35">
        <v>87.98</v>
      </c>
      <c r="D27" s="36">
        <v>-6.28</v>
      </c>
      <c r="E27" s="37">
        <v>1292.48</v>
      </c>
      <c r="F27" s="33"/>
    </row>
    <row r="28" spans="1:6" ht="15.75" x14ac:dyDescent="0.25">
      <c r="A28" s="26">
        <f t="shared" si="0"/>
        <v>7.6000000000000041</v>
      </c>
      <c r="B28" s="34">
        <v>63662</v>
      </c>
      <c r="C28" s="35">
        <v>88.2</v>
      </c>
      <c r="D28" s="36">
        <v>-6.04</v>
      </c>
      <c r="E28" s="37">
        <v>1301.33</v>
      </c>
      <c r="F28" s="33"/>
    </row>
    <row r="29" spans="1:6" ht="15.75" x14ac:dyDescent="0.25">
      <c r="A29" s="26">
        <f t="shared" si="0"/>
        <v>7.8000000000000043</v>
      </c>
      <c r="B29" s="34">
        <v>65431</v>
      </c>
      <c r="C29" s="35">
        <v>88.42</v>
      </c>
      <c r="D29" s="36">
        <v>-5.79</v>
      </c>
      <c r="E29" s="37">
        <v>1310.58</v>
      </c>
      <c r="F29" s="33"/>
    </row>
    <row r="30" spans="1:6" ht="15.75" x14ac:dyDescent="0.25">
      <c r="A30" s="26">
        <f t="shared" si="0"/>
        <v>8.0000000000000036</v>
      </c>
      <c r="B30" s="34">
        <v>67204</v>
      </c>
      <c r="C30" s="35">
        <v>88.65</v>
      </c>
      <c r="D30" s="36">
        <v>-5.54</v>
      </c>
      <c r="E30" s="37">
        <v>1320.18</v>
      </c>
      <c r="F30" s="33"/>
    </row>
    <row r="31" spans="1:6" ht="15.75" x14ac:dyDescent="0.25">
      <c r="A31" s="26">
        <f t="shared" si="0"/>
        <v>8.2000000000000028</v>
      </c>
      <c r="B31" s="34">
        <v>68983</v>
      </c>
      <c r="C31" s="35">
        <v>88.88</v>
      </c>
      <c r="D31" s="36">
        <v>-5.27</v>
      </c>
      <c r="E31" s="37">
        <v>1330.23</v>
      </c>
      <c r="F31" s="33"/>
    </row>
    <row r="32" spans="1:6" ht="15.75" x14ac:dyDescent="0.25">
      <c r="A32" s="26">
        <f t="shared" si="0"/>
        <v>8.4000000000000021</v>
      </c>
      <c r="B32" s="34">
        <v>70765</v>
      </c>
      <c r="C32" s="35">
        <v>89.12</v>
      </c>
      <c r="D32" s="36">
        <v>-5</v>
      </c>
      <c r="E32" s="37">
        <v>1340.61</v>
      </c>
      <c r="F32" s="33"/>
    </row>
    <row r="33" spans="1:6" ht="15.75" x14ac:dyDescent="0.25">
      <c r="A33" s="26">
        <f t="shared" si="0"/>
        <v>8.6000000000000014</v>
      </c>
      <c r="B33" s="34">
        <v>72553</v>
      </c>
      <c r="C33" s="35">
        <v>89.37</v>
      </c>
      <c r="D33" s="36">
        <v>-4.72</v>
      </c>
      <c r="E33" s="37">
        <v>1351.36</v>
      </c>
      <c r="F33" s="33"/>
    </row>
    <row r="34" spans="1:6" ht="15.75" x14ac:dyDescent="0.25">
      <c r="A34" s="26">
        <f t="shared" si="0"/>
        <v>8.8000000000000007</v>
      </c>
      <c r="B34" s="34">
        <v>74346</v>
      </c>
      <c r="C34" s="35">
        <v>89.62</v>
      </c>
      <c r="D34" s="36">
        <v>-4.4400000000000004</v>
      </c>
      <c r="E34" s="37">
        <v>1362.44</v>
      </c>
      <c r="F34" s="33"/>
    </row>
    <row r="35" spans="1:6" ht="15.75" x14ac:dyDescent="0.25">
      <c r="A35" s="26">
        <f t="shared" si="0"/>
        <v>9</v>
      </c>
      <c r="B35" s="34">
        <v>76144</v>
      </c>
      <c r="C35" s="35">
        <v>89.87</v>
      </c>
      <c r="D35" s="36">
        <v>-4.1399999999999997</v>
      </c>
      <c r="E35" s="37">
        <v>1373.8</v>
      </c>
      <c r="F35" s="33"/>
    </row>
    <row r="36" spans="1:6" ht="15.75" x14ac:dyDescent="0.25">
      <c r="A36" s="26">
        <f t="shared" si="0"/>
        <v>9.1999999999999993</v>
      </c>
      <c r="B36" s="34">
        <v>77948</v>
      </c>
      <c r="C36" s="35">
        <v>90.14</v>
      </c>
      <c r="D36" s="36">
        <v>-3.85</v>
      </c>
      <c r="E36" s="37">
        <v>1385.43</v>
      </c>
      <c r="F36" s="33"/>
    </row>
    <row r="37" spans="1:6" ht="15.75" x14ac:dyDescent="0.25">
      <c r="A37" s="26">
        <f t="shared" si="0"/>
        <v>9.3999999999999986</v>
      </c>
      <c r="B37" s="34">
        <v>79756</v>
      </c>
      <c r="C37" s="35">
        <v>90.41</v>
      </c>
      <c r="D37" s="36">
        <v>-3.54</v>
      </c>
      <c r="E37" s="37">
        <v>1397.23</v>
      </c>
      <c r="F37" s="33"/>
    </row>
    <row r="38" spans="1:6" ht="15.75" x14ac:dyDescent="0.25">
      <c r="A38" s="26">
        <f t="shared" si="0"/>
        <v>9.5999999999999979</v>
      </c>
      <c r="B38" s="34">
        <v>81570</v>
      </c>
      <c r="C38" s="35">
        <v>90.67</v>
      </c>
      <c r="D38" s="36">
        <v>-3.24</v>
      </c>
      <c r="E38" s="37">
        <v>1409.26</v>
      </c>
      <c r="F38" s="33"/>
    </row>
    <row r="39" spans="1:6" ht="15.75" x14ac:dyDescent="0.25">
      <c r="A39" s="26">
        <f t="shared" si="0"/>
        <v>9.7999999999999972</v>
      </c>
      <c r="B39" s="34">
        <v>83389</v>
      </c>
      <c r="C39" s="35">
        <v>90.94</v>
      </c>
      <c r="D39" s="36">
        <v>-2.93</v>
      </c>
      <c r="E39" s="37">
        <v>1421.32</v>
      </c>
      <c r="F39" s="33"/>
    </row>
    <row r="40" spans="1:6" ht="15.75" x14ac:dyDescent="0.25">
      <c r="A40" s="26">
        <f t="shared" si="0"/>
        <v>9.9999999999999964</v>
      </c>
      <c r="B40" s="34">
        <v>85214</v>
      </c>
      <c r="C40" s="35">
        <v>91.2</v>
      </c>
      <c r="D40" s="36">
        <v>-2.64</v>
      </c>
      <c r="E40" s="37">
        <v>1432.36</v>
      </c>
      <c r="F40" s="33"/>
    </row>
    <row r="41" spans="1:6" ht="15.75" x14ac:dyDescent="0.25">
      <c r="A41" s="26">
        <f t="shared" si="0"/>
        <v>10.199999999999996</v>
      </c>
      <c r="B41" s="34">
        <v>87043</v>
      </c>
      <c r="C41" s="35">
        <v>91.47</v>
      </c>
      <c r="D41" s="36">
        <v>-2.3199999999999998</v>
      </c>
      <c r="E41" s="37">
        <v>1444.41</v>
      </c>
      <c r="F41" s="33"/>
    </row>
    <row r="42" spans="1:6" ht="15.75" x14ac:dyDescent="0.25">
      <c r="A42" s="26">
        <f t="shared" si="0"/>
        <v>10.399999999999995</v>
      </c>
      <c r="B42" s="34">
        <v>88878</v>
      </c>
      <c r="C42" s="35">
        <v>91.73</v>
      </c>
      <c r="D42" s="36">
        <v>-2.0099999999999998</v>
      </c>
      <c r="E42" s="37">
        <v>1456.38</v>
      </c>
      <c r="F42" s="33"/>
    </row>
    <row r="43" spans="1:6" ht="15.75" x14ac:dyDescent="0.25">
      <c r="A43" s="26">
        <f t="shared" si="0"/>
        <v>10.599999999999994</v>
      </c>
      <c r="B43" s="34">
        <v>90718</v>
      </c>
      <c r="C43" s="35">
        <v>91.99</v>
      </c>
      <c r="D43" s="36">
        <v>-1.71</v>
      </c>
      <c r="E43" s="37">
        <v>1467.8</v>
      </c>
      <c r="F43" s="33"/>
    </row>
    <row r="44" spans="1:6" ht="15.75" x14ac:dyDescent="0.25">
      <c r="A44" s="26">
        <f t="shared" si="0"/>
        <v>10.799999999999994</v>
      </c>
      <c r="B44" s="34">
        <v>92563</v>
      </c>
      <c r="C44" s="35">
        <v>92.25</v>
      </c>
      <c r="D44" s="36">
        <v>-1.4</v>
      </c>
      <c r="E44" s="37">
        <v>1479.68</v>
      </c>
      <c r="F44" s="33"/>
    </row>
    <row r="45" spans="1:6" ht="15.75" x14ac:dyDescent="0.25">
      <c r="A45" s="26">
        <f t="shared" si="0"/>
        <v>10.999999999999993</v>
      </c>
      <c r="B45" s="34">
        <v>94414</v>
      </c>
      <c r="C45" s="35">
        <v>92.51</v>
      </c>
      <c r="D45" s="36">
        <v>-1.1000000000000001</v>
      </c>
      <c r="E45" s="37">
        <v>1491.24</v>
      </c>
      <c r="F45" s="33"/>
    </row>
    <row r="46" spans="1:6" ht="15.75" x14ac:dyDescent="0.25">
      <c r="A46" s="26">
        <f t="shared" si="0"/>
        <v>11.199999999999992</v>
      </c>
      <c r="B46" s="34">
        <v>96269</v>
      </c>
      <c r="C46" s="35">
        <v>92.77</v>
      </c>
      <c r="D46" s="36">
        <v>-0.79</v>
      </c>
      <c r="E46" s="37">
        <v>1502.86</v>
      </c>
      <c r="F46" s="33"/>
    </row>
    <row r="47" spans="1:6" ht="15.75" x14ac:dyDescent="0.25">
      <c r="A47" s="26">
        <f t="shared" si="0"/>
        <v>11.399999999999991</v>
      </c>
      <c r="B47" s="34">
        <v>98129</v>
      </c>
      <c r="C47" s="35">
        <v>93.02</v>
      </c>
      <c r="D47" s="36">
        <v>-0.48</v>
      </c>
      <c r="E47" s="37">
        <v>1514.16</v>
      </c>
      <c r="F47" s="33"/>
    </row>
    <row r="48" spans="1:6" ht="15.75" x14ac:dyDescent="0.25">
      <c r="A48" s="26">
        <f t="shared" si="0"/>
        <v>11.599999999999991</v>
      </c>
      <c r="B48" s="34">
        <v>99994</v>
      </c>
      <c r="C48" s="35">
        <v>93.27</v>
      </c>
      <c r="D48" s="36">
        <v>-0.18</v>
      </c>
      <c r="E48" s="37">
        <v>1525.89</v>
      </c>
      <c r="F48" s="33"/>
    </row>
    <row r="49" spans="1:6" ht="15.75" x14ac:dyDescent="0.25">
      <c r="A49" s="26">
        <f t="shared" si="0"/>
        <v>11.79999999999999</v>
      </c>
      <c r="B49" s="34">
        <v>101864</v>
      </c>
      <c r="C49" s="35">
        <v>93.52</v>
      </c>
      <c r="D49" s="36">
        <v>0.12</v>
      </c>
      <c r="E49" s="37">
        <v>1537.26</v>
      </c>
      <c r="F49" s="33"/>
    </row>
    <row r="50" spans="1:6" ht="15.75" x14ac:dyDescent="0.25">
      <c r="A50" s="26">
        <f t="shared" si="0"/>
        <v>11.999999999999989</v>
      </c>
      <c r="B50" s="34">
        <v>103739</v>
      </c>
      <c r="C50" s="35">
        <v>93.77</v>
      </c>
      <c r="D50" s="36">
        <v>0.4</v>
      </c>
      <c r="E50" s="37">
        <v>1547.96</v>
      </c>
      <c r="F50" s="33"/>
    </row>
    <row r="51" spans="1:6" ht="15.75" x14ac:dyDescent="0.25">
      <c r="A51" s="26">
        <f t="shared" si="0"/>
        <v>12.199999999999989</v>
      </c>
      <c r="B51" s="34">
        <v>105618</v>
      </c>
      <c r="C51" s="35">
        <v>94.02</v>
      </c>
      <c r="D51" s="36">
        <v>0.68</v>
      </c>
      <c r="E51" s="37">
        <v>1558.61</v>
      </c>
      <c r="F51" s="33"/>
    </row>
    <row r="52" spans="1:6" ht="15.75" x14ac:dyDescent="0.25">
      <c r="A52" s="26">
        <f t="shared" si="0"/>
        <v>12.399999999999988</v>
      </c>
      <c r="B52" s="34">
        <v>107502</v>
      </c>
      <c r="C52" s="35">
        <v>94.28</v>
      </c>
      <c r="D52" s="36">
        <v>0.95</v>
      </c>
      <c r="E52" s="37">
        <v>1569.92</v>
      </c>
      <c r="F52" s="33"/>
    </row>
    <row r="53" spans="1:6" ht="15.75" x14ac:dyDescent="0.25">
      <c r="A53" s="26">
        <f t="shared" si="0"/>
        <v>12.599999999999987</v>
      </c>
      <c r="B53" s="34">
        <v>109391</v>
      </c>
      <c r="C53" s="35">
        <v>94.54</v>
      </c>
      <c r="D53" s="36">
        <v>1.21</v>
      </c>
      <c r="E53" s="37">
        <v>1581.27</v>
      </c>
      <c r="F53" s="33"/>
    </row>
    <row r="54" spans="1:6" ht="15.75" x14ac:dyDescent="0.25">
      <c r="A54" s="26">
        <f t="shared" si="0"/>
        <v>12.799999999999986</v>
      </c>
      <c r="B54" s="34">
        <v>111284</v>
      </c>
      <c r="C54" s="35">
        <v>94.8</v>
      </c>
      <c r="D54" s="36">
        <v>1.48</v>
      </c>
      <c r="E54" s="37">
        <v>1592.87</v>
      </c>
      <c r="F54" s="33"/>
    </row>
    <row r="55" spans="1:6" ht="15.75" x14ac:dyDescent="0.25">
      <c r="A55" s="26">
        <f t="shared" si="0"/>
        <v>12.999999999999986</v>
      </c>
      <c r="B55" s="34">
        <v>113182</v>
      </c>
      <c r="C55" s="35">
        <v>95.06</v>
      </c>
      <c r="D55" s="36">
        <v>1.77</v>
      </c>
      <c r="E55" s="37">
        <v>1605.21</v>
      </c>
      <c r="F55" s="33"/>
    </row>
    <row r="56" spans="1:6" ht="15.75" x14ac:dyDescent="0.25">
      <c r="A56" s="26">
        <f t="shared" si="0"/>
        <v>13.199999999999985</v>
      </c>
      <c r="B56" s="34">
        <v>115086</v>
      </c>
      <c r="C56" s="35">
        <v>95.32</v>
      </c>
      <c r="D56" s="36">
        <v>2.06</v>
      </c>
      <c r="E56" s="37">
        <v>1618.08</v>
      </c>
      <c r="F56" s="33"/>
    </row>
    <row r="57" spans="1:6" ht="15.75" x14ac:dyDescent="0.25">
      <c r="A57" s="26">
        <f t="shared" si="0"/>
        <v>13.399999999999984</v>
      </c>
      <c r="B57" s="34">
        <v>116995</v>
      </c>
      <c r="C57" s="35">
        <v>95.57</v>
      </c>
      <c r="D57" s="36">
        <v>2.34</v>
      </c>
      <c r="E57" s="37">
        <v>1630.83</v>
      </c>
      <c r="F57" s="33"/>
    </row>
    <row r="58" spans="1:6" ht="15.75" x14ac:dyDescent="0.25">
      <c r="A58" s="26">
        <f t="shared" si="0"/>
        <v>13.599999999999984</v>
      </c>
      <c r="B58" s="34">
        <v>118908</v>
      </c>
      <c r="C58" s="35">
        <v>95.82</v>
      </c>
      <c r="D58" s="36">
        <v>2.62</v>
      </c>
      <c r="E58" s="37">
        <v>1643.35</v>
      </c>
      <c r="F58" s="33"/>
    </row>
    <row r="59" spans="1:6" ht="15.75" x14ac:dyDescent="0.25">
      <c r="A59" s="26">
        <f t="shared" si="0"/>
        <v>13.799999999999983</v>
      </c>
      <c r="B59" s="34">
        <v>120827</v>
      </c>
      <c r="C59" s="35">
        <v>96.04</v>
      </c>
      <c r="D59" s="36">
        <v>2.89</v>
      </c>
      <c r="E59" s="37">
        <v>1654.96</v>
      </c>
      <c r="F59" s="33"/>
    </row>
    <row r="60" spans="1:6" ht="15.75" x14ac:dyDescent="0.25">
      <c r="A60" s="26">
        <f t="shared" si="0"/>
        <v>13.999999999999982</v>
      </c>
      <c r="B60" s="34">
        <v>122750</v>
      </c>
      <c r="C60" s="35">
        <v>96.26</v>
      </c>
      <c r="D60" s="36">
        <v>3.12</v>
      </c>
      <c r="E60" s="37">
        <v>1665.71</v>
      </c>
      <c r="F60" s="33"/>
    </row>
    <row r="61" spans="1:6" ht="15.75" x14ac:dyDescent="0.25">
      <c r="A61" s="26">
        <f t="shared" si="0"/>
        <v>14.199999999999982</v>
      </c>
      <c r="B61" s="32"/>
      <c r="C61" s="32"/>
      <c r="D61" s="33"/>
      <c r="E61" s="32"/>
      <c r="F61" s="33"/>
    </row>
    <row r="62" spans="1:6" ht="15.75" x14ac:dyDescent="0.25">
      <c r="A62" s="26">
        <f t="shared" si="0"/>
        <v>14.399999999999981</v>
      </c>
      <c r="B62" s="32"/>
      <c r="C62" s="32"/>
      <c r="D62" s="33"/>
      <c r="E62" s="32"/>
      <c r="F62" s="33"/>
    </row>
    <row r="63" spans="1:6" ht="15.75" x14ac:dyDescent="0.25">
      <c r="A63" s="26">
        <f t="shared" si="0"/>
        <v>14.59999999999998</v>
      </c>
      <c r="B63" s="32"/>
      <c r="C63" s="32"/>
      <c r="D63" s="33"/>
      <c r="E63" s="32"/>
      <c r="F63" s="33"/>
    </row>
    <row r="64" spans="1:6" ht="15.75" x14ac:dyDescent="0.25">
      <c r="A64" s="26">
        <f t="shared" si="0"/>
        <v>14.799999999999979</v>
      </c>
      <c r="B64" s="32"/>
      <c r="C64" s="32"/>
      <c r="D64" s="33"/>
      <c r="E64" s="32"/>
      <c r="F64" s="33"/>
    </row>
    <row r="65" spans="1:6" ht="15.75" x14ac:dyDescent="0.25">
      <c r="A65" s="26">
        <f t="shared" si="0"/>
        <v>14.999999999999979</v>
      </c>
      <c r="B65" s="32"/>
      <c r="C65" s="32"/>
      <c r="D65" s="33"/>
      <c r="E65" s="32"/>
      <c r="F65" s="33"/>
    </row>
    <row r="66" spans="1:6" ht="15.75" x14ac:dyDescent="0.25">
      <c r="A66" s="26">
        <f t="shared" si="0"/>
        <v>15.199999999999978</v>
      </c>
      <c r="B66" s="32"/>
      <c r="C66" s="32"/>
      <c r="D66" s="33"/>
      <c r="E66" s="32"/>
      <c r="F66" s="33"/>
    </row>
    <row r="67" spans="1:6" ht="15.75" x14ac:dyDescent="0.25">
      <c r="A67" s="26">
        <f t="shared" si="0"/>
        <v>15.399999999999977</v>
      </c>
      <c r="B67" s="32"/>
      <c r="C67" s="32"/>
      <c r="D67" s="33"/>
      <c r="E67" s="32"/>
      <c r="F67" s="33"/>
    </row>
    <row r="68" spans="1:6" ht="15.75" x14ac:dyDescent="0.25">
      <c r="A68" s="26">
        <f t="shared" si="0"/>
        <v>15.599999999999977</v>
      </c>
      <c r="B68" s="32"/>
      <c r="C68" s="32"/>
      <c r="D68" s="33"/>
      <c r="E68" s="32"/>
      <c r="F68" s="33"/>
    </row>
    <row r="69" spans="1:6" ht="15.75" x14ac:dyDescent="0.25">
      <c r="A69" s="26">
        <f t="shared" si="0"/>
        <v>15.799999999999976</v>
      </c>
      <c r="B69" s="32"/>
      <c r="C69" s="32"/>
      <c r="D69" s="33"/>
      <c r="E69" s="32"/>
      <c r="F69" s="33"/>
    </row>
    <row r="70" spans="1:6" ht="15.75" x14ac:dyDescent="0.25">
      <c r="A70" s="26">
        <f t="shared" si="0"/>
        <v>15.999999999999975</v>
      </c>
      <c r="B70" s="32"/>
      <c r="C70" s="32"/>
      <c r="D70" s="33"/>
      <c r="E70" s="32"/>
      <c r="F70" s="33"/>
    </row>
    <row r="71" spans="1:6" ht="15.75" x14ac:dyDescent="0.25">
      <c r="A71" s="26">
        <f t="shared" ref="A71:A77" si="1">A70+0.2</f>
        <v>16.199999999999974</v>
      </c>
      <c r="B71" s="32"/>
      <c r="C71" s="32"/>
      <c r="D71" s="33"/>
      <c r="E71" s="32"/>
      <c r="F71" s="33"/>
    </row>
    <row r="72" spans="1:6" ht="15.75" x14ac:dyDescent="0.25">
      <c r="A72" s="26">
        <f t="shared" si="1"/>
        <v>16.399999999999974</v>
      </c>
      <c r="B72" s="32"/>
      <c r="C72" s="32"/>
      <c r="D72" s="33"/>
      <c r="E72" s="32"/>
      <c r="F72" s="33"/>
    </row>
    <row r="73" spans="1:6" ht="15.75" x14ac:dyDescent="0.25">
      <c r="A73" s="26">
        <f t="shared" si="1"/>
        <v>16.599999999999973</v>
      </c>
      <c r="B73" s="32"/>
      <c r="C73" s="32"/>
      <c r="D73" s="33"/>
      <c r="E73" s="32"/>
      <c r="F73" s="33"/>
    </row>
    <row r="74" spans="1:6" ht="15.75" x14ac:dyDescent="0.25">
      <c r="A74" s="26">
        <f t="shared" si="1"/>
        <v>16.799999999999972</v>
      </c>
      <c r="B74" s="32"/>
      <c r="C74" s="32"/>
      <c r="D74" s="33"/>
      <c r="E74" s="32"/>
      <c r="F74" s="33"/>
    </row>
    <row r="75" spans="1:6" ht="15.75" x14ac:dyDescent="0.25">
      <c r="A75" s="26">
        <f t="shared" si="1"/>
        <v>16.999999999999972</v>
      </c>
      <c r="B75" s="32"/>
      <c r="C75" s="32"/>
      <c r="D75" s="33"/>
      <c r="E75" s="32"/>
      <c r="F75" s="33"/>
    </row>
    <row r="76" spans="1:6" ht="15.75" x14ac:dyDescent="0.25">
      <c r="A76" s="26">
        <f t="shared" si="1"/>
        <v>17.199999999999971</v>
      </c>
      <c r="B76" s="32"/>
      <c r="C76" s="32"/>
      <c r="D76" s="33"/>
      <c r="E76" s="32"/>
      <c r="F76" s="33"/>
    </row>
    <row r="77" spans="1:6" ht="15.75" x14ac:dyDescent="0.25">
      <c r="A77" s="26">
        <f t="shared" si="1"/>
        <v>17.39999999999997</v>
      </c>
      <c r="B77" s="32"/>
      <c r="C77" s="32"/>
      <c r="D77" s="33"/>
      <c r="E77" s="32"/>
      <c r="F77"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7"/>
  <sheetViews>
    <sheetView showGridLines="0" topLeftCell="A48" zoomScaleNormal="100" workbookViewId="0">
      <selection activeCell="M65" sqref="M65:M66"/>
    </sheetView>
  </sheetViews>
  <sheetFormatPr defaultRowHeight="14.25" x14ac:dyDescent="0.25"/>
  <cols>
    <col min="1" max="3" width="9" style="48" customWidth="1"/>
    <col min="4" max="4" width="15.85546875" style="48" customWidth="1"/>
    <col min="5" max="8" width="9" style="48" customWidth="1"/>
    <col min="9" max="9" width="3.28515625" style="48" customWidth="1"/>
    <col min="10" max="12" width="9" style="54" customWidth="1"/>
    <col min="13" max="13" width="15.85546875" style="54" customWidth="1"/>
    <col min="14" max="17" width="9" style="54" customWidth="1"/>
    <col min="18" max="19" width="3.28515625" style="54" customWidth="1"/>
    <col min="20" max="22" width="9" style="54" customWidth="1"/>
    <col min="23" max="23" width="15.85546875" style="54" customWidth="1"/>
    <col min="24" max="27" width="9" style="54" customWidth="1"/>
    <col min="28" max="28" width="3.28515625" style="54" customWidth="1"/>
    <col min="29" max="16384" width="9.140625" style="48"/>
  </cols>
  <sheetData>
    <row r="1" spans="1:28" ht="36" customHeight="1" x14ac:dyDescent="0.25">
      <c r="A1" s="264" t="s">
        <v>62</v>
      </c>
      <c r="B1" s="264"/>
      <c r="C1" s="264"/>
      <c r="D1" s="264"/>
      <c r="E1" s="264"/>
      <c r="F1" s="58"/>
      <c r="G1" s="58"/>
      <c r="H1" s="58"/>
      <c r="I1" s="57"/>
      <c r="J1" s="264" t="s">
        <v>83</v>
      </c>
      <c r="K1" s="264"/>
      <c r="L1" s="264"/>
      <c r="M1" s="264"/>
      <c r="N1" s="264"/>
      <c r="O1" s="58"/>
      <c r="P1" s="58"/>
      <c r="Q1" s="58"/>
      <c r="R1" s="57"/>
      <c r="S1" s="57"/>
      <c r="T1" s="264" t="s">
        <v>84</v>
      </c>
      <c r="U1" s="264"/>
      <c r="V1" s="264"/>
      <c r="W1" s="264"/>
      <c r="X1" s="264"/>
      <c r="Y1" s="58"/>
      <c r="Z1" s="58"/>
      <c r="AA1" s="58"/>
      <c r="AB1" s="57"/>
    </row>
    <row r="2" spans="1:28" ht="14.25" customHeight="1" x14ac:dyDescent="0.25">
      <c r="A2" s="50"/>
      <c r="B2" s="265" t="s">
        <v>63</v>
      </c>
      <c r="C2" s="265"/>
      <c r="D2" s="265"/>
      <c r="E2" s="265"/>
      <c r="F2" s="58"/>
      <c r="G2" s="58"/>
      <c r="H2" s="58"/>
      <c r="I2" s="57"/>
      <c r="J2" s="53"/>
      <c r="K2" s="265" t="s">
        <v>63</v>
      </c>
      <c r="L2" s="265"/>
      <c r="M2" s="265"/>
      <c r="N2" s="265"/>
      <c r="O2" s="58"/>
      <c r="P2" s="58"/>
      <c r="Q2" s="58"/>
      <c r="R2" s="57"/>
      <c r="S2" s="57"/>
      <c r="T2" s="53"/>
      <c r="U2" s="265" t="s">
        <v>63</v>
      </c>
      <c r="V2" s="265"/>
      <c r="W2" s="265"/>
      <c r="X2" s="265"/>
      <c r="Y2" s="58"/>
      <c r="Z2" s="58"/>
      <c r="AA2" s="58"/>
      <c r="AB2" s="57"/>
    </row>
    <row r="3" spans="1:28" ht="14.25" customHeight="1" x14ac:dyDescent="0.25">
      <c r="A3" s="251" t="s">
        <v>59</v>
      </c>
      <c r="B3" s="48" t="s">
        <v>64</v>
      </c>
      <c r="C3" s="48">
        <f>'DRAFT SURVEY'!B4</f>
        <v>7.8</v>
      </c>
      <c r="D3" s="252">
        <f>(C3+C4)/2</f>
        <v>7.8</v>
      </c>
      <c r="E3" s="260">
        <f>D3</f>
        <v>7.8</v>
      </c>
      <c r="F3" s="58"/>
      <c r="G3" s="58"/>
      <c r="H3" s="58"/>
      <c r="I3" s="57"/>
      <c r="J3" s="251" t="s">
        <v>59</v>
      </c>
      <c r="K3" s="54" t="s">
        <v>64</v>
      </c>
      <c r="L3" s="54">
        <f>'DRAFT SURVEY'!F4</f>
        <v>9.52</v>
      </c>
      <c r="M3" s="252">
        <f>(L3+L4)/2</f>
        <v>9.57</v>
      </c>
      <c r="N3" s="260">
        <f>M3</f>
        <v>9.57</v>
      </c>
      <c r="O3" s="58"/>
      <c r="P3" s="58"/>
      <c r="Q3" s="58"/>
      <c r="R3" s="57"/>
      <c r="S3" s="57"/>
      <c r="T3" s="251" t="s">
        <v>59</v>
      </c>
      <c r="U3" s="54" t="s">
        <v>64</v>
      </c>
      <c r="V3" s="54">
        <f>'DRAFT SURVEY'!J4</f>
        <v>11.67</v>
      </c>
      <c r="W3" s="252">
        <f>(V3+V4)/2</f>
        <v>11.67</v>
      </c>
      <c r="X3" s="260">
        <f>W3</f>
        <v>11.67</v>
      </c>
      <c r="Y3" s="58"/>
      <c r="Z3" s="58"/>
      <c r="AA3" s="58"/>
      <c r="AB3" s="57"/>
    </row>
    <row r="4" spans="1:28" ht="14.25" customHeight="1" x14ac:dyDescent="0.25">
      <c r="A4" s="251"/>
      <c r="B4" s="48" t="s">
        <v>65</v>
      </c>
      <c r="C4" s="48">
        <f>'DRAFT SURVEY'!D4</f>
        <v>7.8</v>
      </c>
      <c r="D4" s="252"/>
      <c r="E4" s="260"/>
      <c r="F4" s="58"/>
      <c r="G4" s="58"/>
      <c r="H4" s="58"/>
      <c r="I4" s="57"/>
      <c r="J4" s="251"/>
      <c r="K4" s="54" t="s">
        <v>65</v>
      </c>
      <c r="L4" s="54">
        <f>'DRAFT SURVEY'!H4</f>
        <v>9.6199999999999992</v>
      </c>
      <c r="M4" s="252"/>
      <c r="N4" s="260"/>
      <c r="O4" s="58"/>
      <c r="P4" s="58"/>
      <c r="Q4" s="58"/>
      <c r="R4" s="57"/>
      <c r="S4" s="57"/>
      <c r="T4" s="251"/>
      <c r="U4" s="54" t="s">
        <v>65</v>
      </c>
      <c r="V4" s="54">
        <f>'DRAFT SURVEY'!L4</f>
        <v>11.67</v>
      </c>
      <c r="W4" s="252"/>
      <c r="X4" s="260"/>
      <c r="Y4" s="58"/>
      <c r="Z4" s="58"/>
      <c r="AA4" s="58"/>
      <c r="AB4" s="57"/>
    </row>
    <row r="5" spans="1:28" ht="14.25" customHeight="1" x14ac:dyDescent="0.25">
      <c r="A5" s="251" t="s">
        <v>61</v>
      </c>
      <c r="B5" s="48" t="s">
        <v>64</v>
      </c>
      <c r="C5" s="48">
        <f>'DRAFT SURVEY'!B8</f>
        <v>8.6199999999999992</v>
      </c>
      <c r="D5" s="252">
        <f>(C5+C6)/2</f>
        <v>8.4699999999999989</v>
      </c>
      <c r="E5" s="260">
        <f>D5</f>
        <v>8.4699999999999989</v>
      </c>
      <c r="F5" s="58"/>
      <c r="G5" s="58"/>
      <c r="H5" s="58"/>
      <c r="I5" s="57"/>
      <c r="J5" s="251" t="s">
        <v>61</v>
      </c>
      <c r="K5" s="54" t="s">
        <v>64</v>
      </c>
      <c r="L5" s="54">
        <f>'DRAFT SURVEY'!F8</f>
        <v>10.9</v>
      </c>
      <c r="M5" s="252">
        <f>(L5+L6)/2</f>
        <v>10.75</v>
      </c>
      <c r="N5" s="260">
        <f>M5</f>
        <v>10.75</v>
      </c>
      <c r="O5" s="58"/>
      <c r="P5" s="58"/>
      <c r="Q5" s="58"/>
      <c r="R5" s="57"/>
      <c r="S5" s="57"/>
      <c r="T5" s="251" t="s">
        <v>61</v>
      </c>
      <c r="U5" s="54" t="s">
        <v>64</v>
      </c>
      <c r="V5" s="54">
        <f>'DRAFT SURVEY'!J8</f>
        <v>11.84</v>
      </c>
      <c r="W5" s="252">
        <f>(V5+V6)/2</f>
        <v>11.844999999999999</v>
      </c>
      <c r="X5" s="260">
        <f>W5</f>
        <v>11.844999999999999</v>
      </c>
      <c r="Y5" s="58"/>
      <c r="Z5" s="58"/>
      <c r="AA5" s="58"/>
      <c r="AB5" s="57"/>
    </row>
    <row r="6" spans="1:28" ht="14.25" customHeight="1" x14ac:dyDescent="0.25">
      <c r="A6" s="251"/>
      <c r="B6" s="48" t="s">
        <v>65</v>
      </c>
      <c r="C6" s="48">
        <f>'DRAFT SURVEY'!D8</f>
        <v>8.32</v>
      </c>
      <c r="D6" s="252"/>
      <c r="E6" s="260"/>
      <c r="F6" s="58"/>
      <c r="G6" s="58"/>
      <c r="H6" s="58"/>
      <c r="I6" s="57"/>
      <c r="J6" s="251"/>
      <c r="K6" s="54" t="s">
        <v>65</v>
      </c>
      <c r="L6" s="54">
        <f>'DRAFT SURVEY'!H8</f>
        <v>10.6</v>
      </c>
      <c r="M6" s="252"/>
      <c r="N6" s="260"/>
      <c r="O6" s="58"/>
      <c r="P6" s="58"/>
      <c r="Q6" s="58"/>
      <c r="R6" s="57"/>
      <c r="S6" s="57"/>
      <c r="T6" s="251"/>
      <c r="U6" s="54" t="s">
        <v>65</v>
      </c>
      <c r="V6" s="54">
        <f>'DRAFT SURVEY'!L8</f>
        <v>11.85</v>
      </c>
      <c r="W6" s="252"/>
      <c r="X6" s="260"/>
      <c r="Y6" s="58"/>
      <c r="Z6" s="58"/>
      <c r="AA6" s="58"/>
      <c r="AB6" s="57"/>
    </row>
    <row r="7" spans="1:28" ht="14.25" customHeight="1" x14ac:dyDescent="0.25">
      <c r="A7" s="251" t="s">
        <v>60</v>
      </c>
      <c r="B7" s="48" t="s">
        <v>64</v>
      </c>
      <c r="C7" s="48">
        <f>'DRAFT SURVEY'!B12</f>
        <v>9.15</v>
      </c>
      <c r="D7" s="252">
        <f>(C7+C8)/2</f>
        <v>9.15</v>
      </c>
      <c r="E7" s="260">
        <f>D7</f>
        <v>9.15</v>
      </c>
      <c r="F7" s="58"/>
      <c r="G7" s="58"/>
      <c r="H7" s="58"/>
      <c r="I7" s="57"/>
      <c r="J7" s="251" t="s">
        <v>60</v>
      </c>
      <c r="K7" s="54" t="s">
        <v>64</v>
      </c>
      <c r="L7" s="54">
        <f>'DRAFT SURVEY'!F12</f>
        <v>12.1</v>
      </c>
      <c r="M7" s="252">
        <f>(L7+L8)/2</f>
        <v>12.2</v>
      </c>
      <c r="N7" s="260">
        <f>M7</f>
        <v>12.2</v>
      </c>
      <c r="O7" s="58"/>
      <c r="P7" s="58"/>
      <c r="Q7" s="58"/>
      <c r="R7" s="57"/>
      <c r="S7" s="57"/>
      <c r="T7" s="251" t="s">
        <v>60</v>
      </c>
      <c r="U7" s="54" t="s">
        <v>64</v>
      </c>
      <c r="V7" s="54">
        <f>'DRAFT SURVEY'!J12</f>
        <v>11.91</v>
      </c>
      <c r="W7" s="252">
        <f>(V7+V8)/2</f>
        <v>11.91</v>
      </c>
      <c r="X7" s="260">
        <f>W7</f>
        <v>11.91</v>
      </c>
      <c r="Y7" s="58"/>
      <c r="Z7" s="58"/>
      <c r="AA7" s="58"/>
      <c r="AB7" s="57"/>
    </row>
    <row r="8" spans="1:28" ht="14.25" customHeight="1" x14ac:dyDescent="0.25">
      <c r="A8" s="251"/>
      <c r="B8" s="48" t="s">
        <v>65</v>
      </c>
      <c r="C8" s="48">
        <f>'DRAFT SURVEY'!D12</f>
        <v>9.15</v>
      </c>
      <c r="D8" s="252"/>
      <c r="E8" s="260"/>
      <c r="F8" s="58"/>
      <c r="G8" s="58"/>
      <c r="H8" s="58"/>
      <c r="I8" s="57"/>
      <c r="J8" s="251"/>
      <c r="K8" s="54" t="s">
        <v>65</v>
      </c>
      <c r="L8" s="54">
        <f>'DRAFT SURVEY'!H12</f>
        <v>12.3</v>
      </c>
      <c r="M8" s="252"/>
      <c r="N8" s="260"/>
      <c r="O8" s="58"/>
      <c r="P8" s="58"/>
      <c r="Q8" s="58"/>
      <c r="R8" s="57"/>
      <c r="S8" s="57"/>
      <c r="T8" s="251"/>
      <c r="U8" s="54" t="s">
        <v>65</v>
      </c>
      <c r="V8" s="54">
        <f>'DRAFT SURVEY'!L12</f>
        <v>11.91</v>
      </c>
      <c r="W8" s="252"/>
      <c r="X8" s="260"/>
      <c r="Y8" s="58"/>
      <c r="Z8" s="58"/>
      <c r="AA8" s="58"/>
      <c r="AB8" s="57"/>
    </row>
    <row r="9" spans="1:28" ht="14.25" customHeight="1" x14ac:dyDescent="0.25">
      <c r="A9" s="251" t="s">
        <v>66</v>
      </c>
      <c r="B9" s="251"/>
      <c r="C9" s="251"/>
      <c r="D9" s="266">
        <f>D7-D3</f>
        <v>1.3500000000000005</v>
      </c>
      <c r="E9" s="260">
        <f>D9</f>
        <v>1.3500000000000005</v>
      </c>
      <c r="F9" s="58"/>
      <c r="G9" s="58"/>
      <c r="H9" s="58"/>
      <c r="I9" s="57"/>
      <c r="J9" s="251" t="s">
        <v>66</v>
      </c>
      <c r="K9" s="251"/>
      <c r="L9" s="251"/>
      <c r="M9" s="266">
        <f>M7-M3</f>
        <v>2.629999999999999</v>
      </c>
      <c r="N9" s="260">
        <f>M9</f>
        <v>2.629999999999999</v>
      </c>
      <c r="O9" s="58"/>
      <c r="P9" s="58"/>
      <c r="Q9" s="58"/>
      <c r="R9" s="57"/>
      <c r="S9" s="57"/>
      <c r="T9" s="251" t="s">
        <v>66</v>
      </c>
      <c r="U9" s="251"/>
      <c r="V9" s="251"/>
      <c r="W9" s="266">
        <f>W7-W3</f>
        <v>0.24000000000000021</v>
      </c>
      <c r="X9" s="260">
        <f>W9</f>
        <v>0.24000000000000021</v>
      </c>
      <c r="Y9" s="58"/>
      <c r="Z9" s="58"/>
      <c r="AA9" s="58"/>
      <c r="AB9" s="57"/>
    </row>
    <row r="10" spans="1:28" ht="14.25" customHeight="1" x14ac:dyDescent="0.25">
      <c r="A10" s="251"/>
      <c r="B10" s="251"/>
      <c r="C10" s="251"/>
      <c r="D10" s="259"/>
      <c r="E10" s="260"/>
      <c r="F10" s="58"/>
      <c r="G10" s="58"/>
      <c r="H10" s="58"/>
      <c r="I10" s="57"/>
      <c r="J10" s="251"/>
      <c r="K10" s="251"/>
      <c r="L10" s="251"/>
      <c r="M10" s="259"/>
      <c r="N10" s="260"/>
      <c r="O10" s="58"/>
      <c r="P10" s="58"/>
      <c r="Q10" s="58"/>
      <c r="R10" s="57"/>
      <c r="S10" s="57"/>
      <c r="T10" s="251"/>
      <c r="U10" s="251"/>
      <c r="V10" s="251"/>
      <c r="W10" s="259"/>
      <c r="X10" s="260"/>
      <c r="Y10" s="58"/>
      <c r="Z10" s="58"/>
      <c r="AA10" s="58"/>
      <c r="AB10" s="57"/>
    </row>
    <row r="11" spans="1:28" ht="14.25" customHeight="1" x14ac:dyDescent="0.25">
      <c r="A11" s="58"/>
      <c r="B11" s="58"/>
      <c r="C11" s="58"/>
      <c r="D11" s="58"/>
      <c r="E11" s="58"/>
      <c r="F11" s="58"/>
      <c r="G11" s="58"/>
      <c r="H11" s="58"/>
      <c r="I11" s="57"/>
      <c r="J11" s="58"/>
      <c r="K11" s="58"/>
      <c r="L11" s="58"/>
      <c r="M11" s="58"/>
      <c r="N11" s="58"/>
      <c r="O11" s="58"/>
      <c r="P11" s="58"/>
      <c r="Q11" s="58"/>
      <c r="R11" s="57"/>
      <c r="S11" s="57"/>
      <c r="T11" s="58"/>
      <c r="U11" s="58"/>
      <c r="V11" s="58"/>
      <c r="W11" s="58"/>
      <c r="X11" s="58"/>
      <c r="Y11" s="58"/>
      <c r="Z11" s="58"/>
      <c r="AA11" s="58"/>
      <c r="AB11" s="57"/>
    </row>
    <row r="12" spans="1:28" ht="14.25" customHeight="1" x14ac:dyDescent="0.25">
      <c r="A12" s="262" t="s">
        <v>67</v>
      </c>
      <c r="B12" s="262"/>
      <c r="C12" s="262"/>
      <c r="D12" s="252">
        <f>(1.5*D9)/DATA!G6</f>
        <v>8.7473002159827243E-3</v>
      </c>
      <c r="E12" s="260">
        <f>D12</f>
        <v>8.7473002159827243E-3</v>
      </c>
      <c r="F12" s="58"/>
      <c r="G12" s="58"/>
      <c r="H12" s="58"/>
      <c r="I12" s="57"/>
      <c r="J12" s="262" t="s">
        <v>67</v>
      </c>
      <c r="K12" s="262"/>
      <c r="L12" s="262"/>
      <c r="M12" s="252">
        <f>(1.5*M9)/DATA!G11</f>
        <v>1.8348837209302318E-2</v>
      </c>
      <c r="N12" s="260">
        <f>M12</f>
        <v>1.8348837209302318E-2</v>
      </c>
      <c r="O12" s="58"/>
      <c r="P12" s="58"/>
      <c r="Q12" s="58"/>
      <c r="R12" s="57"/>
      <c r="S12" s="57"/>
      <c r="T12" s="262" t="s">
        <v>67</v>
      </c>
      <c r="U12" s="262"/>
      <c r="V12" s="262"/>
      <c r="W12" s="272">
        <f>(1.5*W9)/DATA!G11</f>
        <v>1.6744186046511642E-3</v>
      </c>
      <c r="X12" s="260">
        <f>W12</f>
        <v>1.6744186046511642E-3</v>
      </c>
      <c r="Y12" s="58"/>
      <c r="Z12" s="58"/>
      <c r="AA12" s="58"/>
      <c r="AB12" s="57"/>
    </row>
    <row r="13" spans="1:28" ht="14.25" customHeight="1" x14ac:dyDescent="0.25">
      <c r="A13" s="262"/>
      <c r="B13" s="262"/>
      <c r="C13" s="262"/>
      <c r="D13" s="252"/>
      <c r="E13" s="260"/>
      <c r="F13" s="58"/>
      <c r="G13" s="58"/>
      <c r="H13" s="58"/>
      <c r="I13" s="57"/>
      <c r="J13" s="262"/>
      <c r="K13" s="262"/>
      <c r="L13" s="262"/>
      <c r="M13" s="252"/>
      <c r="N13" s="260"/>
      <c r="O13" s="58"/>
      <c r="P13" s="58"/>
      <c r="Q13" s="58"/>
      <c r="R13" s="57"/>
      <c r="S13" s="57"/>
      <c r="T13" s="262"/>
      <c r="U13" s="262"/>
      <c r="V13" s="262"/>
      <c r="W13" s="272"/>
      <c r="X13" s="260"/>
      <c r="Y13" s="58"/>
      <c r="Z13" s="58"/>
      <c r="AA13" s="58"/>
      <c r="AB13" s="57"/>
    </row>
    <row r="14" spans="1:28" ht="14.25" customHeight="1" x14ac:dyDescent="0.25">
      <c r="A14" s="262" t="s">
        <v>68</v>
      </c>
      <c r="B14" s="262"/>
      <c r="C14" s="262"/>
      <c r="D14" s="252">
        <f>(1.5*D9)/DATA!G6</f>
        <v>8.7473002159827243E-3</v>
      </c>
      <c r="E14" s="260">
        <f>D14</f>
        <v>8.7473002159827243E-3</v>
      </c>
      <c r="F14" s="58"/>
      <c r="G14" s="58"/>
      <c r="H14" s="58"/>
      <c r="I14" s="57"/>
      <c r="J14" s="262" t="s">
        <v>68</v>
      </c>
      <c r="K14" s="262"/>
      <c r="L14" s="262"/>
      <c r="M14" s="252">
        <f>(18*M9)/DATA!G11</f>
        <v>0.22018604651162782</v>
      </c>
      <c r="N14" s="260">
        <f>M14</f>
        <v>0.22018604651162782</v>
      </c>
      <c r="O14" s="58"/>
      <c r="P14" s="58"/>
      <c r="Q14" s="58"/>
      <c r="R14" s="57"/>
      <c r="S14" s="57"/>
      <c r="T14" s="262" t="s">
        <v>68</v>
      </c>
      <c r="U14" s="262"/>
      <c r="V14" s="262"/>
      <c r="W14" s="272">
        <f>(18*W9)/DATA!G11</f>
        <v>2.0093023255813972E-2</v>
      </c>
      <c r="X14" s="260">
        <f>W14</f>
        <v>2.0093023255813972E-2</v>
      </c>
      <c r="Y14" s="58"/>
      <c r="Z14" s="58"/>
      <c r="AA14" s="58"/>
      <c r="AB14" s="57"/>
    </row>
    <row r="15" spans="1:28" ht="14.25" customHeight="1" x14ac:dyDescent="0.25">
      <c r="A15" s="262"/>
      <c r="B15" s="262"/>
      <c r="C15" s="262"/>
      <c r="D15" s="252"/>
      <c r="E15" s="260"/>
      <c r="F15" s="58"/>
      <c r="G15" s="58"/>
      <c r="H15" s="58"/>
      <c r="I15" s="57"/>
      <c r="J15" s="262"/>
      <c r="K15" s="262"/>
      <c r="L15" s="262"/>
      <c r="M15" s="252"/>
      <c r="N15" s="260"/>
      <c r="O15" s="58"/>
      <c r="P15" s="58"/>
      <c r="Q15" s="58"/>
      <c r="R15" s="57"/>
      <c r="S15" s="57"/>
      <c r="T15" s="262"/>
      <c r="U15" s="262"/>
      <c r="V15" s="262"/>
      <c r="W15" s="272"/>
      <c r="X15" s="260"/>
      <c r="Y15" s="58"/>
      <c r="Z15" s="58"/>
      <c r="AA15" s="58"/>
      <c r="AB15" s="57"/>
    </row>
    <row r="16" spans="1:28" ht="14.25" customHeight="1" x14ac:dyDescent="0.25">
      <c r="A16" s="58"/>
      <c r="B16" s="58"/>
      <c r="C16" s="58"/>
      <c r="D16" s="58"/>
      <c r="E16" s="58"/>
      <c r="F16" s="58"/>
      <c r="G16" s="58"/>
      <c r="H16" s="58"/>
      <c r="I16" s="57"/>
      <c r="J16" s="58"/>
      <c r="K16" s="58"/>
      <c r="L16" s="58"/>
      <c r="M16" s="58"/>
      <c r="N16" s="58"/>
      <c r="O16" s="58"/>
      <c r="P16" s="58"/>
      <c r="Q16" s="58"/>
      <c r="R16" s="57"/>
      <c r="S16" s="57"/>
      <c r="T16" s="58"/>
      <c r="U16" s="58"/>
      <c r="V16" s="58"/>
      <c r="W16" s="58"/>
      <c r="X16" s="58"/>
      <c r="Y16" s="58"/>
      <c r="Z16" s="58"/>
      <c r="AA16" s="58"/>
      <c r="AB16" s="57"/>
    </row>
    <row r="17" spans="1:28" ht="14.25" customHeight="1" x14ac:dyDescent="0.25">
      <c r="A17" s="251" t="s">
        <v>69</v>
      </c>
      <c r="B17" s="251"/>
      <c r="C17" s="251"/>
      <c r="D17" s="251" t="s">
        <v>70</v>
      </c>
      <c r="E17" s="58"/>
      <c r="F17" s="58"/>
      <c r="G17" s="58"/>
      <c r="H17" s="58"/>
      <c r="I17" s="57"/>
      <c r="J17" s="251" t="s">
        <v>69</v>
      </c>
      <c r="K17" s="251"/>
      <c r="L17" s="251"/>
      <c r="M17" s="251" t="s">
        <v>70</v>
      </c>
      <c r="N17" s="58"/>
      <c r="O17" s="58"/>
      <c r="P17" s="58"/>
      <c r="Q17" s="58"/>
      <c r="R17" s="57"/>
      <c r="S17" s="57"/>
      <c r="T17" s="251" t="s">
        <v>69</v>
      </c>
      <c r="U17" s="251"/>
      <c r="V17" s="251"/>
      <c r="W17" s="251" t="s">
        <v>70</v>
      </c>
      <c r="X17" s="58"/>
      <c r="Y17" s="58"/>
      <c r="Z17" s="58"/>
      <c r="AA17" s="58"/>
      <c r="AB17" s="57"/>
    </row>
    <row r="18" spans="1:28" ht="14.25" customHeight="1" x14ac:dyDescent="0.25">
      <c r="A18" s="251"/>
      <c r="B18" s="251"/>
      <c r="C18" s="251"/>
      <c r="D18" s="251"/>
      <c r="E18" s="58"/>
      <c r="F18" s="58"/>
      <c r="G18" s="58"/>
      <c r="H18" s="58"/>
      <c r="I18" s="57"/>
      <c r="J18" s="251"/>
      <c r="K18" s="251"/>
      <c r="L18" s="251"/>
      <c r="M18" s="251"/>
      <c r="N18" s="58"/>
      <c r="O18" s="58"/>
      <c r="P18" s="58"/>
      <c r="Q18" s="58"/>
      <c r="R18" s="57"/>
      <c r="S18" s="57"/>
      <c r="T18" s="251"/>
      <c r="U18" s="251"/>
      <c r="V18" s="251"/>
      <c r="W18" s="251"/>
      <c r="X18" s="58"/>
      <c r="Y18" s="58"/>
      <c r="Z18" s="58"/>
      <c r="AA18" s="58"/>
      <c r="AB18" s="57"/>
    </row>
    <row r="19" spans="1:28" ht="14.25" customHeight="1" x14ac:dyDescent="0.25">
      <c r="A19" s="251" t="s">
        <v>59</v>
      </c>
      <c r="B19" s="253">
        <f>D3-D12</f>
        <v>7.7912526997840175</v>
      </c>
      <c r="C19" s="253"/>
      <c r="D19" s="252">
        <f>B21-B19</f>
        <v>1.3674946004319661</v>
      </c>
      <c r="E19" s="260">
        <f>D19</f>
        <v>1.3674946004319661</v>
      </c>
      <c r="F19" s="58"/>
      <c r="G19" s="58"/>
      <c r="H19" s="58"/>
      <c r="I19" s="57"/>
      <c r="J19" s="251" t="s">
        <v>59</v>
      </c>
      <c r="K19" s="253">
        <f>M3-M12</f>
        <v>9.5516511627906979</v>
      </c>
      <c r="L19" s="253"/>
      <c r="M19" s="252">
        <f>K21-K19</f>
        <v>2.8685348837209297</v>
      </c>
      <c r="N19" s="260">
        <f>M19</f>
        <v>2.8685348837209297</v>
      </c>
      <c r="O19" s="58"/>
      <c r="P19" s="58"/>
      <c r="Q19" s="58"/>
      <c r="R19" s="57"/>
      <c r="S19" s="57"/>
      <c r="T19" s="251" t="s">
        <v>59</v>
      </c>
      <c r="U19" s="253">
        <f>W3-W12</f>
        <v>11.668325581395349</v>
      </c>
      <c r="V19" s="253"/>
      <c r="W19" s="252">
        <f>U21-U19</f>
        <v>0.26176744186046541</v>
      </c>
      <c r="X19" s="260">
        <f>W19</f>
        <v>0.26176744186046541</v>
      </c>
      <c r="Y19" s="58"/>
      <c r="Z19" s="58"/>
      <c r="AA19" s="58"/>
      <c r="AB19" s="57"/>
    </row>
    <row r="20" spans="1:28" ht="14.25" customHeight="1" x14ac:dyDescent="0.25">
      <c r="A20" s="251"/>
      <c r="B20" s="253"/>
      <c r="C20" s="253"/>
      <c r="D20" s="252"/>
      <c r="E20" s="260"/>
      <c r="F20" s="58"/>
      <c r="G20" s="58"/>
      <c r="H20" s="58"/>
      <c r="I20" s="57"/>
      <c r="J20" s="251"/>
      <c r="K20" s="253"/>
      <c r="L20" s="253"/>
      <c r="M20" s="252"/>
      <c r="N20" s="260"/>
      <c r="O20" s="58"/>
      <c r="P20" s="58"/>
      <c r="Q20" s="58"/>
      <c r="R20" s="57"/>
      <c r="S20" s="57"/>
      <c r="T20" s="251"/>
      <c r="U20" s="253"/>
      <c r="V20" s="253"/>
      <c r="W20" s="252"/>
      <c r="X20" s="260"/>
      <c r="Y20" s="58"/>
      <c r="Z20" s="58"/>
      <c r="AA20" s="58"/>
      <c r="AB20" s="57"/>
    </row>
    <row r="21" spans="1:28" ht="14.25" customHeight="1" x14ac:dyDescent="0.25">
      <c r="A21" s="251" t="s">
        <v>60</v>
      </c>
      <c r="B21" s="253">
        <f>D7+D14</f>
        <v>9.1587473002159836</v>
      </c>
      <c r="C21" s="253"/>
      <c r="D21" s="252"/>
      <c r="E21" s="260"/>
      <c r="F21" s="58"/>
      <c r="G21" s="58"/>
      <c r="H21" s="58"/>
      <c r="I21" s="57"/>
      <c r="J21" s="251" t="s">
        <v>60</v>
      </c>
      <c r="K21" s="253">
        <f>M7+M14</f>
        <v>12.420186046511628</v>
      </c>
      <c r="L21" s="253"/>
      <c r="M21" s="252"/>
      <c r="N21" s="260"/>
      <c r="O21" s="58"/>
      <c r="P21" s="58"/>
      <c r="Q21" s="58"/>
      <c r="R21" s="57"/>
      <c r="S21" s="57"/>
      <c r="T21" s="251" t="s">
        <v>60</v>
      </c>
      <c r="U21" s="253">
        <f>W7+W14</f>
        <v>11.930093023255814</v>
      </c>
      <c r="V21" s="253"/>
      <c r="W21" s="252"/>
      <c r="X21" s="260"/>
      <c r="Y21" s="58"/>
      <c r="Z21" s="58"/>
      <c r="AA21" s="58"/>
      <c r="AB21" s="57"/>
    </row>
    <row r="22" spans="1:28" ht="14.25" customHeight="1" x14ac:dyDescent="0.25">
      <c r="A22" s="251"/>
      <c r="B22" s="253"/>
      <c r="C22" s="253"/>
      <c r="D22" s="252"/>
      <c r="E22" s="260"/>
      <c r="F22" s="58"/>
      <c r="G22" s="58"/>
      <c r="H22" s="58"/>
      <c r="I22" s="57"/>
      <c r="J22" s="251"/>
      <c r="K22" s="253"/>
      <c r="L22" s="253"/>
      <c r="M22" s="252"/>
      <c r="N22" s="260"/>
      <c r="O22" s="58"/>
      <c r="P22" s="58"/>
      <c r="Q22" s="58"/>
      <c r="R22" s="57"/>
      <c r="S22" s="57"/>
      <c r="T22" s="251"/>
      <c r="U22" s="253"/>
      <c r="V22" s="253"/>
      <c r="W22" s="252"/>
      <c r="X22" s="260"/>
      <c r="Y22" s="58"/>
      <c r="Z22" s="58"/>
      <c r="AA22" s="58"/>
      <c r="AB22" s="57"/>
    </row>
    <row r="23" spans="1:28" x14ac:dyDescent="0.25">
      <c r="A23" s="58"/>
      <c r="B23" s="58"/>
      <c r="C23" s="58"/>
      <c r="D23" s="58"/>
      <c r="E23" s="58"/>
      <c r="F23" s="58"/>
      <c r="G23" s="58"/>
      <c r="H23" s="58"/>
      <c r="I23" s="57"/>
      <c r="J23" s="58"/>
      <c r="K23" s="58"/>
      <c r="L23" s="58"/>
      <c r="M23" s="58"/>
      <c r="N23" s="58"/>
      <c r="O23" s="58"/>
      <c r="P23" s="58"/>
      <c r="Q23" s="58"/>
      <c r="R23" s="57"/>
      <c r="S23" s="57"/>
      <c r="T23" s="58"/>
      <c r="U23" s="58"/>
      <c r="V23" s="58"/>
      <c r="W23" s="58"/>
      <c r="X23" s="58"/>
      <c r="Y23" s="58"/>
      <c r="Z23" s="58"/>
      <c r="AA23" s="58"/>
      <c r="AB23" s="57"/>
    </row>
    <row r="24" spans="1:28" x14ac:dyDescent="0.25">
      <c r="A24" s="251" t="s">
        <v>71</v>
      </c>
      <c r="B24" s="251"/>
      <c r="C24" s="251"/>
      <c r="D24" s="251"/>
      <c r="E24" s="254"/>
      <c r="F24" s="254"/>
      <c r="G24" s="255"/>
      <c r="H24" s="58"/>
      <c r="I24" s="57"/>
      <c r="J24" s="251" t="s">
        <v>71</v>
      </c>
      <c r="K24" s="251"/>
      <c r="L24" s="251"/>
      <c r="M24" s="251"/>
      <c r="N24" s="254"/>
      <c r="O24" s="254"/>
      <c r="P24" s="255"/>
      <c r="Q24" s="58"/>
      <c r="R24" s="57"/>
      <c r="S24" s="57"/>
      <c r="T24" s="251" t="s">
        <v>71</v>
      </c>
      <c r="U24" s="251"/>
      <c r="V24" s="251"/>
      <c r="W24" s="251"/>
      <c r="X24" s="254"/>
      <c r="Y24" s="254"/>
      <c r="Z24" s="255"/>
      <c r="AA24" s="58"/>
      <c r="AB24" s="57"/>
    </row>
    <row r="25" spans="1:28" x14ac:dyDescent="0.25">
      <c r="A25" s="251"/>
      <c r="B25" s="251"/>
      <c r="C25" s="251"/>
      <c r="D25" s="251"/>
      <c r="E25" s="254"/>
      <c r="F25" s="254"/>
      <c r="G25" s="255"/>
      <c r="H25" s="58"/>
      <c r="I25" s="57"/>
      <c r="J25" s="251"/>
      <c r="K25" s="251"/>
      <c r="L25" s="251"/>
      <c r="M25" s="251"/>
      <c r="N25" s="254"/>
      <c r="O25" s="254"/>
      <c r="P25" s="255"/>
      <c r="Q25" s="58"/>
      <c r="R25" s="57"/>
      <c r="S25" s="57"/>
      <c r="T25" s="251"/>
      <c r="U25" s="251"/>
      <c r="V25" s="251"/>
      <c r="W25" s="251"/>
      <c r="X25" s="254"/>
      <c r="Y25" s="254"/>
      <c r="Z25" s="255"/>
      <c r="AA25" s="58"/>
      <c r="AB25" s="57"/>
    </row>
    <row r="26" spans="1:28" ht="14.25" customHeight="1" x14ac:dyDescent="0.25">
      <c r="A26" s="251" t="s">
        <v>72</v>
      </c>
      <c r="B26" s="251"/>
      <c r="C26" s="251"/>
      <c r="D26" s="252">
        <f>(B19+B21)/2</f>
        <v>8.4750000000000014</v>
      </c>
      <c r="E26" s="260">
        <f>D26</f>
        <v>8.4750000000000014</v>
      </c>
      <c r="F26" s="58"/>
      <c r="G26" s="58"/>
      <c r="H26" s="58"/>
      <c r="I26" s="57"/>
      <c r="J26" s="251" t="s">
        <v>72</v>
      </c>
      <c r="K26" s="251"/>
      <c r="L26" s="251"/>
      <c r="M26" s="252">
        <f>(K19+K21)/2</f>
        <v>10.985918604651163</v>
      </c>
      <c r="N26" s="260">
        <f>M26</f>
        <v>10.985918604651163</v>
      </c>
      <c r="O26" s="58"/>
      <c r="P26" s="58"/>
      <c r="Q26" s="58"/>
      <c r="R26" s="57"/>
      <c r="S26" s="57"/>
      <c r="T26" s="251" t="s">
        <v>72</v>
      </c>
      <c r="U26" s="251"/>
      <c r="V26" s="251"/>
      <c r="W26" s="252">
        <f>(U19+U21)/2</f>
        <v>11.799209302325583</v>
      </c>
      <c r="X26" s="260">
        <f>W26</f>
        <v>11.799209302325583</v>
      </c>
      <c r="Y26" s="58"/>
      <c r="Z26" s="58"/>
      <c r="AA26" s="58"/>
      <c r="AB26" s="57"/>
    </row>
    <row r="27" spans="1:28" ht="14.25" customHeight="1" x14ac:dyDescent="0.25">
      <c r="A27" s="251"/>
      <c r="B27" s="251"/>
      <c r="C27" s="251"/>
      <c r="D27" s="252"/>
      <c r="E27" s="260"/>
      <c r="F27" s="58"/>
      <c r="G27" s="58"/>
      <c r="H27" s="58"/>
      <c r="I27" s="57"/>
      <c r="J27" s="251"/>
      <c r="K27" s="251"/>
      <c r="L27" s="251"/>
      <c r="M27" s="252"/>
      <c r="N27" s="260"/>
      <c r="O27" s="58"/>
      <c r="P27" s="58"/>
      <c r="Q27" s="58"/>
      <c r="R27" s="57"/>
      <c r="S27" s="57"/>
      <c r="T27" s="251"/>
      <c r="U27" s="251"/>
      <c r="V27" s="251"/>
      <c r="W27" s="252"/>
      <c r="X27" s="260"/>
      <c r="Y27" s="58"/>
      <c r="Z27" s="58"/>
      <c r="AA27" s="58"/>
      <c r="AB27" s="57"/>
    </row>
    <row r="28" spans="1:28" ht="14.25" customHeight="1" x14ac:dyDescent="0.25">
      <c r="A28" s="251" t="s">
        <v>73</v>
      </c>
      <c r="B28" s="251"/>
      <c r="C28" s="251"/>
      <c r="D28" s="252">
        <f>(D26+D5)/2</f>
        <v>8.4725000000000001</v>
      </c>
      <c r="E28" s="260">
        <f>D28</f>
        <v>8.4725000000000001</v>
      </c>
      <c r="F28" s="58"/>
      <c r="G28" s="58"/>
      <c r="H28" s="58"/>
      <c r="I28" s="57"/>
      <c r="J28" s="251" t="s">
        <v>73</v>
      </c>
      <c r="K28" s="251"/>
      <c r="L28" s="251"/>
      <c r="M28" s="252">
        <f>(M26+M5)/2</f>
        <v>10.86795930232558</v>
      </c>
      <c r="N28" s="260">
        <f>M28</f>
        <v>10.86795930232558</v>
      </c>
      <c r="O28" s="58"/>
      <c r="P28" s="58"/>
      <c r="Q28" s="58"/>
      <c r="R28" s="57"/>
      <c r="S28" s="57"/>
      <c r="T28" s="251" t="s">
        <v>73</v>
      </c>
      <c r="U28" s="251"/>
      <c r="V28" s="251"/>
      <c r="W28" s="252">
        <f>(W26+W5)/2</f>
        <v>11.822104651162791</v>
      </c>
      <c r="X28" s="260">
        <f>W28</f>
        <v>11.822104651162791</v>
      </c>
      <c r="Y28" s="58"/>
      <c r="Z28" s="58"/>
      <c r="AA28" s="58"/>
      <c r="AB28" s="57"/>
    </row>
    <row r="29" spans="1:28" ht="14.25" customHeight="1" x14ac:dyDescent="0.25">
      <c r="A29" s="251"/>
      <c r="B29" s="251"/>
      <c r="C29" s="251"/>
      <c r="D29" s="252"/>
      <c r="E29" s="260"/>
      <c r="F29" s="58"/>
      <c r="G29" s="58"/>
      <c r="H29" s="58"/>
      <c r="I29" s="57"/>
      <c r="J29" s="251"/>
      <c r="K29" s="251"/>
      <c r="L29" s="251"/>
      <c r="M29" s="252"/>
      <c r="N29" s="260"/>
      <c r="O29" s="58"/>
      <c r="P29" s="58"/>
      <c r="Q29" s="58"/>
      <c r="R29" s="57"/>
      <c r="S29" s="57"/>
      <c r="T29" s="251"/>
      <c r="U29" s="251"/>
      <c r="V29" s="251"/>
      <c r="W29" s="252"/>
      <c r="X29" s="260"/>
      <c r="Y29" s="58"/>
      <c r="Z29" s="58"/>
      <c r="AA29" s="58"/>
      <c r="AB29" s="57"/>
    </row>
    <row r="30" spans="1:28" ht="14.25" customHeight="1" x14ac:dyDescent="0.25">
      <c r="A30" s="251" t="s">
        <v>71</v>
      </c>
      <c r="B30" s="251"/>
      <c r="C30" s="251"/>
      <c r="D30" s="252">
        <f>(D28+D5)/2</f>
        <v>8.4712499999999995</v>
      </c>
      <c r="E30" s="260">
        <f>D30</f>
        <v>8.4712499999999995</v>
      </c>
      <c r="F30" s="261">
        <f>LOOKUP(D30,HYDRO!A:A)</f>
        <v>8.4000000000000021</v>
      </c>
      <c r="G30" s="261">
        <f>F30+0.2</f>
        <v>8.6000000000000014</v>
      </c>
      <c r="H30" s="58"/>
      <c r="I30" s="57"/>
      <c r="J30" s="251" t="s">
        <v>71</v>
      </c>
      <c r="K30" s="251"/>
      <c r="L30" s="251"/>
      <c r="M30" s="252">
        <f>(M28+M5)/2</f>
        <v>10.80897965116279</v>
      </c>
      <c r="N30" s="260">
        <f>M30</f>
        <v>10.80897965116279</v>
      </c>
      <c r="O30" s="261">
        <f>LOOKUP(M30,HYDRO!A:A)</f>
        <v>10.799999999999994</v>
      </c>
      <c r="P30" s="261">
        <f>O30+0.2</f>
        <v>10.999999999999993</v>
      </c>
      <c r="Q30" s="58"/>
      <c r="R30" s="57"/>
      <c r="S30" s="57"/>
      <c r="T30" s="251" t="s">
        <v>71</v>
      </c>
      <c r="U30" s="251"/>
      <c r="V30" s="251"/>
      <c r="W30" s="252">
        <f>(W28+W5)/2</f>
        <v>11.833552325581394</v>
      </c>
      <c r="X30" s="260">
        <f>W30</f>
        <v>11.833552325581394</v>
      </c>
      <c r="Y30" s="261">
        <f>LOOKUP(W30,HYDRO!A:A)</f>
        <v>11.79999999999999</v>
      </c>
      <c r="Z30" s="261">
        <f>Y30+0.2</f>
        <v>11.999999999999989</v>
      </c>
      <c r="AA30" s="58"/>
      <c r="AB30" s="57"/>
    </row>
    <row r="31" spans="1:28" ht="14.25" customHeight="1" x14ac:dyDescent="0.25">
      <c r="A31" s="251"/>
      <c r="B31" s="251"/>
      <c r="C31" s="251"/>
      <c r="D31" s="252"/>
      <c r="E31" s="260"/>
      <c r="F31" s="261"/>
      <c r="G31" s="261"/>
      <c r="H31" s="58"/>
      <c r="I31" s="57"/>
      <c r="J31" s="251"/>
      <c r="K31" s="251"/>
      <c r="L31" s="251"/>
      <c r="M31" s="252"/>
      <c r="N31" s="260"/>
      <c r="O31" s="261"/>
      <c r="P31" s="261"/>
      <c r="Q31" s="58"/>
      <c r="R31" s="57"/>
      <c r="S31" s="57"/>
      <c r="T31" s="251"/>
      <c r="U31" s="251"/>
      <c r="V31" s="251"/>
      <c r="W31" s="252"/>
      <c r="X31" s="260"/>
      <c r="Y31" s="261"/>
      <c r="Z31" s="261"/>
      <c r="AA31" s="58"/>
      <c r="AB31" s="57"/>
    </row>
    <row r="32" spans="1:28" x14ac:dyDescent="0.25">
      <c r="A32" s="58"/>
      <c r="B32" s="58"/>
      <c r="C32" s="58"/>
      <c r="D32" s="59"/>
      <c r="E32" s="58"/>
      <c r="F32" s="60"/>
      <c r="G32" s="58"/>
      <c r="H32" s="58"/>
      <c r="I32" s="57"/>
      <c r="J32" s="58"/>
      <c r="K32" s="58"/>
      <c r="L32" s="58"/>
      <c r="M32" s="59"/>
      <c r="N32" s="58"/>
      <c r="O32" s="60"/>
      <c r="P32" s="58"/>
      <c r="Q32" s="58"/>
      <c r="R32" s="57"/>
      <c r="S32" s="57"/>
      <c r="T32" s="58"/>
      <c r="U32" s="58"/>
      <c r="V32" s="58"/>
      <c r="W32" s="59"/>
      <c r="X32" s="58"/>
      <c r="Y32" s="60"/>
      <c r="Z32" s="58"/>
      <c r="AA32" s="58"/>
      <c r="AB32" s="58"/>
    </row>
    <row r="33" spans="1:28" ht="14.25" customHeight="1" x14ac:dyDescent="0.25">
      <c r="A33" s="262" t="s">
        <v>74</v>
      </c>
      <c r="B33" s="262"/>
      <c r="C33" s="262"/>
      <c r="D33" s="259">
        <f>LOOKUP(F30,HYDRO!A:A,HYDRO!B:B)</f>
        <v>70765</v>
      </c>
      <c r="E33" s="267">
        <f>A35</f>
        <v>71401.974999999977</v>
      </c>
      <c r="F33" s="267"/>
      <c r="G33" s="267"/>
      <c r="H33" s="58"/>
      <c r="I33" s="57"/>
      <c r="J33" s="262" t="s">
        <v>74</v>
      </c>
      <c r="K33" s="262"/>
      <c r="L33" s="262"/>
      <c r="M33" s="259">
        <f>LOOKUP(O30,HYDRO!A:A,HYDRO!B:B)</f>
        <v>92563</v>
      </c>
      <c r="N33" s="267">
        <f>J35</f>
        <v>92646.10667151169</v>
      </c>
      <c r="O33" s="267"/>
      <c r="P33" s="267"/>
      <c r="Q33" s="58"/>
      <c r="R33" s="57"/>
      <c r="S33" s="57"/>
      <c r="T33" s="262" t="s">
        <v>74</v>
      </c>
      <c r="U33" s="262"/>
      <c r="V33" s="262"/>
      <c r="W33" s="259">
        <f>LOOKUP(Y30,HYDRO!A:A,HYDRO!B:B)</f>
        <v>101864</v>
      </c>
      <c r="X33" s="267">
        <f>T35</f>
        <v>102178.55305232566</v>
      </c>
      <c r="Y33" s="267"/>
      <c r="Z33" s="267"/>
      <c r="AA33" s="58"/>
      <c r="AB33" s="57"/>
    </row>
    <row r="34" spans="1:28" x14ac:dyDescent="0.25">
      <c r="A34" s="262"/>
      <c r="B34" s="262"/>
      <c r="C34" s="262"/>
      <c r="D34" s="259"/>
      <c r="E34" s="267"/>
      <c r="F34" s="267"/>
      <c r="G34" s="267"/>
      <c r="H34" s="58"/>
      <c r="I34" s="57"/>
      <c r="J34" s="262"/>
      <c r="K34" s="262"/>
      <c r="L34" s="262"/>
      <c r="M34" s="259"/>
      <c r="N34" s="267"/>
      <c r="O34" s="267"/>
      <c r="P34" s="267"/>
      <c r="Q34" s="58"/>
      <c r="R34" s="57"/>
      <c r="S34" s="57"/>
      <c r="T34" s="262"/>
      <c r="U34" s="262"/>
      <c r="V34" s="262"/>
      <c r="W34" s="259"/>
      <c r="X34" s="267"/>
      <c r="Y34" s="267"/>
      <c r="Z34" s="267"/>
      <c r="AA34" s="58"/>
      <c r="AB34" s="57"/>
    </row>
    <row r="35" spans="1:28" x14ac:dyDescent="0.25">
      <c r="A35" s="268">
        <f>(D30-G30)/(F30-G30)*(D33-D35)+D35</f>
        <v>71401.974999999977</v>
      </c>
      <c r="B35" s="268"/>
      <c r="C35" s="268"/>
      <c r="D35" s="259">
        <f>LOOKUP(G30,HYDRO!A:A,HYDRO!B:B)</f>
        <v>72553</v>
      </c>
      <c r="E35" s="267"/>
      <c r="F35" s="267"/>
      <c r="G35" s="267"/>
      <c r="H35" s="58"/>
      <c r="I35" s="57"/>
      <c r="J35" s="268">
        <f>(M30-P30)/(O30-P30)*(M33-M35)+M35</f>
        <v>92646.10667151169</v>
      </c>
      <c r="K35" s="268"/>
      <c r="L35" s="268"/>
      <c r="M35" s="259">
        <f>LOOKUP(P30,HYDRO!A:A,HYDRO!B:B)</f>
        <v>94414</v>
      </c>
      <c r="N35" s="267"/>
      <c r="O35" s="267"/>
      <c r="P35" s="267"/>
      <c r="Q35" s="58"/>
      <c r="R35" s="57"/>
      <c r="S35" s="57"/>
      <c r="T35" s="268">
        <f>(W30-Z30)/(Y30-Z30)*(W33-W35)+W35</f>
        <v>102178.55305232566</v>
      </c>
      <c r="U35" s="268"/>
      <c r="V35" s="268"/>
      <c r="W35" s="259">
        <f>LOOKUP(Z30,HYDRO!A:A,HYDRO!B:B)</f>
        <v>103739</v>
      </c>
      <c r="X35" s="267"/>
      <c r="Y35" s="267"/>
      <c r="Z35" s="267"/>
      <c r="AA35" s="58"/>
      <c r="AB35" s="57"/>
    </row>
    <row r="36" spans="1:28" x14ac:dyDescent="0.25">
      <c r="A36" s="268"/>
      <c r="B36" s="268"/>
      <c r="C36" s="268"/>
      <c r="D36" s="259"/>
      <c r="E36" s="267"/>
      <c r="F36" s="267"/>
      <c r="G36" s="267"/>
      <c r="H36" s="58"/>
      <c r="I36" s="57"/>
      <c r="J36" s="268"/>
      <c r="K36" s="268"/>
      <c r="L36" s="268"/>
      <c r="M36" s="259"/>
      <c r="N36" s="267"/>
      <c r="O36" s="267"/>
      <c r="P36" s="267"/>
      <c r="Q36" s="58"/>
      <c r="R36" s="57"/>
      <c r="S36" s="57"/>
      <c r="T36" s="268"/>
      <c r="U36" s="268"/>
      <c r="V36" s="268"/>
      <c r="W36" s="259"/>
      <c r="X36" s="267"/>
      <c r="Y36" s="267"/>
      <c r="Z36" s="267"/>
      <c r="AA36" s="58"/>
      <c r="AB36" s="57"/>
    </row>
    <row r="37" spans="1:28" x14ac:dyDescent="0.25">
      <c r="A37" s="251" t="s">
        <v>75</v>
      </c>
      <c r="B37" s="251"/>
      <c r="C37" s="251"/>
      <c r="D37" s="251"/>
      <c r="E37" s="61"/>
      <c r="F37" s="61"/>
      <c r="G37" s="61"/>
      <c r="H37" s="61"/>
      <c r="I37" s="57"/>
      <c r="J37" s="251" t="s">
        <v>75</v>
      </c>
      <c r="K37" s="251"/>
      <c r="L37" s="251"/>
      <c r="M37" s="251"/>
      <c r="N37" s="61"/>
      <c r="O37" s="61"/>
      <c r="P37" s="61"/>
      <c r="Q37" s="61"/>
      <c r="R37" s="57"/>
      <c r="S37" s="57"/>
      <c r="T37" s="251" t="s">
        <v>75</v>
      </c>
      <c r="U37" s="251"/>
      <c r="V37" s="251"/>
      <c r="W37" s="251"/>
      <c r="X37" s="61"/>
      <c r="Y37" s="61"/>
      <c r="Z37" s="61"/>
      <c r="AA37" s="61"/>
      <c r="AB37" s="57"/>
    </row>
    <row r="38" spans="1:28" x14ac:dyDescent="0.25">
      <c r="A38" s="251"/>
      <c r="B38" s="251"/>
      <c r="C38" s="251"/>
      <c r="D38" s="251"/>
      <c r="E38" s="61"/>
      <c r="F38" s="61"/>
      <c r="G38" s="61"/>
      <c r="H38" s="61"/>
      <c r="I38" s="57"/>
      <c r="J38" s="251"/>
      <c r="K38" s="251"/>
      <c r="L38" s="251"/>
      <c r="M38" s="251"/>
      <c r="N38" s="61"/>
      <c r="O38" s="61"/>
      <c r="P38" s="61"/>
      <c r="Q38" s="61"/>
      <c r="R38" s="57"/>
      <c r="S38" s="57"/>
      <c r="T38" s="251"/>
      <c r="U38" s="251"/>
      <c r="V38" s="251"/>
      <c r="W38" s="251"/>
      <c r="X38" s="61"/>
      <c r="Y38" s="61"/>
      <c r="Z38" s="61"/>
      <c r="AA38" s="61"/>
      <c r="AB38" s="57"/>
    </row>
    <row r="39" spans="1:28" x14ac:dyDescent="0.25">
      <c r="A39" s="58"/>
      <c r="B39" s="58"/>
      <c r="C39" s="58"/>
      <c r="D39" s="62"/>
      <c r="E39" s="58"/>
      <c r="F39" s="58"/>
      <c r="G39" s="58"/>
      <c r="H39" s="58"/>
      <c r="I39" s="57"/>
      <c r="J39" s="58"/>
      <c r="K39" s="58"/>
      <c r="L39" s="58"/>
      <c r="M39" s="62"/>
      <c r="N39" s="58"/>
      <c r="O39" s="58"/>
      <c r="P39" s="58"/>
      <c r="Q39" s="58"/>
      <c r="R39" s="57"/>
      <c r="S39" s="57"/>
      <c r="T39" s="58"/>
      <c r="U39" s="58"/>
      <c r="V39" s="58"/>
      <c r="W39" s="62"/>
      <c r="X39" s="58"/>
      <c r="Y39" s="58"/>
      <c r="Z39" s="58"/>
      <c r="AA39" s="58"/>
      <c r="AB39" s="57"/>
    </row>
    <row r="40" spans="1:28" ht="14.25" customHeight="1" x14ac:dyDescent="0.25">
      <c r="A40" s="251" t="s">
        <v>41</v>
      </c>
      <c r="B40" s="259">
        <f>LOOKUP(F30,HYDRO!A:A,HYDRO!C:C)</f>
        <v>89.12</v>
      </c>
      <c r="C40" s="259">
        <f>LOOKUP(G30,HYDRO!A:A,HYDRO!C:C)</f>
        <v>89.37</v>
      </c>
      <c r="D40" s="263">
        <f>(D30-G30)/(F30-G30)*(B40-C40)+C40</f>
        <v>89.209062500000002</v>
      </c>
      <c r="E40" s="62"/>
      <c r="F40" s="62"/>
      <c r="G40" s="62"/>
      <c r="H40" s="58"/>
      <c r="I40" s="57"/>
      <c r="J40" s="251" t="s">
        <v>41</v>
      </c>
      <c r="K40" s="259">
        <f>LOOKUP(O30,HYDRO!A:A,HYDRO!C:C)</f>
        <v>92.25</v>
      </c>
      <c r="L40" s="259">
        <f>LOOKUP(P30,HYDRO!A:A,HYDRO!C:C)</f>
        <v>92.51</v>
      </c>
      <c r="M40" s="263">
        <f>(M30-P30)/(O30-P30)*(K40-L40)+L40</f>
        <v>92.261673546511631</v>
      </c>
      <c r="N40" s="62"/>
      <c r="O40" s="62"/>
      <c r="P40" s="62"/>
      <c r="Q40" s="58"/>
      <c r="R40" s="57"/>
      <c r="S40" s="57"/>
      <c r="T40" s="251" t="s">
        <v>41</v>
      </c>
      <c r="U40" s="259">
        <f>LOOKUP(Y30,HYDRO!A:A,HYDRO!C:C)</f>
        <v>93.52</v>
      </c>
      <c r="V40" s="259">
        <f>LOOKUP(Z30,HYDRO!A:A,HYDRO!C:C)</f>
        <v>93.77</v>
      </c>
      <c r="W40" s="263">
        <f>(W30-Z30)/(Y30-Z30)*(U40-V40)+V40</f>
        <v>93.561940406976746</v>
      </c>
      <c r="X40" s="62"/>
      <c r="Y40" s="62"/>
      <c r="Z40" s="62"/>
      <c r="AA40" s="58"/>
      <c r="AB40" s="57"/>
    </row>
    <row r="41" spans="1:28" ht="14.25" customHeight="1" x14ac:dyDescent="0.25">
      <c r="A41" s="251"/>
      <c r="B41" s="259"/>
      <c r="C41" s="259"/>
      <c r="D41" s="263"/>
      <c r="E41" s="62"/>
      <c r="F41" s="62"/>
      <c r="G41" s="62"/>
      <c r="H41" s="58"/>
      <c r="I41" s="57"/>
      <c r="J41" s="251"/>
      <c r="K41" s="259"/>
      <c r="L41" s="259"/>
      <c r="M41" s="263"/>
      <c r="N41" s="62"/>
      <c r="O41" s="62"/>
      <c r="P41" s="62"/>
      <c r="Q41" s="58"/>
      <c r="R41" s="57"/>
      <c r="S41" s="57"/>
      <c r="T41" s="251"/>
      <c r="U41" s="259"/>
      <c r="V41" s="259"/>
      <c r="W41" s="263"/>
      <c r="X41" s="62"/>
      <c r="Y41" s="62"/>
      <c r="Z41" s="62"/>
      <c r="AA41" s="58"/>
      <c r="AB41" s="57"/>
    </row>
    <row r="42" spans="1:28" ht="14.25" customHeight="1" x14ac:dyDescent="0.25">
      <c r="A42" s="251" t="s">
        <v>42</v>
      </c>
      <c r="B42" s="259">
        <f>LOOKUP(F30,HYDRO!A:A,HYDRO!D:D)</f>
        <v>-5</v>
      </c>
      <c r="C42" s="259">
        <f>LOOKUP(G30,HYDRO!A:A,HYDRO!D:D)</f>
        <v>-4.72</v>
      </c>
      <c r="D42" s="263">
        <f>(D30-G30)/(F30-G30)*(B42-C42)+C42</f>
        <v>-4.9002500000000033</v>
      </c>
      <c r="E42" s="62"/>
      <c r="F42" s="62"/>
      <c r="G42" s="62"/>
      <c r="H42" s="58"/>
      <c r="I42" s="57"/>
      <c r="J42" s="251" t="s">
        <v>42</v>
      </c>
      <c r="K42" s="259">
        <f>LOOKUP(O30,HYDRO!A:A,HYDRO!D:D)</f>
        <v>-1.4</v>
      </c>
      <c r="L42" s="259">
        <f>LOOKUP(P30,HYDRO!A:A,HYDRO!D:D)</f>
        <v>-1.1000000000000001</v>
      </c>
      <c r="M42" s="263">
        <f>(M30-P30)/(O30-P30)*(K42-L42)+L42</f>
        <v>-1.3865305232558049</v>
      </c>
      <c r="N42" s="62"/>
      <c r="O42" s="62"/>
      <c r="P42" s="62"/>
      <c r="Q42" s="58"/>
      <c r="R42" s="57"/>
      <c r="S42" s="57"/>
      <c r="T42" s="251" t="s">
        <v>42</v>
      </c>
      <c r="U42" s="259">
        <f>LOOKUP(Y30,HYDRO!A:A,HYDRO!D:D)</f>
        <v>0.12</v>
      </c>
      <c r="V42" s="259">
        <f>LOOKUP(Z30,HYDRO!A:A,HYDRO!D:D)</f>
        <v>0.4</v>
      </c>
      <c r="W42" s="263">
        <f>(W30-Z30)/(Y30-Z30)*(U42-V42)+V42</f>
        <v>0.16697325581396558</v>
      </c>
      <c r="X42" s="62"/>
      <c r="Y42" s="62"/>
      <c r="Z42" s="62"/>
      <c r="AA42" s="58"/>
      <c r="AB42" s="57"/>
    </row>
    <row r="43" spans="1:28" ht="14.25" customHeight="1" x14ac:dyDescent="0.25">
      <c r="A43" s="251"/>
      <c r="B43" s="259"/>
      <c r="C43" s="259"/>
      <c r="D43" s="263"/>
      <c r="E43" s="62"/>
      <c r="F43" s="62"/>
      <c r="G43" s="62"/>
      <c r="H43" s="58"/>
      <c r="I43" s="57"/>
      <c r="J43" s="251"/>
      <c r="K43" s="259"/>
      <c r="L43" s="259"/>
      <c r="M43" s="263"/>
      <c r="N43" s="62"/>
      <c r="O43" s="62"/>
      <c r="P43" s="62"/>
      <c r="Q43" s="58"/>
      <c r="R43" s="57"/>
      <c r="S43" s="57"/>
      <c r="T43" s="251"/>
      <c r="U43" s="259"/>
      <c r="V43" s="259"/>
      <c r="W43" s="263"/>
      <c r="X43" s="62"/>
      <c r="Y43" s="62"/>
      <c r="Z43" s="62"/>
      <c r="AA43" s="58"/>
      <c r="AB43" s="57"/>
    </row>
    <row r="44" spans="1:28" x14ac:dyDescent="0.25">
      <c r="A44" s="58"/>
      <c r="B44" s="58"/>
      <c r="C44" s="58"/>
      <c r="D44" s="58"/>
      <c r="E44" s="58"/>
      <c r="F44" s="58"/>
      <c r="G44" s="58"/>
      <c r="H44" s="58"/>
      <c r="I44" s="57"/>
      <c r="J44" s="58"/>
      <c r="K44" s="58"/>
      <c r="L44" s="58"/>
      <c r="M44" s="58"/>
      <c r="N44" s="58"/>
      <c r="O44" s="58"/>
      <c r="P44" s="58"/>
      <c r="Q44" s="58"/>
      <c r="R44" s="57"/>
      <c r="S44" s="57"/>
      <c r="T44" s="58"/>
      <c r="U44" s="58"/>
      <c r="V44" s="58"/>
      <c r="W44" s="58"/>
      <c r="X44" s="58"/>
      <c r="Y44" s="58"/>
      <c r="Z44" s="58"/>
      <c r="AA44" s="58"/>
      <c r="AB44" s="57"/>
    </row>
    <row r="45" spans="1:28" x14ac:dyDescent="0.25">
      <c r="A45" s="251" t="s">
        <v>75</v>
      </c>
      <c r="B45" s="251"/>
      <c r="C45" s="251"/>
      <c r="D45" s="258">
        <f>D19*100*D40*D42/DATA!C13</f>
        <v>-254.92356652099113</v>
      </c>
      <c r="E45" s="258"/>
      <c r="F45" s="58"/>
      <c r="G45" s="58"/>
      <c r="H45" s="58"/>
      <c r="I45" s="57"/>
      <c r="J45" s="251" t="s">
        <v>75</v>
      </c>
      <c r="K45" s="251"/>
      <c r="L45" s="251"/>
      <c r="M45" s="258">
        <f>M19*100*M40*M42/DATA!C13</f>
        <v>-156.48331985679519</v>
      </c>
      <c r="N45" s="258"/>
      <c r="O45" s="58"/>
      <c r="P45" s="58"/>
      <c r="Q45" s="58"/>
      <c r="R45" s="57"/>
      <c r="S45" s="57"/>
      <c r="T45" s="251" t="s">
        <v>75</v>
      </c>
      <c r="U45" s="251"/>
      <c r="V45" s="251"/>
      <c r="W45" s="273">
        <f>W19*100*W40*W42/DATA!C13</f>
        <v>1.7438893183283886</v>
      </c>
      <c r="X45" s="273"/>
      <c r="Y45" s="58"/>
      <c r="Z45" s="58"/>
      <c r="AA45" s="58"/>
      <c r="AB45" s="57"/>
    </row>
    <row r="46" spans="1:28" x14ac:dyDescent="0.25">
      <c r="A46" s="251"/>
      <c r="B46" s="251"/>
      <c r="C46" s="251"/>
      <c r="D46" s="258"/>
      <c r="E46" s="258"/>
      <c r="F46" s="58"/>
      <c r="G46" s="58"/>
      <c r="H46" s="58"/>
      <c r="I46" s="57"/>
      <c r="J46" s="251"/>
      <c r="K46" s="251"/>
      <c r="L46" s="251"/>
      <c r="M46" s="258"/>
      <c r="N46" s="258"/>
      <c r="O46" s="58"/>
      <c r="P46" s="58"/>
      <c r="Q46" s="58"/>
      <c r="R46" s="57"/>
      <c r="S46" s="57"/>
      <c r="T46" s="251"/>
      <c r="U46" s="251"/>
      <c r="V46" s="251"/>
      <c r="W46" s="273"/>
      <c r="X46" s="273"/>
      <c r="Y46" s="58"/>
      <c r="Z46" s="58"/>
      <c r="AA46" s="58"/>
      <c r="AB46" s="57"/>
    </row>
    <row r="47" spans="1:28" x14ac:dyDescent="0.25">
      <c r="A47" s="58"/>
      <c r="B47" s="58"/>
      <c r="C47" s="58"/>
      <c r="D47" s="58"/>
      <c r="E47" s="58"/>
      <c r="F47" s="58"/>
      <c r="G47" s="58"/>
      <c r="H47" s="58"/>
      <c r="I47" s="57"/>
      <c r="J47" s="58"/>
      <c r="K47" s="58"/>
      <c r="L47" s="58"/>
      <c r="M47" s="58"/>
      <c r="N47" s="58"/>
      <c r="O47" s="58"/>
      <c r="P47" s="58"/>
      <c r="Q47" s="58"/>
      <c r="R47" s="57"/>
      <c r="S47" s="57"/>
      <c r="T47" s="58"/>
      <c r="U47" s="58"/>
      <c r="V47" s="58"/>
      <c r="W47" s="58"/>
      <c r="X47" s="58"/>
      <c r="Y47" s="58"/>
      <c r="Z47" s="58"/>
      <c r="AA47" s="58"/>
      <c r="AB47" s="57"/>
    </row>
    <row r="48" spans="1:28" x14ac:dyDescent="0.25">
      <c r="A48" s="251" t="s">
        <v>76</v>
      </c>
      <c r="B48" s="251"/>
      <c r="C48" s="251"/>
      <c r="D48" s="251"/>
      <c r="E48" s="259" t="s">
        <v>77</v>
      </c>
      <c r="F48" s="259"/>
      <c r="G48" s="259"/>
      <c r="H48" s="259"/>
      <c r="I48" s="57"/>
      <c r="J48" s="251" t="s">
        <v>76</v>
      </c>
      <c r="K48" s="251"/>
      <c r="L48" s="251"/>
      <c r="M48" s="251"/>
      <c r="N48" s="259" t="s">
        <v>77</v>
      </c>
      <c r="O48" s="259"/>
      <c r="P48" s="259"/>
      <c r="Q48" s="259"/>
      <c r="R48" s="57"/>
      <c r="S48" s="57"/>
      <c r="T48" s="251" t="s">
        <v>76</v>
      </c>
      <c r="U48" s="251"/>
      <c r="V48" s="251"/>
      <c r="W48" s="251"/>
      <c r="X48" s="259" t="s">
        <v>77</v>
      </c>
      <c r="Y48" s="259"/>
      <c r="Z48" s="259"/>
      <c r="AA48" s="259"/>
      <c r="AB48" s="57"/>
    </row>
    <row r="49" spans="1:28" x14ac:dyDescent="0.25">
      <c r="A49" s="251"/>
      <c r="B49" s="251"/>
      <c r="C49" s="251"/>
      <c r="D49" s="251"/>
      <c r="E49" s="259"/>
      <c r="F49" s="259"/>
      <c r="G49" s="259"/>
      <c r="H49" s="259"/>
      <c r="I49" s="57"/>
      <c r="J49" s="251"/>
      <c r="K49" s="251"/>
      <c r="L49" s="251"/>
      <c r="M49" s="251"/>
      <c r="N49" s="259"/>
      <c r="O49" s="259"/>
      <c r="P49" s="259"/>
      <c r="Q49" s="259"/>
      <c r="R49" s="57"/>
      <c r="S49" s="57"/>
      <c r="T49" s="251"/>
      <c r="U49" s="251"/>
      <c r="V49" s="251"/>
      <c r="W49" s="251"/>
      <c r="X49" s="259"/>
      <c r="Y49" s="259"/>
      <c r="Z49" s="259"/>
      <c r="AA49" s="259"/>
      <c r="AB49" s="57"/>
    </row>
    <row r="50" spans="1:28" x14ac:dyDescent="0.25">
      <c r="A50" s="251" t="s">
        <v>81</v>
      </c>
      <c r="B50" s="252">
        <f>E30-0.5</f>
        <v>7.9712499999999995</v>
      </c>
      <c r="C50" s="252"/>
      <c r="D50" s="55">
        <f>ROUNDDOWN(B50,2)</f>
        <v>7.97</v>
      </c>
      <c r="E50" s="55">
        <f>LOOKUP(D50,HYDRO!A:A,HYDRO!E:E)</f>
        <v>1310.58</v>
      </c>
      <c r="F50" s="55">
        <f>LOOKUP(D50,HYDRO!A:A)</f>
        <v>7.8000000000000043</v>
      </c>
      <c r="G50" s="257">
        <f>(B50-F51)/(F50-F51)*(E50-E51)+E51</f>
        <v>1318.8</v>
      </c>
      <c r="H50" s="257"/>
      <c r="I50" s="57"/>
      <c r="J50" s="251" t="s">
        <v>81</v>
      </c>
      <c r="K50" s="252">
        <f>N30-0.5</f>
        <v>10.30897965116279</v>
      </c>
      <c r="L50" s="252"/>
      <c r="M50" s="55">
        <f>ROUNDDOWN(K50,2)</f>
        <v>10.3</v>
      </c>
      <c r="N50" s="55">
        <f>LOOKUP(M50,HYDRO!A:A,HYDRO!E:E)</f>
        <v>1444.41</v>
      </c>
      <c r="O50" s="55">
        <f>LOOKUP(M50,HYDRO!A:A)</f>
        <v>10.199999999999996</v>
      </c>
      <c r="P50" s="257">
        <f>(K50-O51)/(O50-O51)*(N50-N51)+N51</f>
        <v>1450.9324321220934</v>
      </c>
      <c r="Q50" s="257"/>
      <c r="R50" s="57"/>
      <c r="S50" s="57"/>
      <c r="T50" s="251" t="s">
        <v>81</v>
      </c>
      <c r="U50" s="252">
        <f>X30-0.5</f>
        <v>11.333552325581394</v>
      </c>
      <c r="V50" s="252"/>
      <c r="W50" s="55">
        <f>ROUNDDOWN(U50,2)</f>
        <v>11.33</v>
      </c>
      <c r="X50" s="55">
        <f>LOOKUP(W50,HYDRO!A:A,HYDRO!E:E)</f>
        <v>1502.86</v>
      </c>
      <c r="Y50" s="55">
        <f>LOOKUP(W50,HYDRO!A:A)</f>
        <v>11.199999999999992</v>
      </c>
      <c r="Z50" s="257">
        <f>(U50-Y51)/(Y50-Y51)*(X50-X51)+X51</f>
        <v>1510.4057063953492</v>
      </c>
      <c r="AA50" s="257"/>
      <c r="AB50" s="57"/>
    </row>
    <row r="51" spans="1:28" x14ac:dyDescent="0.25">
      <c r="A51" s="251"/>
      <c r="B51" s="252"/>
      <c r="C51" s="252"/>
      <c r="D51" s="55">
        <f>D50+0.2</f>
        <v>8.17</v>
      </c>
      <c r="E51" s="55">
        <f>LOOKUP(D51,HYDRO!A:A,HYDRO!E:E)</f>
        <v>1320.18</v>
      </c>
      <c r="F51" s="55">
        <f>LOOKUP(D51,HYDRO!A:A)</f>
        <v>8.0000000000000036</v>
      </c>
      <c r="G51" s="257"/>
      <c r="H51" s="257"/>
      <c r="I51" s="57"/>
      <c r="J51" s="251"/>
      <c r="K51" s="252"/>
      <c r="L51" s="252"/>
      <c r="M51" s="55">
        <f>M50+0.2</f>
        <v>10.5</v>
      </c>
      <c r="N51" s="55">
        <f>LOOKUP(M51,HYDRO!A:A,HYDRO!E:E)</f>
        <v>1456.38</v>
      </c>
      <c r="O51" s="55">
        <f>LOOKUP(M51,HYDRO!A:A)</f>
        <v>10.399999999999995</v>
      </c>
      <c r="P51" s="257"/>
      <c r="Q51" s="257"/>
      <c r="R51" s="57"/>
      <c r="S51" s="57"/>
      <c r="T51" s="251"/>
      <c r="U51" s="252"/>
      <c r="V51" s="252"/>
      <c r="W51" s="55">
        <f>W50+0.2</f>
        <v>11.53</v>
      </c>
      <c r="X51" s="55">
        <f>LOOKUP(W51,HYDRO!A:A,HYDRO!E:E)</f>
        <v>1514.16</v>
      </c>
      <c r="Y51" s="55">
        <f>LOOKUP(W51,HYDRO!A:A)</f>
        <v>11.399999999999991</v>
      </c>
      <c r="Z51" s="257"/>
      <c r="AA51" s="257"/>
      <c r="AB51" s="57"/>
    </row>
    <row r="52" spans="1:28" x14ac:dyDescent="0.25">
      <c r="A52" s="251" t="s">
        <v>82</v>
      </c>
      <c r="B52" s="252">
        <f>E30+0.5</f>
        <v>8.9712499999999995</v>
      </c>
      <c r="C52" s="252"/>
      <c r="D52" s="55">
        <f>ROUNDDOWN(B52,2)</f>
        <v>8.9700000000000006</v>
      </c>
      <c r="E52" s="55">
        <f>LOOKUP(D52,HYDRO!A:A,HYDRO!E:E)</f>
        <v>1362.44</v>
      </c>
      <c r="F52" s="55">
        <f>LOOKUP(D52,HYDRO!A:A)</f>
        <v>8.8000000000000007</v>
      </c>
      <c r="G52" s="257">
        <f>(B52-F53)/(F52-F53)*(E52-E53)+E53</f>
        <v>1372.1669999999999</v>
      </c>
      <c r="H52" s="257"/>
      <c r="I52" s="57"/>
      <c r="J52" s="251" t="s">
        <v>82</v>
      </c>
      <c r="K52" s="252">
        <f>N30+0.5</f>
        <v>11.30897965116279</v>
      </c>
      <c r="L52" s="252"/>
      <c r="M52" s="55">
        <f>ROUNDDOWN(K52,2)</f>
        <v>11.3</v>
      </c>
      <c r="N52" s="55">
        <f>LOOKUP(M52,HYDRO!A:A,HYDRO!E:E)</f>
        <v>1502.86</v>
      </c>
      <c r="O52" s="55">
        <f>LOOKUP(M52,HYDRO!A:A)</f>
        <v>11.199999999999992</v>
      </c>
      <c r="P52" s="257">
        <f>(K52-O53)/(O52-O53)*(N52-N53)+N53</f>
        <v>1509.017350290698</v>
      </c>
      <c r="Q52" s="257"/>
      <c r="R52" s="57"/>
      <c r="S52" s="57"/>
      <c r="T52" s="251" t="s">
        <v>82</v>
      </c>
      <c r="U52" s="252">
        <f>X30+0.5</f>
        <v>12.333552325581394</v>
      </c>
      <c r="V52" s="252"/>
      <c r="W52" s="55">
        <f>ROUNDDOWN(U52,2)</f>
        <v>12.33</v>
      </c>
      <c r="X52" s="55">
        <f>LOOKUP(W52,HYDRO!A:A,HYDRO!E:E)</f>
        <v>1558.61</v>
      </c>
      <c r="Y52" s="55">
        <f>LOOKUP(W52,HYDRO!A:A)</f>
        <v>12.199999999999989</v>
      </c>
      <c r="Z52" s="257">
        <f>(U52-Y53)/(Y52-Y53)*(X52-X53)+X53</f>
        <v>1566.1623840116285</v>
      </c>
      <c r="AA52" s="257"/>
      <c r="AB52" s="57"/>
    </row>
    <row r="53" spans="1:28" x14ac:dyDescent="0.25">
      <c r="A53" s="251"/>
      <c r="B53" s="252"/>
      <c r="C53" s="252"/>
      <c r="D53" s="55">
        <f>D52+0.2</f>
        <v>9.17</v>
      </c>
      <c r="E53" s="55">
        <f>LOOKUP(D53,HYDRO!A:A,HYDRO!E:E)</f>
        <v>1373.8</v>
      </c>
      <c r="F53" s="55">
        <f>LOOKUP(D53,HYDRO!A:A)</f>
        <v>9</v>
      </c>
      <c r="G53" s="257"/>
      <c r="H53" s="257"/>
      <c r="I53" s="57"/>
      <c r="J53" s="251"/>
      <c r="K53" s="252"/>
      <c r="L53" s="252"/>
      <c r="M53" s="55">
        <f>M52+0.2</f>
        <v>11.5</v>
      </c>
      <c r="N53" s="55">
        <f>LOOKUP(M53,HYDRO!A:A,HYDRO!E:E)</f>
        <v>1514.16</v>
      </c>
      <c r="O53" s="55">
        <f>LOOKUP(M53,HYDRO!A:A)</f>
        <v>11.399999999999991</v>
      </c>
      <c r="P53" s="257"/>
      <c r="Q53" s="257"/>
      <c r="R53" s="57"/>
      <c r="S53" s="57"/>
      <c r="T53" s="251"/>
      <c r="U53" s="252"/>
      <c r="V53" s="252"/>
      <c r="W53" s="55">
        <f>W52+0.2</f>
        <v>12.53</v>
      </c>
      <c r="X53" s="55">
        <f>LOOKUP(W53,HYDRO!A:A,HYDRO!E:E)</f>
        <v>1569.92</v>
      </c>
      <c r="Y53" s="55">
        <f>LOOKUP(W53,HYDRO!A:A)</f>
        <v>12.399999999999988</v>
      </c>
      <c r="Z53" s="257"/>
      <c r="AA53" s="257"/>
      <c r="AB53" s="57"/>
    </row>
    <row r="54" spans="1:28" x14ac:dyDescent="0.25">
      <c r="A54" s="58"/>
      <c r="B54" s="58"/>
      <c r="C54" s="58"/>
      <c r="D54" s="58"/>
      <c r="E54" s="62"/>
      <c r="F54" s="62"/>
      <c r="G54" s="265">
        <f>G52-G50</f>
        <v>53.366999999999962</v>
      </c>
      <c r="H54" s="265"/>
      <c r="I54" s="57"/>
      <c r="J54" s="121">
        <f>VLOOKUP(N30,HYDRO!A2:F77,1)</f>
        <v>10.799999999999994</v>
      </c>
      <c r="K54" s="271">
        <f>VLOOKUP(J54,HYDRO!A2:F77,2)</f>
        <v>92563</v>
      </c>
      <c r="L54" s="271"/>
      <c r="M54" s="121">
        <f>VLOOKUP(J54,HYDRO!A2:F77,3)</f>
        <v>92.25</v>
      </c>
      <c r="N54" s="122">
        <f>VLOOKUP(J54,HYDRO!A2:F77,4)</f>
        <v>-1.4</v>
      </c>
      <c r="O54" s="122">
        <f>VLOOKUP(K54,HYDRO!B2:G77,4)</f>
        <v>1479.68</v>
      </c>
      <c r="P54" s="265">
        <f>P52-P50</f>
        <v>58.084918168604645</v>
      </c>
      <c r="Q54" s="265"/>
      <c r="R54" s="57"/>
      <c r="S54" s="57"/>
      <c r="T54" s="58"/>
      <c r="U54" s="58"/>
      <c r="V54" s="58"/>
      <c r="W54" s="58"/>
      <c r="X54" s="62"/>
      <c r="Y54" s="62"/>
      <c r="Z54" s="265">
        <f>Z52-Z50</f>
        <v>55.756677616279376</v>
      </c>
      <c r="AA54" s="265"/>
      <c r="AB54" s="57"/>
    </row>
    <row r="55" spans="1:28" x14ac:dyDescent="0.25">
      <c r="A55" s="58"/>
      <c r="B55" s="58"/>
      <c r="C55" s="58"/>
      <c r="D55" s="58"/>
      <c r="E55" s="62"/>
      <c r="F55" s="62"/>
      <c r="G55" s="265"/>
      <c r="H55" s="265"/>
      <c r="I55" s="57"/>
      <c r="J55" s="121">
        <f>J54+0.2</f>
        <v>10.999999999999993</v>
      </c>
      <c r="K55" s="271">
        <f>VLOOKUP(J55,HYDRO!A3:F78,2)</f>
        <v>94414</v>
      </c>
      <c r="L55" s="271"/>
      <c r="M55" s="121">
        <f>VLOOKUP(J55,HYDRO!A2:F77,3)</f>
        <v>92.51</v>
      </c>
      <c r="N55" s="122">
        <f>VLOOKUP(J55,HYDRO!A3:F78,4)</f>
        <v>-1.1000000000000001</v>
      </c>
      <c r="O55" s="122">
        <f>VLOOKUP(K55,HYDRO!B3:G78,4)</f>
        <v>1491.24</v>
      </c>
      <c r="P55" s="265"/>
      <c r="Q55" s="265"/>
      <c r="R55" s="57"/>
      <c r="S55" s="57"/>
      <c r="T55" s="58"/>
      <c r="U55" s="58"/>
      <c r="V55" s="58"/>
      <c r="W55" s="58"/>
      <c r="X55" s="62"/>
      <c r="Y55" s="62"/>
      <c r="Z55" s="265"/>
      <c r="AA55" s="265"/>
      <c r="AB55" s="57"/>
    </row>
    <row r="56" spans="1:28" x14ac:dyDescent="0.25">
      <c r="A56" s="251" t="s">
        <v>76</v>
      </c>
      <c r="B56" s="251"/>
      <c r="C56" s="251"/>
      <c r="D56" s="258">
        <f>(D19*D19)*50*G54/DATA!C13</f>
        <v>21.278998674015373</v>
      </c>
      <c r="E56" s="258"/>
      <c r="F56" s="58"/>
      <c r="G56" s="58"/>
      <c r="H56" s="58"/>
      <c r="I56" s="57"/>
      <c r="J56" s="251" t="s">
        <v>76</v>
      </c>
      <c r="K56" s="251"/>
      <c r="L56" s="251"/>
      <c r="M56" s="258">
        <f>(M19*M19)*50*P54/DATA!C13</f>
        <v>101.90859413483915</v>
      </c>
      <c r="N56" s="258"/>
      <c r="O56" s="58"/>
      <c r="P56" s="58"/>
      <c r="Q56" s="58"/>
      <c r="R56" s="57"/>
      <c r="S56" s="57"/>
      <c r="T56" s="251" t="s">
        <v>76</v>
      </c>
      <c r="U56" s="251"/>
      <c r="V56" s="251"/>
      <c r="W56" s="258">
        <f>(W19*W19)*50*Z54/DATA!C13</f>
        <v>0.81462043904663106</v>
      </c>
      <c r="X56" s="258"/>
      <c r="Y56" s="58"/>
      <c r="Z56" s="58"/>
      <c r="AA56" s="58"/>
      <c r="AB56" s="57"/>
    </row>
    <row r="57" spans="1:28" x14ac:dyDescent="0.25">
      <c r="A57" s="251"/>
      <c r="B57" s="251"/>
      <c r="C57" s="251"/>
      <c r="D57" s="258"/>
      <c r="E57" s="258"/>
      <c r="F57" s="58"/>
      <c r="G57" s="58"/>
      <c r="H57" s="58"/>
      <c r="I57" s="57"/>
      <c r="J57" s="251"/>
      <c r="K57" s="251"/>
      <c r="L57" s="251"/>
      <c r="M57" s="258"/>
      <c r="N57" s="258"/>
      <c r="O57" s="58"/>
      <c r="P57" s="58"/>
      <c r="Q57" s="58"/>
      <c r="R57" s="57"/>
      <c r="S57" s="57"/>
      <c r="T57" s="251"/>
      <c r="U57" s="251"/>
      <c r="V57" s="251"/>
      <c r="W57" s="258"/>
      <c r="X57" s="258"/>
      <c r="Y57" s="58"/>
      <c r="Z57" s="58"/>
      <c r="AA57" s="58"/>
      <c r="AB57" s="57"/>
    </row>
    <row r="58" spans="1:28" x14ac:dyDescent="0.25">
      <c r="A58" s="58"/>
      <c r="B58" s="58"/>
      <c r="C58" s="58"/>
      <c r="D58" s="58"/>
      <c r="E58" s="58"/>
      <c r="F58" s="58"/>
      <c r="G58" s="58"/>
      <c r="H58" s="58"/>
      <c r="I58" s="57"/>
      <c r="J58" s="58"/>
      <c r="K58" s="58"/>
      <c r="L58" s="58"/>
      <c r="M58" s="58"/>
      <c r="N58" s="58"/>
      <c r="O58" s="58"/>
      <c r="P58" s="58"/>
      <c r="Q58" s="58"/>
      <c r="R58" s="57"/>
      <c r="S58" s="57"/>
      <c r="T58" s="58"/>
      <c r="U58" s="58"/>
      <c r="V58" s="58"/>
      <c r="W58" s="58"/>
      <c r="X58" s="58"/>
      <c r="Y58" s="58"/>
      <c r="Z58" s="58"/>
      <c r="AA58" s="58"/>
      <c r="AB58" s="57"/>
    </row>
    <row r="59" spans="1:28" ht="14.25" customHeight="1" x14ac:dyDescent="0.25">
      <c r="A59" s="262" t="s">
        <v>78</v>
      </c>
      <c r="B59" s="262"/>
      <c r="C59" s="262"/>
      <c r="D59" s="259">
        <f>E33+D45+D56</f>
        <v>71168.330432153001</v>
      </c>
      <c r="E59" s="256">
        <f>D59</f>
        <v>71168.330432153001</v>
      </c>
      <c r="F59" s="256"/>
      <c r="G59" s="58"/>
      <c r="H59" s="58"/>
      <c r="I59" s="57"/>
      <c r="J59" s="262" t="s">
        <v>78</v>
      </c>
      <c r="K59" s="262"/>
      <c r="L59" s="262"/>
      <c r="M59" s="259">
        <f>N33+M45+M56</f>
        <v>92591.531945789742</v>
      </c>
      <c r="N59" s="256">
        <f>M59</f>
        <v>92591.531945789742</v>
      </c>
      <c r="O59" s="256"/>
      <c r="P59" s="58"/>
      <c r="Q59" s="58"/>
      <c r="R59" s="57"/>
      <c r="S59" s="57"/>
      <c r="T59" s="262" t="s">
        <v>78</v>
      </c>
      <c r="U59" s="262"/>
      <c r="V59" s="262"/>
      <c r="W59" s="259">
        <f>X33+W45+W56</f>
        <v>102181.11156208304</v>
      </c>
      <c r="X59" s="256">
        <f>W59</f>
        <v>102181.11156208304</v>
      </c>
      <c r="Y59" s="256"/>
      <c r="Z59" s="58"/>
      <c r="AA59" s="58"/>
      <c r="AB59" s="57"/>
    </row>
    <row r="60" spans="1:28" x14ac:dyDescent="0.25">
      <c r="A60" s="262"/>
      <c r="B60" s="262"/>
      <c r="C60" s="262"/>
      <c r="D60" s="259"/>
      <c r="E60" s="256"/>
      <c r="F60" s="256"/>
      <c r="G60" s="58"/>
      <c r="H60" s="58"/>
      <c r="I60" s="57"/>
      <c r="J60" s="262"/>
      <c r="K60" s="262"/>
      <c r="L60" s="262"/>
      <c r="M60" s="259"/>
      <c r="N60" s="256"/>
      <c r="O60" s="256"/>
      <c r="P60" s="58"/>
      <c r="Q60" s="58"/>
      <c r="R60" s="57"/>
      <c r="S60" s="57"/>
      <c r="T60" s="262"/>
      <c r="U60" s="262"/>
      <c r="V60" s="262"/>
      <c r="W60" s="259"/>
      <c r="X60" s="256"/>
      <c r="Y60" s="256"/>
      <c r="Z60" s="58"/>
      <c r="AA60" s="58"/>
      <c r="AB60" s="57"/>
    </row>
    <row r="61" spans="1:28" x14ac:dyDescent="0.25">
      <c r="A61" s="58">
        <v>1.0249999999999999</v>
      </c>
      <c r="B61" s="58">
        <f>'DRAFT SURVEY'!C15</f>
        <v>1.02</v>
      </c>
      <c r="C61" s="58"/>
      <c r="D61" s="58"/>
      <c r="E61" s="58"/>
      <c r="F61" s="58"/>
      <c r="G61" s="58"/>
      <c r="H61" s="58"/>
      <c r="I61" s="57"/>
      <c r="J61" s="58">
        <v>1.0249999999999999</v>
      </c>
      <c r="K61" s="58"/>
      <c r="L61" s="58"/>
      <c r="M61" s="58"/>
      <c r="N61" s="58"/>
      <c r="O61" s="58"/>
      <c r="P61" s="58"/>
      <c r="Q61" s="58"/>
      <c r="R61" s="57"/>
      <c r="S61" s="57"/>
      <c r="T61" s="58">
        <v>1.0249999999999999</v>
      </c>
      <c r="U61" s="58">
        <f>'DRAFT SURVEY'!K15</f>
        <v>1.0195000000000001</v>
      </c>
      <c r="V61" s="58"/>
      <c r="W61" s="58"/>
      <c r="X61" s="58"/>
      <c r="Y61" s="58"/>
      <c r="Z61" s="58"/>
      <c r="AA61" s="58"/>
      <c r="AB61" s="57"/>
    </row>
    <row r="62" spans="1:28" ht="14.25" customHeight="1" x14ac:dyDescent="0.25">
      <c r="A62" s="262" t="s">
        <v>79</v>
      </c>
      <c r="B62" s="262"/>
      <c r="C62" s="262"/>
      <c r="D62" s="259">
        <f>('DRAFT SURVEY'!C15*D59)/1.025</f>
        <v>70821.16784467909</v>
      </c>
      <c r="E62" s="256">
        <f>D62</f>
        <v>70821.16784467909</v>
      </c>
      <c r="F62" s="256"/>
      <c r="G62" s="58"/>
      <c r="H62" s="58"/>
      <c r="I62" s="57"/>
      <c r="J62" s="262" t="s">
        <v>79</v>
      </c>
      <c r="K62" s="262"/>
      <c r="L62" s="262"/>
      <c r="M62" s="259">
        <f>('DRAFT SURVEY'!G15*M59)/1.025</f>
        <v>92185.032537247243</v>
      </c>
      <c r="N62" s="256">
        <f>M62</f>
        <v>92185.032537247243</v>
      </c>
      <c r="O62" s="256"/>
      <c r="P62" s="58"/>
      <c r="Q62" s="58"/>
      <c r="R62" s="57"/>
      <c r="S62" s="57"/>
      <c r="T62" s="262" t="s">
        <v>79</v>
      </c>
      <c r="U62" s="262"/>
      <c r="V62" s="262"/>
      <c r="W62" s="259">
        <f>('DRAFT SURVEY'!K15*W59)/1.025</f>
        <v>101632.82267077432</v>
      </c>
      <c r="X62" s="256">
        <f>W62</f>
        <v>101632.82267077432</v>
      </c>
      <c r="Y62" s="256"/>
      <c r="Z62" s="58"/>
      <c r="AA62" s="58"/>
      <c r="AB62" s="57"/>
    </row>
    <row r="63" spans="1:28" x14ac:dyDescent="0.25">
      <c r="A63" s="262"/>
      <c r="B63" s="262"/>
      <c r="C63" s="262"/>
      <c r="D63" s="259"/>
      <c r="E63" s="256"/>
      <c r="F63" s="256"/>
      <c r="G63" s="58"/>
      <c r="H63" s="58"/>
      <c r="I63" s="57"/>
      <c r="J63" s="262"/>
      <c r="K63" s="262"/>
      <c r="L63" s="262"/>
      <c r="M63" s="259"/>
      <c r="N63" s="256"/>
      <c r="O63" s="256"/>
      <c r="P63" s="58"/>
      <c r="Q63" s="58"/>
      <c r="R63" s="57"/>
      <c r="S63" s="57"/>
      <c r="T63" s="262"/>
      <c r="U63" s="262"/>
      <c r="V63" s="262"/>
      <c r="W63" s="259"/>
      <c r="X63" s="256"/>
      <c r="Y63" s="256"/>
      <c r="Z63" s="58"/>
      <c r="AA63" s="58"/>
      <c r="AB63" s="57"/>
    </row>
    <row r="64" spans="1:28" x14ac:dyDescent="0.25">
      <c r="A64" s="58"/>
      <c r="B64" s="58"/>
      <c r="C64" s="58"/>
      <c r="D64" s="58"/>
      <c r="E64" s="58"/>
      <c r="F64" s="58"/>
      <c r="G64" s="58"/>
      <c r="H64" s="58"/>
      <c r="I64" s="57"/>
      <c r="J64" s="58"/>
      <c r="K64" s="58"/>
      <c r="L64" s="58"/>
      <c r="M64" s="58"/>
      <c r="N64" s="58"/>
      <c r="O64" s="58"/>
      <c r="P64" s="58"/>
      <c r="Q64" s="58"/>
      <c r="R64" s="57"/>
      <c r="S64" s="57"/>
      <c r="T64" s="58"/>
      <c r="U64" s="58"/>
      <c r="V64" s="58"/>
      <c r="W64" s="58"/>
      <c r="X64" s="58"/>
      <c r="Y64" s="58"/>
      <c r="Z64" s="58"/>
      <c r="AA64" s="58"/>
      <c r="AB64" s="57"/>
    </row>
    <row r="65" spans="1:28" x14ac:dyDescent="0.25">
      <c r="A65" s="251" t="s">
        <v>52</v>
      </c>
      <c r="B65" s="251"/>
      <c r="C65" s="251"/>
      <c r="D65" s="270">
        <f>D62-DATA!C12-'DRAFT SURVEY'!C17-'DRAFT SURVEY'!C18-'DRAFT SURVEY'!C19-'DRAFT SURVEY'!C20</f>
        <v>279.8778446790966</v>
      </c>
      <c r="E65" s="269">
        <f>D65</f>
        <v>279.8778446790966</v>
      </c>
      <c r="F65" s="269"/>
      <c r="G65" s="58"/>
      <c r="H65" s="58"/>
      <c r="I65" s="57"/>
      <c r="J65" s="251" t="s">
        <v>57</v>
      </c>
      <c r="K65" s="251"/>
      <c r="L65" s="251"/>
      <c r="M65" s="270">
        <f>M62-'DRAFT SURVEY'!G17-'DRAFT SURVEY'!G18-'DRAFT SURVEY'!G19-'DRAFT SURVEY'!G20-'DRAFT SURVEY'!D23-DATA!C12</f>
        <v>74089.844692568149</v>
      </c>
      <c r="N65" s="269">
        <f>M65</f>
        <v>74089.844692568149</v>
      </c>
      <c r="O65" s="269"/>
      <c r="P65" s="58"/>
      <c r="Q65" s="58"/>
      <c r="R65" s="57"/>
      <c r="S65" s="57"/>
      <c r="T65" s="251" t="s">
        <v>57</v>
      </c>
      <c r="U65" s="251"/>
      <c r="V65" s="251"/>
      <c r="W65" s="270">
        <f>W62-'DRAFT SURVEY'!K17-'DRAFT SURVEY'!K18-'DRAFT SURVEY'!K19-'DRAFT SURVEY'!K20-'DRAFT SURVEY'!D23-DATA!C12</f>
        <v>83601.744826095222</v>
      </c>
      <c r="X65" s="269">
        <f>W65</f>
        <v>83601.744826095222</v>
      </c>
      <c r="Y65" s="269"/>
      <c r="Z65" s="58"/>
      <c r="AA65" s="58"/>
      <c r="AB65" s="57"/>
    </row>
    <row r="66" spans="1:28" x14ac:dyDescent="0.25">
      <c r="A66" s="251"/>
      <c r="B66" s="251"/>
      <c r="C66" s="251"/>
      <c r="D66" s="270"/>
      <c r="E66" s="269"/>
      <c r="F66" s="269"/>
      <c r="G66" s="58"/>
      <c r="H66" s="58"/>
      <c r="I66" s="57"/>
      <c r="J66" s="251"/>
      <c r="K66" s="251"/>
      <c r="L66" s="251"/>
      <c r="M66" s="270"/>
      <c r="N66" s="269"/>
      <c r="O66" s="269"/>
      <c r="P66" s="58"/>
      <c r="Q66" s="58"/>
      <c r="R66" s="57"/>
      <c r="S66" s="57"/>
      <c r="T66" s="251"/>
      <c r="U66" s="251"/>
      <c r="V66" s="251"/>
      <c r="W66" s="270"/>
      <c r="X66" s="269"/>
      <c r="Y66" s="269"/>
      <c r="Z66" s="58"/>
      <c r="AA66" s="58"/>
      <c r="AB66" s="57"/>
    </row>
    <row r="67" spans="1:28" x14ac:dyDescent="0.25">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row>
  </sheetData>
  <mergeCells count="242">
    <mergeCell ref="X65:Y66"/>
    <mergeCell ref="T59:V60"/>
    <mergeCell ref="W59:W60"/>
    <mergeCell ref="T62:V63"/>
    <mergeCell ref="W62:W63"/>
    <mergeCell ref="T65:V66"/>
    <mergeCell ref="W65:W66"/>
    <mergeCell ref="T52:T53"/>
    <mergeCell ref="U52:V53"/>
    <mergeCell ref="X59:Y60"/>
    <mergeCell ref="X62:Y63"/>
    <mergeCell ref="Z52:AA53"/>
    <mergeCell ref="Z54:AA55"/>
    <mergeCell ref="T56:V57"/>
    <mergeCell ref="W56:X57"/>
    <mergeCell ref="T48:W49"/>
    <mergeCell ref="X48:AA49"/>
    <mergeCell ref="T50:T51"/>
    <mergeCell ref="U50:V51"/>
    <mergeCell ref="Z50:AA51"/>
    <mergeCell ref="T42:T43"/>
    <mergeCell ref="U42:U43"/>
    <mergeCell ref="V42:V43"/>
    <mergeCell ref="W42:W43"/>
    <mergeCell ref="T45:V46"/>
    <mergeCell ref="W45:X46"/>
    <mergeCell ref="T37:W38"/>
    <mergeCell ref="T40:T41"/>
    <mergeCell ref="U40:U41"/>
    <mergeCell ref="V40:V41"/>
    <mergeCell ref="W40:W41"/>
    <mergeCell ref="X33:Z36"/>
    <mergeCell ref="T35:V36"/>
    <mergeCell ref="W35:W36"/>
    <mergeCell ref="T28:V29"/>
    <mergeCell ref="W28:W29"/>
    <mergeCell ref="X28:X29"/>
    <mergeCell ref="T30:V31"/>
    <mergeCell ref="W30:W31"/>
    <mergeCell ref="X30:X31"/>
    <mergeCell ref="W33:W34"/>
    <mergeCell ref="X26:X27"/>
    <mergeCell ref="X19:X22"/>
    <mergeCell ref="T21:T22"/>
    <mergeCell ref="U21:V22"/>
    <mergeCell ref="T24:V25"/>
    <mergeCell ref="W24:W25"/>
    <mergeCell ref="X24:X25"/>
    <mergeCell ref="Y30:Y31"/>
    <mergeCell ref="Z30:Z31"/>
    <mergeCell ref="W26:W27"/>
    <mergeCell ref="X9:X10"/>
    <mergeCell ref="T12:V13"/>
    <mergeCell ref="W12:W13"/>
    <mergeCell ref="X12:X13"/>
    <mergeCell ref="T14:V15"/>
    <mergeCell ref="W14:W15"/>
    <mergeCell ref="X14:X15"/>
    <mergeCell ref="Y24:Y25"/>
    <mergeCell ref="Z24:Z25"/>
    <mergeCell ref="T9:V10"/>
    <mergeCell ref="W9:W10"/>
    <mergeCell ref="W17:W18"/>
    <mergeCell ref="W19:W22"/>
    <mergeCell ref="O24:O25"/>
    <mergeCell ref="P24:P25"/>
    <mergeCell ref="O30:O31"/>
    <mergeCell ref="P30:P31"/>
    <mergeCell ref="N33:P36"/>
    <mergeCell ref="J1:N1"/>
    <mergeCell ref="K2:N2"/>
    <mergeCell ref="J3:J4"/>
    <mergeCell ref="T17:V18"/>
    <mergeCell ref="T19:T20"/>
    <mergeCell ref="U19:V20"/>
    <mergeCell ref="T26:V27"/>
    <mergeCell ref="T33:V34"/>
    <mergeCell ref="T1:X1"/>
    <mergeCell ref="U2:X2"/>
    <mergeCell ref="T3:T4"/>
    <mergeCell ref="W3:W4"/>
    <mergeCell ref="X3:X4"/>
    <mergeCell ref="T5:T6"/>
    <mergeCell ref="W5:W6"/>
    <mergeCell ref="X5:X6"/>
    <mergeCell ref="T7:T8"/>
    <mergeCell ref="W7:W8"/>
    <mergeCell ref="X7:X8"/>
    <mergeCell ref="M3:M4"/>
    <mergeCell ref="N3:N4"/>
    <mergeCell ref="J5:J6"/>
    <mergeCell ref="M5:M6"/>
    <mergeCell ref="N5:N6"/>
    <mergeCell ref="J7:J8"/>
    <mergeCell ref="M7:M8"/>
    <mergeCell ref="N7:N8"/>
    <mergeCell ref="J9:L10"/>
    <mergeCell ref="M9:M10"/>
    <mergeCell ref="N9:N10"/>
    <mergeCell ref="N48:Q49"/>
    <mergeCell ref="P50:Q51"/>
    <mergeCell ref="J65:L66"/>
    <mergeCell ref="M65:M66"/>
    <mergeCell ref="J56:L57"/>
    <mergeCell ref="M56:N57"/>
    <mergeCell ref="J59:L60"/>
    <mergeCell ref="M59:M60"/>
    <mergeCell ref="J62:L63"/>
    <mergeCell ref="M62:M63"/>
    <mergeCell ref="J48:M49"/>
    <mergeCell ref="J50:J51"/>
    <mergeCell ref="K50:L51"/>
    <mergeCell ref="J52:J53"/>
    <mergeCell ref="K52:L53"/>
    <mergeCell ref="P52:Q53"/>
    <mergeCell ref="P54:Q55"/>
    <mergeCell ref="N65:O66"/>
    <mergeCell ref="N62:O63"/>
    <mergeCell ref="K54:L54"/>
    <mergeCell ref="K55:L55"/>
    <mergeCell ref="J45:L46"/>
    <mergeCell ref="M45:N46"/>
    <mergeCell ref="J35:L36"/>
    <mergeCell ref="M35:M36"/>
    <mergeCell ref="J37:M38"/>
    <mergeCell ref="J40:J41"/>
    <mergeCell ref="K40:K41"/>
    <mergeCell ref="L40:L41"/>
    <mergeCell ref="M40:M41"/>
    <mergeCell ref="J33:L34"/>
    <mergeCell ref="M33:M34"/>
    <mergeCell ref="J26:L27"/>
    <mergeCell ref="M26:M27"/>
    <mergeCell ref="N26:N27"/>
    <mergeCell ref="J28:L29"/>
    <mergeCell ref="M28:M29"/>
    <mergeCell ref="N28:N29"/>
    <mergeCell ref="J42:J43"/>
    <mergeCell ref="K42:K43"/>
    <mergeCell ref="L42:L43"/>
    <mergeCell ref="M42:M43"/>
    <mergeCell ref="E65:F66"/>
    <mergeCell ref="A45:C46"/>
    <mergeCell ref="G52:H53"/>
    <mergeCell ref="D65:D66"/>
    <mergeCell ref="A48:D49"/>
    <mergeCell ref="G54:H55"/>
    <mergeCell ref="A56:C57"/>
    <mergeCell ref="D56:E57"/>
    <mergeCell ref="A65:C66"/>
    <mergeCell ref="A59:C60"/>
    <mergeCell ref="D59:D60"/>
    <mergeCell ref="A62:C63"/>
    <mergeCell ref="D62:D63"/>
    <mergeCell ref="B50:C51"/>
    <mergeCell ref="B52:C53"/>
    <mergeCell ref="E62:F63"/>
    <mergeCell ref="A17:C18"/>
    <mergeCell ref="J12:L13"/>
    <mergeCell ref="M12:M13"/>
    <mergeCell ref="N12:N13"/>
    <mergeCell ref="J14:L15"/>
    <mergeCell ref="M14:M15"/>
    <mergeCell ref="N14:N15"/>
    <mergeCell ref="A50:A51"/>
    <mergeCell ref="A52:A53"/>
    <mergeCell ref="A42:A43"/>
    <mergeCell ref="N19:N22"/>
    <mergeCell ref="J21:J22"/>
    <mergeCell ref="K21:L22"/>
    <mergeCell ref="J24:L25"/>
    <mergeCell ref="M24:M25"/>
    <mergeCell ref="N24:N25"/>
    <mergeCell ref="J17:L18"/>
    <mergeCell ref="M17:M18"/>
    <mergeCell ref="J19:J20"/>
    <mergeCell ref="K19:L20"/>
    <mergeCell ref="M19:M22"/>
    <mergeCell ref="J30:L31"/>
    <mergeCell ref="M30:M31"/>
    <mergeCell ref="N30:N31"/>
    <mergeCell ref="B40:B41"/>
    <mergeCell ref="C40:C41"/>
    <mergeCell ref="D40:D41"/>
    <mergeCell ref="A40:A41"/>
    <mergeCell ref="G30:G31"/>
    <mergeCell ref="E33:G36"/>
    <mergeCell ref="A35:C36"/>
    <mergeCell ref="A33:C34"/>
    <mergeCell ref="D33:D34"/>
    <mergeCell ref="A30:C31"/>
    <mergeCell ref="D30:D31"/>
    <mergeCell ref="E30:E31"/>
    <mergeCell ref="A37:D38"/>
    <mergeCell ref="A1:E1"/>
    <mergeCell ref="B2:E2"/>
    <mergeCell ref="E19:E22"/>
    <mergeCell ref="A28:C29"/>
    <mergeCell ref="D28:D29"/>
    <mergeCell ref="E28:E29"/>
    <mergeCell ref="D17:D18"/>
    <mergeCell ref="D19:D22"/>
    <mergeCell ref="A26:C27"/>
    <mergeCell ref="D26:D27"/>
    <mergeCell ref="E26:E27"/>
    <mergeCell ref="A9:C10"/>
    <mergeCell ref="D9:D10"/>
    <mergeCell ref="A24:C25"/>
    <mergeCell ref="A12:C13"/>
    <mergeCell ref="D12:D13"/>
    <mergeCell ref="A7:A8"/>
    <mergeCell ref="D7:D8"/>
    <mergeCell ref="E3:E4"/>
    <mergeCell ref="E5:E6"/>
    <mergeCell ref="E7:E8"/>
    <mergeCell ref="E9:E10"/>
    <mergeCell ref="A3:A4"/>
    <mergeCell ref="D3:D4"/>
    <mergeCell ref="A5:A6"/>
    <mergeCell ref="D5:D6"/>
    <mergeCell ref="A19:A20"/>
    <mergeCell ref="B19:C20"/>
    <mergeCell ref="E24:E25"/>
    <mergeCell ref="F24:F25"/>
    <mergeCell ref="G24:G25"/>
    <mergeCell ref="E59:F60"/>
    <mergeCell ref="N59:O60"/>
    <mergeCell ref="G50:H51"/>
    <mergeCell ref="D45:E46"/>
    <mergeCell ref="A21:A22"/>
    <mergeCell ref="B21:C22"/>
    <mergeCell ref="D24:D25"/>
    <mergeCell ref="D35:D36"/>
    <mergeCell ref="E48:H49"/>
    <mergeCell ref="E12:E13"/>
    <mergeCell ref="E14:E15"/>
    <mergeCell ref="F30:F31"/>
    <mergeCell ref="A14:C15"/>
    <mergeCell ref="D14:D15"/>
    <mergeCell ref="B42:B43"/>
    <mergeCell ref="C42:C43"/>
    <mergeCell ref="D42:D43"/>
  </mergeCells>
  <pageMargins left="0.58333333333333337" right="0.41666666666666669" top="0.49818840579710144" bottom="0.11775362318840579" header="0.3" footer="0.3"/>
  <pageSetup scale="55" fitToWidth="0"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DRAFT SURVEY</vt:lpstr>
      <vt:lpstr>TRIMMING</vt:lpstr>
      <vt:lpstr>WEIGHTS</vt:lpstr>
      <vt:lpstr>REPORT</vt:lpstr>
      <vt:lpstr>HYDRO</vt:lpstr>
      <vt:lpstr>COMPUTATION</vt:lpstr>
      <vt:lpstr>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shipnet</dc:creator>
  <cp:lastModifiedBy>vessel</cp:lastModifiedBy>
  <cp:lastPrinted>2024-03-23T18:53:55Z</cp:lastPrinted>
  <dcterms:created xsi:type="dcterms:W3CDTF">2024-03-22T05:19:21Z</dcterms:created>
  <dcterms:modified xsi:type="dcterms:W3CDTF">2024-07-02T17:34:13Z</dcterms:modified>
</cp:coreProperties>
</file>